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calpej\AppData\Roaming\SDT-Tool\"/>
    </mc:Choice>
  </mc:AlternateContent>
  <xr:revisionPtr revIDLastSave="0" documentId="13_ncr:1_{20616A09-7C1B-4941-B249-D18C8895843E}" xr6:coauthVersionLast="47" xr6:coauthVersionMax="47" xr10:uidLastSave="{00000000-0000-0000-0000-000000000000}"/>
  <bookViews>
    <workbookView xWindow="1170" yWindow="1170" windowWidth="11970" windowHeight="13035" firstSheet="4" activeTab="4" xr2:uid="{C6920AB6-657B-42BA-9168-A478DF474452}"/>
  </bookViews>
  <sheets>
    <sheet name="Sistemas" sheetId="2" r:id="rId1"/>
    <sheet name="Caracteristicas Materiales" sheetId="3" r:id="rId2"/>
    <sheet name="Controladores" sheetId="1" r:id="rId3"/>
    <sheet name="Metasys" sheetId="4" r:id="rId4"/>
    <sheet name="Reglas de precio" sheetId="5" r:id="rId5"/>
  </sheets>
  <externalReferences>
    <externalReference r:id="rId6"/>
  </externalReferences>
  <definedNames>
    <definedName name="_xlnm._FilterDatabase" localSheetId="1" hidden="1">'Caracteristicas Materiales'!$A$11:$O$20</definedName>
    <definedName name="AgruparPuestoCentral">'[1]Estructura BOQ'!$B$3</definedName>
    <definedName name="ControladorPorDefectoProyecto">"M4-CGMx"</definedName>
    <definedName name="CuadrSprvrXDefecto">"CC-SPRV-ESTUDIO"</definedName>
    <definedName name="EA_y_EU_ControladoresPrevios" localSheetId="2">SUM(Controladores!$AA1:XFD1*_xlfn.XLOOKUP(Controladores!$AA$101:XFD$101,TablaControladores[REFERENCIA],TablaControladores[EA]),Controladores!$AA1:XFD1*_xlfn.XLOOKUP(Controladores!$AA$101:XFD$101,TablaControladores[REFERENCIA],TablaControladores[EU]))</definedName>
    <definedName name="EncabezadosTablaConversores" localSheetId="3">TablaConversores[#Headers]</definedName>
    <definedName name="Entradas_ControladoresPrevios" localSheetId="2">SUM(Controladores!$AA1:XFD1*_xlfn.XLOOKUP(Controladores!$AA$101:XFD$101,TablaControladores[REFERENCIA],TablaControladores[EA]),Controladores!$AA1:XFD1*_xlfn.XLOOKUP(Controladores!$AA$101:XFD$101,TablaControladores[REFERENCIA],TablaControladores[EU]),Controladores!$AA1:XFD1*_xlfn.XLOOKUP(Controladores!$AA$101:XFD$101,TablaControladores[REFERENCIA],TablaControladores[ED]))</definedName>
    <definedName name="FocoSelec">"Estudio"</definedName>
    <definedName name="Instalacion" hidden="1">{"PPTO_NORMAL",#N/A,FALSE,"PPTO_01";"IMPR_COSTES",#N/A,FALSE,"PPTO_01"}</definedName>
    <definedName name="IntegracionesAlcanceIntegracion">#N/A</definedName>
    <definedName name="IntegracionesAlcanceProtocoloNormalizado">#N/A</definedName>
    <definedName name="IntegracionesFoco">IFERROR(_xlfn.BYROW(_xlfn._xlws.FILTER(_xlfn.CHOOSECOLS([1]!TablaAlcance[#Data],_xlfn.IFS('[1]Estructura BOQ'!XFA1="Nodos",1,'[1]Estructura BOQ'!XFA1="Niveles",_xlfn.SEQUENCE(2),'[1]Estructura BOQ'!XFA1="Grupos",_xlfn.SEQUENCE(3),'[1]Estructura BOQ'!XFA1="Sistemas",_xlfn.SEQUENCE(4))),([1]!TablaAlcance[CATEGORÍA]="INTEGRACION BMS")+([1]!TablaAlcance[SI]&gt;0),""),_xlfn.LAMBDA(_xlpm.JerarquiaFoco,_xlfn.TEXTJOIN(" ",TRUE,_xlpm.JerarquiaFoco))),"No aplica")</definedName>
    <definedName name="ModoDimensionadoAutomatizacion">"Niveles"</definedName>
    <definedName name="ModoSubestaciones">'[1]Estructura BOQ'!$C$3</definedName>
    <definedName name="PartidasIntegraciones">'[1]Estructura BOQ'!$E$2</definedName>
    <definedName name="PartidasPerifericos">'[1]Estructura BOQ'!$D$2</definedName>
    <definedName name="ProrratearManoDeObra">'[1]Estructura BOQ'!$G$3</definedName>
    <definedName name="ProtocolosNormalizadosLimpiados">#N/A</definedName>
    <definedName name="SA_Y_SC_ControladoresPrevios" localSheetId="2">SUM(Controladores!$AA1:XFD1*_xlfn.XLOOKUP(Controladores!$AA$101:XFD$101,TablaControladores[REFERENCIA],TablaControladores[SA]),Controladores!$AA1:XFD1*_xlfn.XLOOKUP(Controladores!$AA$101:XFD$101,TablaControladores[REFERENCIA],TablaControladores[SC]))</definedName>
    <definedName name="Salidas_ControladoresPrevios" localSheetId="2">SUM(Controladores!$AA1:XFD1*_xlfn.XLOOKUP(Controladores!$AA$101:XFD$101,TablaControladores[REFERENCIA],TablaControladores[SA]),Controladores!$AA1:XFD1*_xlfn.XLOOKUP(Controladores!$AA$101:XFD$101,TablaControladores[REFERENCIA],TablaControladores[SC]),Controladores!$AA1:XFD1*_xlfn.XLOOKUP(Controladores!$AA$101:XFD$101,TablaControladores[REFERENCIA],TablaControladores[SD]))</definedName>
    <definedName name="SC_Y_SD_ControladoresPrevios" localSheetId="2">SUM(Controladores!$AA1:XFD1*_xlfn.XLOOKUP(Controladores!$AA$101:XFD$101,TablaControladores[REFERENCIA],TablaControladores[SC]),Controladores!$AA1:XFD1*_xlfn.XLOOKUP(Controladores!$AA$101:XFD$101,TablaControladores[REFERENCIA],TablaControladores[SD]))</definedName>
    <definedName name="SegregarSubcapitulos">'[1]Estructura BOQ'!$D$3</definedName>
    <definedName name="ValorarInstalacion">'[1]Estructura BOQ'!$F$3</definedName>
    <definedName name="VersionUDF">"Versión 25/02/26sadas"</definedName>
    <definedName name="wrn.IMPR._.GLOBAL." hidden="1">{"PPTO_NORMAL",#N/A,FALSE,"PPTO_01";"IMPR_COSTES",#N/A,FALSE,"PPTO_01"}</definedName>
    <definedName name="wrn.IMPR_co" hidden="1">{"IMPR_COSTES",#N/A,FALSE,"PPTO_01"}</definedName>
    <definedName name="wrn.IMPR_COSTES." hidden="1">{"IMPR_COSTES",#N/A,FALSE,"PPTO_01"}</definedName>
    <definedName name="wrn.IMPR_PPTO._.CLIENTE." hidden="1">{"PPTO_NORMAL",#N/A,FALSE,"PPTO_01"}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5" l="1"/>
  <c r="R3" i="5"/>
  <c r="J3" i="5"/>
  <c r="D2" i="5"/>
  <c r="C2" i="5" s="1"/>
  <c r="B2" i="5" s="1"/>
  <c r="D3" i="5"/>
  <c r="C3" i="5" s="1"/>
  <c r="B3" i="5" s="1"/>
  <c r="D4" i="5"/>
  <c r="C4" i="5" s="1"/>
  <c r="B4" i="5" s="1"/>
  <c r="D5" i="5"/>
  <c r="C5" i="5" s="1"/>
  <c r="B5" i="5" s="1"/>
  <c r="D6" i="5"/>
  <c r="C6" i="5" s="1"/>
  <c r="B6" i="5" s="1"/>
  <c r="D7" i="5"/>
  <c r="C7" i="5" s="1"/>
  <c r="B7" i="5" s="1"/>
  <c r="D8" i="5"/>
  <c r="C8" i="5" s="1"/>
  <c r="B8" i="5" s="1"/>
  <c r="D9" i="5"/>
  <c r="C9" i="5" s="1"/>
  <c r="B9" i="5" s="1"/>
  <c r="D10" i="5"/>
  <c r="C10" i="5" s="1"/>
  <c r="B10" i="5" s="1"/>
  <c r="D11" i="5"/>
  <c r="C11" i="5" s="1"/>
  <c r="B11" i="5" s="1"/>
  <c r="D12" i="5"/>
  <c r="C12" i="5" s="1"/>
  <c r="B12" i="5" s="1"/>
  <c r="D13" i="5"/>
  <c r="C13" i="5" s="1"/>
  <c r="B13" i="5" s="1"/>
  <c r="R27" i="4"/>
  <c r="R26" i="4"/>
  <c r="R25" i="4"/>
  <c r="R21" i="4"/>
  <c r="R20" i="4"/>
  <c r="R15" i="4"/>
  <c r="R14" i="4"/>
  <c r="R13" i="4"/>
  <c r="R19" i="4"/>
  <c r="W495" i="4" a="1"/>
  <c r="W495" i="4" s="1"/>
  <c r="X495" i="4" a="1"/>
  <c r="X495" i="4" s="1"/>
  <c r="Y495" i="4" a="1"/>
  <c r="Y495" i="4" s="1"/>
  <c r="Z495" i="4" a="1"/>
  <c r="Z495" i="4" s="1"/>
  <c r="AA495" i="4" a="1"/>
  <c r="AA495" i="4" s="1"/>
  <c r="AB495" i="4" a="1"/>
  <c r="AB495" i="4" s="1"/>
  <c r="AC495" i="4" a="1"/>
  <c r="AC495" i="4" s="1"/>
  <c r="AD495" i="4" a="1"/>
  <c r="AD495" i="4" s="1"/>
  <c r="AD2" i="4" a="1"/>
  <c r="AD2" i="4" s="1"/>
  <c r="AD3" i="4" a="1"/>
  <c r="AD3" i="4" s="1"/>
  <c r="AD4" i="4" a="1"/>
  <c r="AD4" i="4" s="1"/>
  <c r="AD5" i="4" a="1"/>
  <c r="AD5" i="4" s="1"/>
  <c r="AD6" i="4" a="1"/>
  <c r="AD6" i="4" s="1"/>
  <c r="AD7" i="4" a="1"/>
  <c r="AD7" i="4" s="1"/>
  <c r="AD8" i="4" a="1"/>
  <c r="AD8" i="4" s="1"/>
  <c r="AD9" i="4" a="1"/>
  <c r="AD9" i="4" s="1"/>
  <c r="AD10" i="4" a="1"/>
  <c r="AD10" i="4" s="1"/>
  <c r="AD11" i="4" a="1"/>
  <c r="AD11" i="4" s="1"/>
  <c r="AD12" i="4" a="1"/>
  <c r="AD12" i="4" s="1"/>
  <c r="AD13" i="4" a="1"/>
  <c r="AD13" i="4" s="1"/>
  <c r="AD14" i="4" a="1"/>
  <c r="AD14" i="4" s="1"/>
  <c r="AD15" i="4" a="1"/>
  <c r="AD15" i="4" s="1"/>
  <c r="AD16" i="4" a="1"/>
  <c r="AD16" i="4" s="1"/>
  <c r="AD17" i="4" a="1"/>
  <c r="AD17" i="4" s="1"/>
  <c r="AD18" i="4" a="1"/>
  <c r="AD18" i="4" s="1"/>
  <c r="AD19" i="4" a="1"/>
  <c r="AD19" i="4" s="1"/>
  <c r="AD20" i="4" a="1"/>
  <c r="AD20" i="4" s="1"/>
  <c r="AD21" i="4" a="1"/>
  <c r="AD21" i="4" s="1"/>
  <c r="AD22" i="4" a="1"/>
  <c r="AD22" i="4" s="1"/>
  <c r="AD23" i="4" a="1"/>
  <c r="AD23" i="4" s="1"/>
  <c r="AD24" i="4" a="1"/>
  <c r="AD24" i="4" s="1"/>
  <c r="AD25" i="4" a="1"/>
  <c r="AD25" i="4" s="1"/>
  <c r="AD26" i="4" a="1"/>
  <c r="AD26" i="4" s="1"/>
  <c r="AD27" i="4" a="1"/>
  <c r="AD27" i="4" s="1"/>
  <c r="AD28" i="4" a="1"/>
  <c r="AD28" i="4" s="1"/>
  <c r="AD29" i="4" a="1"/>
  <c r="AD29" i="4" s="1"/>
  <c r="AD30" i="4" a="1"/>
  <c r="AD30" i="4" s="1"/>
  <c r="AD31" i="4" a="1"/>
  <c r="AD31" i="4" s="1"/>
  <c r="AD32" i="4" a="1"/>
  <c r="AD32" i="4" s="1"/>
  <c r="AD33" i="4" a="1"/>
  <c r="AD33" i="4" s="1"/>
  <c r="AD34" i="4" a="1"/>
  <c r="AD34" i="4" s="1"/>
  <c r="AD35" i="4" a="1"/>
  <c r="AD35" i="4" s="1"/>
  <c r="AD36" i="4" a="1"/>
  <c r="AD36" i="4" s="1"/>
  <c r="AD37" i="4" a="1"/>
  <c r="AD37" i="4" s="1"/>
  <c r="AD38" i="4" a="1"/>
  <c r="AD38" i="4" s="1"/>
  <c r="AD39" i="4" a="1"/>
  <c r="AD39" i="4" s="1"/>
  <c r="AD40" i="4" a="1"/>
  <c r="AD40" i="4" s="1"/>
  <c r="AD41" i="4" a="1"/>
  <c r="AD41" i="4" s="1"/>
  <c r="AD42" i="4" a="1"/>
  <c r="AD42" i="4" s="1"/>
  <c r="AD43" i="4" a="1"/>
  <c r="AD43" i="4" s="1"/>
  <c r="AD44" i="4" a="1"/>
  <c r="AD44" i="4" s="1"/>
  <c r="AD45" i="4" a="1"/>
  <c r="AD45" i="4" s="1"/>
  <c r="AD46" i="4" a="1"/>
  <c r="AD46" i="4" s="1"/>
  <c r="AD47" i="4" a="1"/>
  <c r="AD47" i="4" s="1"/>
  <c r="AD48" i="4" a="1"/>
  <c r="AD48" i="4" s="1"/>
  <c r="AD49" i="4" a="1"/>
  <c r="AD49" i="4" s="1"/>
  <c r="AD50" i="4" a="1"/>
  <c r="AD50" i="4" s="1"/>
  <c r="AD51" i="4" a="1"/>
  <c r="AD51" i="4" s="1"/>
  <c r="AD52" i="4" a="1"/>
  <c r="AD52" i="4" s="1"/>
  <c r="AD53" i="4" a="1"/>
  <c r="AD53" i="4" s="1"/>
  <c r="AD54" i="4" a="1"/>
  <c r="AD54" i="4" s="1"/>
  <c r="AD55" i="4" a="1"/>
  <c r="AD55" i="4" s="1"/>
  <c r="AD56" i="4" a="1"/>
  <c r="AD56" i="4" s="1"/>
  <c r="AD57" i="4" a="1"/>
  <c r="AD57" i="4" s="1"/>
  <c r="AD58" i="4" a="1"/>
  <c r="AD58" i="4" s="1"/>
  <c r="AD59" i="4" a="1"/>
  <c r="AD59" i="4" s="1"/>
  <c r="AD60" i="4" a="1"/>
  <c r="AD60" i="4" s="1"/>
  <c r="AD61" i="4" a="1"/>
  <c r="AD61" i="4" s="1"/>
  <c r="AD62" i="4" a="1"/>
  <c r="AD62" i="4" s="1"/>
  <c r="AD63" i="4" a="1"/>
  <c r="AD63" i="4" s="1"/>
  <c r="AD64" i="4" a="1"/>
  <c r="AD64" i="4" s="1"/>
  <c r="AD65" i="4" a="1"/>
  <c r="AD65" i="4" s="1"/>
  <c r="AD66" i="4" a="1"/>
  <c r="AD66" i="4" s="1"/>
  <c r="AD67" i="4" a="1"/>
  <c r="AD67" i="4" s="1"/>
  <c r="AD68" i="4" a="1"/>
  <c r="AD68" i="4" s="1"/>
  <c r="AD69" i="4" a="1"/>
  <c r="AD69" i="4" s="1"/>
  <c r="AD70" i="4" a="1"/>
  <c r="AD70" i="4" s="1"/>
  <c r="AD71" i="4" a="1"/>
  <c r="AD71" i="4" s="1"/>
  <c r="AD72" i="4" a="1"/>
  <c r="AD72" i="4" s="1"/>
  <c r="AD73" i="4" a="1"/>
  <c r="AD73" i="4" s="1"/>
  <c r="AD74" i="4" a="1"/>
  <c r="AD74" i="4" s="1"/>
  <c r="AD75" i="4" a="1"/>
  <c r="AD75" i="4" s="1"/>
  <c r="AD76" i="4" a="1"/>
  <c r="AD76" i="4" s="1"/>
  <c r="AD77" i="4" a="1"/>
  <c r="AD77" i="4" s="1"/>
  <c r="AD78" i="4" a="1"/>
  <c r="AD78" i="4" s="1"/>
  <c r="AD79" i="4" a="1"/>
  <c r="AD79" i="4" s="1"/>
  <c r="AD80" i="4" a="1"/>
  <c r="AD80" i="4" s="1"/>
  <c r="AD81" i="4" a="1"/>
  <c r="AD81" i="4" s="1"/>
  <c r="AD82" i="4" a="1"/>
  <c r="AD82" i="4" s="1"/>
  <c r="AD83" i="4" a="1"/>
  <c r="AD83" i="4" s="1"/>
  <c r="AD84" i="4" a="1"/>
  <c r="AD84" i="4" s="1"/>
  <c r="AD85" i="4" a="1"/>
  <c r="AD85" i="4" s="1"/>
  <c r="AD86" i="4" a="1"/>
  <c r="AD86" i="4" s="1"/>
  <c r="AD87" i="4" a="1"/>
  <c r="AD87" i="4" s="1"/>
  <c r="AD88" i="4" a="1"/>
  <c r="AD88" i="4" s="1"/>
  <c r="AD89" i="4" a="1"/>
  <c r="AD89" i="4" s="1"/>
  <c r="AD90" i="4" a="1"/>
  <c r="AD90" i="4" s="1"/>
  <c r="AD91" i="4" a="1"/>
  <c r="AD91" i="4" s="1"/>
  <c r="AD92" i="4" a="1"/>
  <c r="AD92" i="4" s="1"/>
  <c r="AD93" i="4" a="1"/>
  <c r="AD93" i="4" s="1"/>
  <c r="AD94" i="4" a="1"/>
  <c r="AD94" i="4" s="1"/>
  <c r="AD95" i="4" a="1"/>
  <c r="AD95" i="4" s="1"/>
  <c r="AD96" i="4" a="1"/>
  <c r="AD96" i="4" s="1"/>
  <c r="AD97" i="4" a="1"/>
  <c r="AD97" i="4" s="1"/>
  <c r="AD98" i="4" a="1"/>
  <c r="AD98" i="4" s="1"/>
  <c r="AD99" i="4" a="1"/>
  <c r="AD99" i="4" s="1"/>
  <c r="AD100" i="4" a="1"/>
  <c r="AD100" i="4" s="1"/>
  <c r="AD101" i="4" a="1"/>
  <c r="AD101" i="4" s="1"/>
  <c r="AD102" i="4" a="1"/>
  <c r="AD102" i="4" s="1"/>
  <c r="AD103" i="4" a="1"/>
  <c r="AD103" i="4" s="1"/>
  <c r="AD104" i="4" a="1"/>
  <c r="AD104" i="4" s="1"/>
  <c r="AD105" i="4" a="1"/>
  <c r="AD105" i="4" s="1"/>
  <c r="AD106" i="4" a="1"/>
  <c r="AD106" i="4" s="1"/>
  <c r="AD107" i="4" a="1"/>
  <c r="AD107" i="4" s="1"/>
  <c r="AD108" i="4" a="1"/>
  <c r="AD108" i="4" s="1"/>
  <c r="AD109" i="4" a="1"/>
  <c r="AD109" i="4" s="1"/>
  <c r="AD110" i="4" a="1"/>
  <c r="AD110" i="4" s="1"/>
  <c r="AD111" i="4" a="1"/>
  <c r="AD111" i="4" s="1"/>
  <c r="AD112" i="4" a="1"/>
  <c r="AD112" i="4" s="1"/>
  <c r="AD113" i="4" a="1"/>
  <c r="AD113" i="4" s="1"/>
  <c r="AD114" i="4" a="1"/>
  <c r="AD114" i="4" s="1"/>
  <c r="AD115" i="4" a="1"/>
  <c r="AD115" i="4" s="1"/>
  <c r="AD116" i="4" a="1"/>
  <c r="AD116" i="4" s="1"/>
  <c r="AD117" i="4" a="1"/>
  <c r="AD117" i="4" s="1"/>
  <c r="AD118" i="4" a="1"/>
  <c r="AD118" i="4" s="1"/>
  <c r="AD119" i="4" a="1"/>
  <c r="AD119" i="4" s="1"/>
  <c r="AD120" i="4" a="1"/>
  <c r="AD120" i="4" s="1"/>
  <c r="AD121" i="4" a="1"/>
  <c r="AD121" i="4" s="1"/>
  <c r="AD122" i="4" a="1"/>
  <c r="AD122" i="4" s="1"/>
  <c r="AD123" i="4" a="1"/>
  <c r="AD123" i="4" s="1"/>
  <c r="AD124" i="4" a="1"/>
  <c r="AD124" i="4" s="1"/>
  <c r="AD125" i="4" a="1"/>
  <c r="AD125" i="4" s="1"/>
  <c r="AD126" i="4" a="1"/>
  <c r="AD126" i="4" s="1"/>
  <c r="AD127" i="4" a="1"/>
  <c r="AD127" i="4" s="1"/>
  <c r="AD128" i="4" a="1"/>
  <c r="AD128" i="4" s="1"/>
  <c r="AD129" i="4" a="1"/>
  <c r="AD129" i="4" s="1"/>
  <c r="AD130" i="4" a="1"/>
  <c r="AD130" i="4" s="1"/>
  <c r="AD131" i="4" a="1"/>
  <c r="AD131" i="4" s="1"/>
  <c r="AD132" i="4" a="1"/>
  <c r="AD132" i="4" s="1"/>
  <c r="AD133" i="4" a="1"/>
  <c r="AD133" i="4" s="1"/>
  <c r="AD134" i="4" a="1"/>
  <c r="AD134" i="4" s="1"/>
  <c r="AD135" i="4" a="1"/>
  <c r="AD135" i="4" s="1"/>
  <c r="AD136" i="4" a="1"/>
  <c r="AD136" i="4" s="1"/>
  <c r="AD137" i="4" a="1"/>
  <c r="AD137" i="4" s="1"/>
  <c r="AD138" i="4" a="1"/>
  <c r="AD138" i="4" s="1"/>
  <c r="AD139" i="4" a="1"/>
  <c r="AD139" i="4" s="1"/>
  <c r="AD140" i="4" a="1"/>
  <c r="AD140" i="4" s="1"/>
  <c r="AD141" i="4" a="1"/>
  <c r="AD141" i="4" s="1"/>
  <c r="AD142" i="4" a="1"/>
  <c r="AD142" i="4" s="1"/>
  <c r="AD143" i="4" a="1"/>
  <c r="AD143" i="4" s="1"/>
  <c r="AD144" i="4" a="1"/>
  <c r="AD144" i="4" s="1"/>
  <c r="AD145" i="4" a="1"/>
  <c r="AD145" i="4" s="1"/>
  <c r="AD146" i="4" a="1"/>
  <c r="AD146" i="4" s="1"/>
  <c r="AD147" i="4" a="1"/>
  <c r="AD147" i="4" s="1"/>
  <c r="AD148" i="4" a="1"/>
  <c r="AD148" i="4" s="1"/>
  <c r="AD149" i="4" a="1"/>
  <c r="AD149" i="4" s="1"/>
  <c r="AD150" i="4" a="1"/>
  <c r="AD150" i="4" s="1"/>
  <c r="AD151" i="4" a="1"/>
  <c r="AD151" i="4" s="1"/>
  <c r="AD152" i="4" a="1"/>
  <c r="AD152" i="4" s="1"/>
  <c r="AD153" i="4" a="1"/>
  <c r="AD153" i="4" s="1"/>
  <c r="AD154" i="4" a="1"/>
  <c r="AD154" i="4" s="1"/>
  <c r="AD155" i="4" a="1"/>
  <c r="AD155" i="4" s="1"/>
  <c r="AD156" i="4" a="1"/>
  <c r="AD156" i="4" s="1"/>
  <c r="AD157" i="4" a="1"/>
  <c r="AD157" i="4" s="1"/>
  <c r="AD158" i="4" a="1"/>
  <c r="AD158" i="4" s="1"/>
  <c r="AD159" i="4" a="1"/>
  <c r="AD159" i="4" s="1"/>
  <c r="AD160" i="4" a="1"/>
  <c r="AD160" i="4" s="1"/>
  <c r="AD161" i="4" a="1"/>
  <c r="AD161" i="4" s="1"/>
  <c r="AD162" i="4" a="1"/>
  <c r="AD162" i="4" s="1"/>
  <c r="AD163" i="4" a="1"/>
  <c r="AD163" i="4" s="1"/>
  <c r="AD164" i="4" a="1"/>
  <c r="AD164" i="4" s="1"/>
  <c r="AD165" i="4" a="1"/>
  <c r="AD165" i="4" s="1"/>
  <c r="AD166" i="4" a="1"/>
  <c r="AD166" i="4" s="1"/>
  <c r="AD167" i="4" a="1"/>
  <c r="AD167" i="4" s="1"/>
  <c r="AD168" i="4" a="1"/>
  <c r="AD168" i="4" s="1"/>
  <c r="AD169" i="4" a="1"/>
  <c r="AD169" i="4" s="1"/>
  <c r="AD170" i="4" a="1"/>
  <c r="AD170" i="4" s="1"/>
  <c r="AD171" i="4" a="1"/>
  <c r="AD171" i="4" s="1"/>
  <c r="AD172" i="4" a="1"/>
  <c r="AD172" i="4" s="1"/>
  <c r="AD173" i="4" a="1"/>
  <c r="AD173" i="4" s="1"/>
  <c r="AD174" i="4" a="1"/>
  <c r="AD174" i="4" s="1"/>
  <c r="AD175" i="4" a="1"/>
  <c r="AD175" i="4" s="1"/>
  <c r="AD176" i="4" a="1"/>
  <c r="AD176" i="4" s="1"/>
  <c r="AD177" i="4" a="1"/>
  <c r="AD177" i="4" s="1"/>
  <c r="AD178" i="4" a="1"/>
  <c r="AD178" i="4" s="1"/>
  <c r="AD179" i="4" a="1"/>
  <c r="AD179" i="4" s="1"/>
  <c r="AD180" i="4" a="1"/>
  <c r="AD180" i="4" s="1"/>
  <c r="AD181" i="4" a="1"/>
  <c r="AD181" i="4" s="1"/>
  <c r="AD182" i="4" a="1"/>
  <c r="AD182" i="4" s="1"/>
  <c r="AD183" i="4" a="1"/>
  <c r="AD183" i="4" s="1"/>
  <c r="AD184" i="4" a="1"/>
  <c r="AD184" i="4" s="1"/>
  <c r="AD185" i="4" a="1"/>
  <c r="AD185" i="4" s="1"/>
  <c r="AD186" i="4" a="1"/>
  <c r="AD186" i="4" s="1"/>
  <c r="AD187" i="4" a="1"/>
  <c r="AD187" i="4" s="1"/>
  <c r="AD188" i="4" a="1"/>
  <c r="AD188" i="4" s="1"/>
  <c r="AD189" i="4" a="1"/>
  <c r="AD189" i="4" s="1"/>
  <c r="AD190" i="4" a="1"/>
  <c r="AD190" i="4" s="1"/>
  <c r="AD191" i="4" a="1"/>
  <c r="AD191" i="4" s="1"/>
  <c r="AD192" i="4" a="1"/>
  <c r="AD192" i="4" s="1"/>
  <c r="AD193" i="4" a="1"/>
  <c r="AD193" i="4" s="1"/>
  <c r="AD194" i="4" a="1"/>
  <c r="AD194" i="4" s="1"/>
  <c r="AD195" i="4" a="1"/>
  <c r="AD195" i="4" s="1"/>
  <c r="AD196" i="4" a="1"/>
  <c r="AD196" i="4" s="1"/>
  <c r="AD197" i="4" a="1"/>
  <c r="AD197" i="4" s="1"/>
  <c r="AD198" i="4" a="1"/>
  <c r="AD198" i="4" s="1"/>
  <c r="AD199" i="4" a="1"/>
  <c r="AD199" i="4" s="1"/>
  <c r="AD200" i="4" a="1"/>
  <c r="AD200" i="4" s="1"/>
  <c r="AD201" i="4" a="1"/>
  <c r="AD201" i="4" s="1"/>
  <c r="AD202" i="4" a="1"/>
  <c r="AD202" i="4" s="1"/>
  <c r="AD203" i="4" a="1"/>
  <c r="AD203" i="4" s="1"/>
  <c r="AD204" i="4" a="1"/>
  <c r="AD204" i="4" s="1"/>
  <c r="AD205" i="4" a="1"/>
  <c r="AD205" i="4" s="1"/>
  <c r="AD206" i="4" a="1"/>
  <c r="AD206" i="4" s="1"/>
  <c r="AD207" i="4" a="1"/>
  <c r="AD207" i="4" s="1"/>
  <c r="AD208" i="4" a="1"/>
  <c r="AD208" i="4" s="1"/>
  <c r="AD209" i="4" a="1"/>
  <c r="AD209" i="4" s="1"/>
  <c r="AD210" i="4" a="1"/>
  <c r="AD210" i="4" s="1"/>
  <c r="AD211" i="4" a="1"/>
  <c r="AD211" i="4" s="1"/>
  <c r="AD212" i="4" a="1"/>
  <c r="AD212" i="4" s="1"/>
  <c r="AD213" i="4" a="1"/>
  <c r="AD213" i="4" s="1"/>
  <c r="AD214" i="4" a="1"/>
  <c r="AD214" i="4" s="1"/>
  <c r="AD215" i="4" a="1"/>
  <c r="AD215" i="4" s="1"/>
  <c r="AD216" i="4" a="1"/>
  <c r="AD216" i="4" s="1"/>
  <c r="AD217" i="4" a="1"/>
  <c r="AD217" i="4" s="1"/>
  <c r="AD218" i="4" a="1"/>
  <c r="AD218" i="4" s="1"/>
  <c r="AD219" i="4" a="1"/>
  <c r="AD219" i="4" s="1"/>
  <c r="AD220" i="4" a="1"/>
  <c r="AD220" i="4" s="1"/>
  <c r="AD221" i="4" a="1"/>
  <c r="AD221" i="4" s="1"/>
  <c r="AD222" i="4" a="1"/>
  <c r="AD222" i="4" s="1"/>
  <c r="AD223" i="4" a="1"/>
  <c r="AD223" i="4" s="1"/>
  <c r="AD224" i="4" a="1"/>
  <c r="AD224" i="4" s="1"/>
  <c r="AD225" i="4" a="1"/>
  <c r="AD225" i="4" s="1"/>
  <c r="AD226" i="4" a="1"/>
  <c r="AD226" i="4" s="1"/>
  <c r="AD227" i="4" a="1"/>
  <c r="AD227" i="4" s="1"/>
  <c r="AD228" i="4" a="1"/>
  <c r="AD228" i="4" s="1"/>
  <c r="AD229" i="4" a="1"/>
  <c r="AD229" i="4" s="1"/>
  <c r="AD230" i="4" a="1"/>
  <c r="AD230" i="4" s="1"/>
  <c r="AD231" i="4" a="1"/>
  <c r="AD231" i="4" s="1"/>
  <c r="AD232" i="4" a="1"/>
  <c r="AD232" i="4" s="1"/>
  <c r="AD233" i="4" a="1"/>
  <c r="AD233" i="4" s="1"/>
  <c r="AD234" i="4" a="1"/>
  <c r="AD234" i="4" s="1"/>
  <c r="AD235" i="4" a="1"/>
  <c r="AD235" i="4" s="1"/>
  <c r="AD236" i="4" a="1"/>
  <c r="AD236" i="4" s="1"/>
  <c r="AD237" i="4" a="1"/>
  <c r="AD237" i="4" s="1"/>
  <c r="AD238" i="4" a="1"/>
  <c r="AD238" i="4" s="1"/>
  <c r="AD239" i="4" a="1"/>
  <c r="AD239" i="4" s="1"/>
  <c r="AD240" i="4" a="1"/>
  <c r="AD240" i="4" s="1"/>
  <c r="AD241" i="4" a="1"/>
  <c r="AD241" i="4" s="1"/>
  <c r="AD242" i="4" a="1"/>
  <c r="AD242" i="4" s="1"/>
  <c r="AD243" i="4" a="1"/>
  <c r="AD243" i="4" s="1"/>
  <c r="AD244" i="4" a="1"/>
  <c r="AD244" i="4" s="1"/>
  <c r="AD245" i="4" a="1"/>
  <c r="AD245" i="4" s="1"/>
  <c r="AD246" i="4" a="1"/>
  <c r="AD246" i="4" s="1"/>
  <c r="AD247" i="4" a="1"/>
  <c r="AD247" i="4" s="1"/>
  <c r="AD248" i="4" a="1"/>
  <c r="AD248" i="4" s="1"/>
  <c r="AD249" i="4" a="1"/>
  <c r="AD249" i="4" s="1"/>
  <c r="AD250" i="4" a="1"/>
  <c r="AD250" i="4" s="1"/>
  <c r="AD251" i="4" a="1"/>
  <c r="AD251" i="4" s="1"/>
  <c r="AD252" i="4" a="1"/>
  <c r="AD252" i="4" s="1"/>
  <c r="AD253" i="4" a="1"/>
  <c r="AD253" i="4" s="1"/>
  <c r="AD254" i="4" a="1"/>
  <c r="AD254" i="4" s="1"/>
  <c r="AD255" i="4" a="1"/>
  <c r="AD255" i="4" s="1"/>
  <c r="AD256" i="4" a="1"/>
  <c r="AD256" i="4" s="1"/>
  <c r="AD257" i="4" a="1"/>
  <c r="AD257" i="4" s="1"/>
  <c r="AD258" i="4" a="1"/>
  <c r="AD258" i="4" s="1"/>
  <c r="AD259" i="4" a="1"/>
  <c r="AD259" i="4" s="1"/>
  <c r="AD260" i="4" a="1"/>
  <c r="AD260" i="4" s="1"/>
  <c r="AD261" i="4" a="1"/>
  <c r="AD261" i="4" s="1"/>
  <c r="AD262" i="4" a="1"/>
  <c r="AD262" i="4" s="1"/>
  <c r="AD263" i="4" a="1"/>
  <c r="AD263" i="4" s="1"/>
  <c r="AD264" i="4" a="1"/>
  <c r="AD264" i="4" s="1"/>
  <c r="AD265" i="4" a="1"/>
  <c r="AD265" i="4" s="1"/>
  <c r="AD266" i="4" a="1"/>
  <c r="AD266" i="4" s="1"/>
  <c r="AD267" i="4" a="1"/>
  <c r="AD267" i="4" s="1"/>
  <c r="AD268" i="4" a="1"/>
  <c r="AD268" i="4" s="1"/>
  <c r="AD269" i="4" a="1"/>
  <c r="AD269" i="4" s="1"/>
  <c r="AD270" i="4" a="1"/>
  <c r="AD270" i="4" s="1"/>
  <c r="AD271" i="4" a="1"/>
  <c r="AD271" i="4" s="1"/>
  <c r="AD272" i="4" a="1"/>
  <c r="AD272" i="4" s="1"/>
  <c r="AD273" i="4" a="1"/>
  <c r="AD273" i="4" s="1"/>
  <c r="AD274" i="4" a="1"/>
  <c r="AD274" i="4" s="1"/>
  <c r="AD275" i="4" a="1"/>
  <c r="AD275" i="4" s="1"/>
  <c r="AD276" i="4" a="1"/>
  <c r="AD276" i="4" s="1"/>
  <c r="AD277" i="4" a="1"/>
  <c r="AD277" i="4" s="1"/>
  <c r="AD278" i="4" a="1"/>
  <c r="AD278" i="4" s="1"/>
  <c r="AD279" i="4" a="1"/>
  <c r="AD279" i="4" s="1"/>
  <c r="AD280" i="4" a="1"/>
  <c r="AD280" i="4" s="1"/>
  <c r="AD281" i="4" a="1"/>
  <c r="AD281" i="4" s="1"/>
  <c r="AD282" i="4" a="1"/>
  <c r="AD282" i="4" s="1"/>
  <c r="AD283" i="4" a="1"/>
  <c r="AD283" i="4" s="1"/>
  <c r="AD284" i="4" a="1"/>
  <c r="AD284" i="4" s="1"/>
  <c r="AD285" i="4" a="1"/>
  <c r="AD285" i="4" s="1"/>
  <c r="AD286" i="4" a="1"/>
  <c r="AD286" i="4" s="1"/>
  <c r="AD287" i="4" a="1"/>
  <c r="AD287" i="4" s="1"/>
  <c r="AD288" i="4" a="1"/>
  <c r="AD288" i="4" s="1"/>
  <c r="AD289" i="4" a="1"/>
  <c r="AD289" i="4" s="1"/>
  <c r="AD290" i="4" a="1"/>
  <c r="AD290" i="4" s="1"/>
  <c r="AD291" i="4" a="1"/>
  <c r="AD291" i="4" s="1"/>
  <c r="AD292" i="4" a="1"/>
  <c r="AD292" i="4" s="1"/>
  <c r="AD293" i="4" a="1"/>
  <c r="AD293" i="4" s="1"/>
  <c r="AD294" i="4" a="1"/>
  <c r="AD294" i="4" s="1"/>
  <c r="AD295" i="4" a="1"/>
  <c r="AD295" i="4" s="1"/>
  <c r="AD296" i="4" a="1"/>
  <c r="AD296" i="4" s="1"/>
  <c r="AD297" i="4" a="1"/>
  <c r="AD297" i="4" s="1"/>
  <c r="AD298" i="4" a="1"/>
  <c r="AD298" i="4" s="1"/>
  <c r="AD299" i="4" a="1"/>
  <c r="AD299" i="4" s="1"/>
  <c r="AD300" i="4" a="1"/>
  <c r="AD300" i="4" s="1"/>
  <c r="AD301" i="4" a="1"/>
  <c r="AD301" i="4" s="1"/>
  <c r="AD302" i="4" a="1"/>
  <c r="AD302" i="4" s="1"/>
  <c r="AD303" i="4" a="1"/>
  <c r="AD303" i="4" s="1"/>
  <c r="AD304" i="4" a="1"/>
  <c r="AD304" i="4" s="1"/>
  <c r="AD305" i="4" a="1"/>
  <c r="AD305" i="4" s="1"/>
  <c r="AD306" i="4" a="1"/>
  <c r="AD306" i="4" s="1"/>
  <c r="AD307" i="4" a="1"/>
  <c r="AD307" i="4" s="1"/>
  <c r="AD308" i="4" a="1"/>
  <c r="AD308" i="4" s="1"/>
  <c r="AD309" i="4" a="1"/>
  <c r="AD309" i="4" s="1"/>
  <c r="AD310" i="4" a="1"/>
  <c r="AD310" i="4" s="1"/>
  <c r="AD311" i="4" a="1"/>
  <c r="AD311" i="4" s="1"/>
  <c r="AD312" i="4" a="1"/>
  <c r="AD312" i="4" s="1"/>
  <c r="AD313" i="4" a="1"/>
  <c r="AD313" i="4" s="1"/>
  <c r="AD314" i="4" a="1"/>
  <c r="AD314" i="4" s="1"/>
  <c r="AD315" i="4" a="1"/>
  <c r="AD315" i="4" s="1"/>
  <c r="AD316" i="4" a="1"/>
  <c r="AD316" i="4" s="1"/>
  <c r="AD317" i="4" a="1"/>
  <c r="AD317" i="4" s="1"/>
  <c r="AD318" i="4" a="1"/>
  <c r="AD318" i="4" s="1"/>
  <c r="AD319" i="4" a="1"/>
  <c r="AD319" i="4" s="1"/>
  <c r="AD320" i="4" a="1"/>
  <c r="AD320" i="4" s="1"/>
  <c r="AD321" i="4" a="1"/>
  <c r="AD321" i="4" s="1"/>
  <c r="AD322" i="4" a="1"/>
  <c r="AD322" i="4" s="1"/>
  <c r="AD323" i="4" a="1"/>
  <c r="AD323" i="4" s="1"/>
  <c r="AD324" i="4" a="1"/>
  <c r="AD324" i="4" s="1"/>
  <c r="AD325" i="4" a="1"/>
  <c r="AD325" i="4" s="1"/>
  <c r="AD326" i="4" a="1"/>
  <c r="AD326" i="4" s="1"/>
  <c r="AD327" i="4" a="1"/>
  <c r="AD327" i="4" s="1"/>
  <c r="AD328" i="4" a="1"/>
  <c r="AD328" i="4" s="1"/>
  <c r="AD329" i="4" a="1"/>
  <c r="AD329" i="4" s="1"/>
  <c r="AD330" i="4" a="1"/>
  <c r="AD330" i="4" s="1"/>
  <c r="AD331" i="4" a="1"/>
  <c r="AD331" i="4" s="1"/>
  <c r="AD332" i="4" a="1"/>
  <c r="AD332" i="4" s="1"/>
  <c r="AD333" i="4" a="1"/>
  <c r="AD333" i="4" s="1"/>
  <c r="AD334" i="4" a="1"/>
  <c r="AD334" i="4" s="1"/>
  <c r="AD335" i="4" a="1"/>
  <c r="AD335" i="4" s="1"/>
  <c r="AD336" i="4" a="1"/>
  <c r="AD336" i="4" s="1"/>
  <c r="AD337" i="4" a="1"/>
  <c r="AD337" i="4" s="1"/>
  <c r="AD338" i="4" a="1"/>
  <c r="AD338" i="4" s="1"/>
  <c r="AD339" i="4" a="1"/>
  <c r="AD339" i="4" s="1"/>
  <c r="AD340" i="4" a="1"/>
  <c r="AD340" i="4" s="1"/>
  <c r="AD341" i="4" a="1"/>
  <c r="AD341" i="4" s="1"/>
  <c r="AD342" i="4" a="1"/>
  <c r="AD342" i="4" s="1"/>
  <c r="AD343" i="4" a="1"/>
  <c r="AD343" i="4" s="1"/>
  <c r="AD344" i="4" a="1"/>
  <c r="AD344" i="4" s="1"/>
  <c r="AD345" i="4" a="1"/>
  <c r="AD345" i="4" s="1"/>
  <c r="AD346" i="4" a="1"/>
  <c r="AD346" i="4" s="1"/>
  <c r="AD347" i="4" a="1"/>
  <c r="AD347" i="4" s="1"/>
  <c r="AD348" i="4" a="1"/>
  <c r="AD348" i="4" s="1"/>
  <c r="AD349" i="4" a="1"/>
  <c r="AD349" i="4" s="1"/>
  <c r="AD350" i="4" a="1"/>
  <c r="AD350" i="4" s="1"/>
  <c r="AD351" i="4" a="1"/>
  <c r="AD351" i="4" s="1"/>
  <c r="AD352" i="4" a="1"/>
  <c r="AD352" i="4" s="1"/>
  <c r="AD353" i="4" a="1"/>
  <c r="AD353" i="4" s="1"/>
  <c r="AD354" i="4" a="1"/>
  <c r="AD354" i="4" s="1"/>
  <c r="AD355" i="4" a="1"/>
  <c r="AD355" i="4" s="1"/>
  <c r="AD356" i="4" a="1"/>
  <c r="AD356" i="4" s="1"/>
  <c r="AD357" i="4" a="1"/>
  <c r="AD357" i="4" s="1"/>
  <c r="AD358" i="4" a="1"/>
  <c r="AD358" i="4" s="1"/>
  <c r="AD359" i="4" a="1"/>
  <c r="AD359" i="4" s="1"/>
  <c r="AD360" i="4" a="1"/>
  <c r="AD360" i="4" s="1"/>
  <c r="AD361" i="4" a="1"/>
  <c r="AD361" i="4" s="1"/>
  <c r="AD362" i="4" a="1"/>
  <c r="AD362" i="4" s="1"/>
  <c r="AD363" i="4" a="1"/>
  <c r="AD363" i="4" s="1"/>
  <c r="AD364" i="4" a="1"/>
  <c r="AD364" i="4" s="1"/>
  <c r="AD365" i="4" a="1"/>
  <c r="AD365" i="4" s="1"/>
  <c r="AD366" i="4" a="1"/>
  <c r="AD366" i="4" s="1"/>
  <c r="AD367" i="4" a="1"/>
  <c r="AD367" i="4" s="1"/>
  <c r="AD368" i="4" a="1"/>
  <c r="AD368" i="4" s="1"/>
  <c r="AD369" i="4" a="1"/>
  <c r="AD369" i="4" s="1"/>
  <c r="AD370" i="4" a="1"/>
  <c r="AD370" i="4" s="1"/>
  <c r="AD371" i="4" a="1"/>
  <c r="AD371" i="4" s="1"/>
  <c r="AD372" i="4" a="1"/>
  <c r="AD372" i="4" s="1"/>
  <c r="AD373" i="4" a="1"/>
  <c r="AD373" i="4" s="1"/>
  <c r="AD374" i="4" a="1"/>
  <c r="AD374" i="4" s="1"/>
  <c r="AD375" i="4" a="1"/>
  <c r="AD375" i="4" s="1"/>
  <c r="AD376" i="4" a="1"/>
  <c r="AD376" i="4" s="1"/>
  <c r="AD377" i="4" a="1"/>
  <c r="AD377" i="4" s="1"/>
  <c r="AD378" i="4" a="1"/>
  <c r="AD378" i="4" s="1"/>
  <c r="AD379" i="4" a="1"/>
  <c r="AD379" i="4" s="1"/>
  <c r="AD380" i="4" a="1"/>
  <c r="AD380" i="4" s="1"/>
  <c r="AD381" i="4" a="1"/>
  <c r="AD381" i="4" s="1"/>
  <c r="AD382" i="4" a="1"/>
  <c r="AD382" i="4" s="1"/>
  <c r="AD383" i="4" a="1"/>
  <c r="AD383" i="4" s="1"/>
  <c r="AD384" i="4" a="1"/>
  <c r="AD384" i="4" s="1"/>
  <c r="AD385" i="4" a="1"/>
  <c r="AD385" i="4" s="1"/>
  <c r="AD386" i="4" a="1"/>
  <c r="AD386" i="4" s="1"/>
  <c r="AD387" i="4" a="1"/>
  <c r="AD387" i="4" s="1"/>
  <c r="AD388" i="4" a="1"/>
  <c r="AD388" i="4" s="1"/>
  <c r="AD389" i="4" a="1"/>
  <c r="AD389" i="4" s="1"/>
  <c r="AD390" i="4" a="1"/>
  <c r="AD390" i="4" s="1"/>
  <c r="AD391" i="4" a="1"/>
  <c r="AD391" i="4" s="1"/>
  <c r="AD392" i="4" a="1"/>
  <c r="AD392" i="4" s="1"/>
  <c r="AD393" i="4" a="1"/>
  <c r="AD393" i="4" s="1"/>
  <c r="AD394" i="4" a="1"/>
  <c r="AD394" i="4" s="1"/>
  <c r="AD395" i="4" a="1"/>
  <c r="AD395" i="4" s="1"/>
  <c r="AD396" i="4" a="1"/>
  <c r="AD396" i="4" s="1"/>
  <c r="AD397" i="4" a="1"/>
  <c r="AD397" i="4" s="1"/>
  <c r="AD398" i="4" a="1"/>
  <c r="AD398" i="4" s="1"/>
  <c r="AD399" i="4" a="1"/>
  <c r="AD399" i="4" s="1"/>
  <c r="AD400" i="4" a="1"/>
  <c r="AD400" i="4" s="1"/>
  <c r="AD401" i="4" a="1"/>
  <c r="AD401" i="4" s="1"/>
  <c r="AD402" i="4" a="1"/>
  <c r="AD402" i="4" s="1"/>
  <c r="AD403" i="4" a="1"/>
  <c r="AD403" i="4" s="1"/>
  <c r="AD404" i="4" a="1"/>
  <c r="AD404" i="4" s="1"/>
  <c r="AD405" i="4" a="1"/>
  <c r="AD405" i="4" s="1"/>
  <c r="AD406" i="4" a="1"/>
  <c r="AD406" i="4" s="1"/>
  <c r="AD407" i="4" a="1"/>
  <c r="AD407" i="4" s="1"/>
  <c r="AD408" i="4" a="1"/>
  <c r="AD408" i="4" s="1"/>
  <c r="AD409" i="4" a="1"/>
  <c r="AD409" i="4" s="1"/>
  <c r="AD410" i="4" a="1"/>
  <c r="AD410" i="4" s="1"/>
  <c r="AD411" i="4" a="1"/>
  <c r="AD411" i="4" s="1"/>
  <c r="AD412" i="4" a="1"/>
  <c r="AD412" i="4" s="1"/>
  <c r="AD413" i="4" a="1"/>
  <c r="AD413" i="4" s="1"/>
  <c r="AD414" i="4" a="1"/>
  <c r="AD414" i="4" s="1"/>
  <c r="AD415" i="4" a="1"/>
  <c r="AD415" i="4" s="1"/>
  <c r="AD416" i="4" a="1"/>
  <c r="AD416" i="4" s="1"/>
  <c r="AD417" i="4" a="1"/>
  <c r="AD417" i="4" s="1"/>
  <c r="AD418" i="4" a="1"/>
  <c r="AD418" i="4" s="1"/>
  <c r="AD419" i="4" a="1"/>
  <c r="AD419" i="4" s="1"/>
  <c r="AD420" i="4" a="1"/>
  <c r="AD420" i="4" s="1"/>
  <c r="AD421" i="4" a="1"/>
  <c r="AD421" i="4" s="1"/>
  <c r="AD422" i="4" a="1"/>
  <c r="AD422" i="4" s="1"/>
  <c r="AD423" i="4" a="1"/>
  <c r="AD423" i="4" s="1"/>
  <c r="AD424" i="4" a="1"/>
  <c r="AD424" i="4" s="1"/>
  <c r="AD425" i="4" a="1"/>
  <c r="AD425" i="4" s="1"/>
  <c r="AD426" i="4" a="1"/>
  <c r="AD426" i="4" s="1"/>
  <c r="AD427" i="4" a="1"/>
  <c r="AD427" i="4" s="1"/>
  <c r="AD428" i="4" a="1"/>
  <c r="AD428" i="4" s="1"/>
  <c r="AD429" i="4" a="1"/>
  <c r="AD429" i="4" s="1"/>
  <c r="AD430" i="4" a="1"/>
  <c r="AD430" i="4" s="1"/>
  <c r="AD431" i="4" a="1"/>
  <c r="AD431" i="4" s="1"/>
  <c r="AD432" i="4" a="1"/>
  <c r="AD432" i="4" s="1"/>
  <c r="AD433" i="4" a="1"/>
  <c r="AD433" i="4" s="1"/>
  <c r="AD434" i="4" a="1"/>
  <c r="AD434" i="4" s="1"/>
  <c r="AD435" i="4" a="1"/>
  <c r="AD435" i="4" s="1"/>
  <c r="AD436" i="4" a="1"/>
  <c r="AD436" i="4" s="1"/>
  <c r="AD437" i="4" a="1"/>
  <c r="AD437" i="4" s="1"/>
  <c r="AD438" i="4" a="1"/>
  <c r="AD438" i="4" s="1"/>
  <c r="AD439" i="4" a="1"/>
  <c r="AD439" i="4" s="1"/>
  <c r="AD440" i="4" a="1"/>
  <c r="AD440" i="4" s="1"/>
  <c r="AD441" i="4" a="1"/>
  <c r="AD441" i="4" s="1"/>
  <c r="AD442" i="4" a="1"/>
  <c r="AD442" i="4" s="1"/>
  <c r="AD443" i="4" a="1"/>
  <c r="AD443" i="4" s="1"/>
  <c r="AD444" i="4" a="1"/>
  <c r="AD444" i="4" s="1"/>
  <c r="AD445" i="4" a="1"/>
  <c r="AD445" i="4" s="1"/>
  <c r="AD446" i="4" a="1"/>
  <c r="AD446" i="4" s="1"/>
  <c r="AD447" i="4" a="1"/>
  <c r="AD447" i="4" s="1"/>
  <c r="AD448" i="4" a="1"/>
  <c r="AD448" i="4" s="1"/>
  <c r="AD449" i="4" a="1"/>
  <c r="AD449" i="4" s="1"/>
  <c r="AD450" i="4" a="1"/>
  <c r="AD450" i="4" s="1"/>
  <c r="AD451" i="4" a="1"/>
  <c r="AD451" i="4" s="1"/>
  <c r="AD452" i="4" a="1"/>
  <c r="AD452" i="4" s="1"/>
  <c r="AD453" i="4" a="1"/>
  <c r="AD453" i="4" s="1"/>
  <c r="AD454" i="4" a="1"/>
  <c r="AD454" i="4" s="1"/>
  <c r="AD455" i="4" a="1"/>
  <c r="AD455" i="4" s="1"/>
  <c r="AD456" i="4" a="1"/>
  <c r="AD456" i="4" s="1"/>
  <c r="AD457" i="4" a="1"/>
  <c r="AD457" i="4" s="1"/>
  <c r="AD458" i="4" a="1"/>
  <c r="AD458" i="4" s="1"/>
  <c r="AD459" i="4" a="1"/>
  <c r="AD459" i="4" s="1"/>
  <c r="AD460" i="4" a="1"/>
  <c r="AD460" i="4" s="1"/>
  <c r="AD461" i="4" a="1"/>
  <c r="AD461" i="4" s="1"/>
  <c r="AD462" i="4" a="1"/>
  <c r="AD462" i="4" s="1"/>
  <c r="AD463" i="4" a="1"/>
  <c r="AD463" i="4" s="1"/>
  <c r="AD464" i="4" a="1"/>
  <c r="AD464" i="4" s="1"/>
  <c r="AD465" i="4" a="1"/>
  <c r="AD465" i="4" s="1"/>
  <c r="AD466" i="4" a="1"/>
  <c r="AD466" i="4" s="1"/>
  <c r="AD467" i="4" a="1"/>
  <c r="AD467" i="4" s="1"/>
  <c r="AD468" i="4" a="1"/>
  <c r="AD468" i="4" s="1"/>
  <c r="AD469" i="4" a="1"/>
  <c r="AD469" i="4" s="1"/>
  <c r="AD470" i="4" a="1"/>
  <c r="AD470" i="4" s="1"/>
  <c r="AD471" i="4" a="1"/>
  <c r="AD471" i="4" s="1"/>
  <c r="AD472" i="4" a="1"/>
  <c r="AD472" i="4" s="1"/>
  <c r="AD473" i="4" a="1"/>
  <c r="AD473" i="4" s="1"/>
  <c r="AD474" i="4" a="1"/>
  <c r="AD474" i="4" s="1"/>
  <c r="AD475" i="4" a="1"/>
  <c r="AD475" i="4" s="1"/>
  <c r="AD476" i="4" a="1"/>
  <c r="AD476" i="4" s="1"/>
  <c r="AD477" i="4" a="1"/>
  <c r="AD477" i="4" s="1"/>
  <c r="AD478" i="4" a="1"/>
  <c r="AD478" i="4" s="1"/>
  <c r="AD479" i="4" a="1"/>
  <c r="AD479" i="4" s="1"/>
  <c r="AD480" i="4" a="1"/>
  <c r="AD480" i="4" s="1"/>
  <c r="AD481" i="4" a="1"/>
  <c r="AD481" i="4" s="1"/>
  <c r="AD482" i="4" a="1"/>
  <c r="AD482" i="4" s="1"/>
  <c r="AD483" i="4" a="1"/>
  <c r="AD483" i="4" s="1"/>
  <c r="AD484" i="4" a="1"/>
  <c r="AD484" i="4" s="1"/>
  <c r="AD485" i="4" a="1"/>
  <c r="AD485" i="4" s="1"/>
  <c r="AD486" i="4" a="1"/>
  <c r="AD486" i="4" s="1"/>
  <c r="AD487" i="4" a="1"/>
  <c r="AD487" i="4" s="1"/>
  <c r="AD488" i="4" a="1"/>
  <c r="AD488" i="4" s="1"/>
  <c r="AD489" i="4" a="1"/>
  <c r="AD489" i="4" s="1"/>
  <c r="AD490" i="4" a="1"/>
  <c r="AD490" i="4" s="1"/>
  <c r="AD491" i="4" a="1"/>
  <c r="AD491" i="4" s="1"/>
  <c r="AD492" i="4" a="1"/>
  <c r="AD492" i="4" s="1"/>
  <c r="AD493" i="4" a="1"/>
  <c r="AD493" i="4" s="1"/>
  <c r="AD494" i="4" a="1"/>
  <c r="AD494" i="4" s="1"/>
  <c r="AC2" i="4" a="1"/>
  <c r="AC2" i="4" s="1"/>
  <c r="AC3" i="4" a="1"/>
  <c r="AC3" i="4" s="1"/>
  <c r="AC4" i="4" a="1"/>
  <c r="AC4" i="4" s="1"/>
  <c r="AC5" i="4" a="1"/>
  <c r="AC5" i="4" s="1"/>
  <c r="AC6" i="4" a="1"/>
  <c r="AC6" i="4" s="1"/>
  <c r="AC7" i="4" a="1"/>
  <c r="AC7" i="4" s="1"/>
  <c r="AC8" i="4" a="1"/>
  <c r="AC8" i="4" s="1"/>
  <c r="AC9" i="4" a="1"/>
  <c r="AC9" i="4" s="1"/>
  <c r="AC10" i="4" a="1"/>
  <c r="AC10" i="4" s="1"/>
  <c r="AC11" i="4" a="1"/>
  <c r="AC11" i="4" s="1"/>
  <c r="AC12" i="4" a="1"/>
  <c r="AC12" i="4" s="1"/>
  <c r="AC13" i="4" a="1"/>
  <c r="AC13" i="4" s="1"/>
  <c r="AC14" i="4" a="1"/>
  <c r="AC14" i="4" s="1"/>
  <c r="AC15" i="4" a="1"/>
  <c r="AC15" i="4" s="1"/>
  <c r="AC16" i="4" a="1"/>
  <c r="AC16" i="4" s="1"/>
  <c r="AC17" i="4" a="1"/>
  <c r="AC17" i="4" s="1"/>
  <c r="AC18" i="4" a="1"/>
  <c r="AC18" i="4" s="1"/>
  <c r="AC19" i="4" a="1"/>
  <c r="AC19" i="4" s="1"/>
  <c r="AC20" i="4" a="1"/>
  <c r="AC20" i="4" s="1"/>
  <c r="AC21" i="4" a="1"/>
  <c r="AC21" i="4" s="1"/>
  <c r="AC22" i="4" a="1"/>
  <c r="AC22" i="4" s="1"/>
  <c r="AC23" i="4" a="1"/>
  <c r="AC23" i="4" s="1"/>
  <c r="AC24" i="4" a="1"/>
  <c r="AC24" i="4" s="1"/>
  <c r="AC25" i="4" a="1"/>
  <c r="AC25" i="4" s="1"/>
  <c r="AC26" i="4" a="1"/>
  <c r="AC26" i="4" s="1"/>
  <c r="AC27" i="4" a="1"/>
  <c r="AC27" i="4" s="1"/>
  <c r="AC28" i="4" a="1"/>
  <c r="AC28" i="4" s="1"/>
  <c r="AC29" i="4" a="1"/>
  <c r="AC29" i="4" s="1"/>
  <c r="AC30" i="4" a="1"/>
  <c r="AC30" i="4" s="1"/>
  <c r="AC31" i="4" a="1"/>
  <c r="AC31" i="4" s="1"/>
  <c r="AC32" i="4" a="1"/>
  <c r="AC32" i="4" s="1"/>
  <c r="AC33" i="4" a="1"/>
  <c r="AC33" i="4" s="1"/>
  <c r="AC34" i="4" a="1"/>
  <c r="AC34" i="4" s="1"/>
  <c r="AC35" i="4" a="1"/>
  <c r="AC35" i="4" s="1"/>
  <c r="AC36" i="4" a="1"/>
  <c r="AC36" i="4" s="1"/>
  <c r="AC37" i="4" a="1"/>
  <c r="AC37" i="4" s="1"/>
  <c r="AC38" i="4" a="1"/>
  <c r="AC38" i="4" s="1"/>
  <c r="AC39" i="4" a="1"/>
  <c r="AC39" i="4" s="1"/>
  <c r="AC40" i="4" a="1"/>
  <c r="AC40" i="4" s="1"/>
  <c r="AC41" i="4" a="1"/>
  <c r="AC41" i="4" s="1"/>
  <c r="AC42" i="4" a="1"/>
  <c r="AC42" i="4" s="1"/>
  <c r="AC43" i="4" a="1"/>
  <c r="AC43" i="4" s="1"/>
  <c r="AC44" i="4" a="1"/>
  <c r="AC44" i="4" s="1"/>
  <c r="AC45" i="4" a="1"/>
  <c r="AC45" i="4" s="1"/>
  <c r="AC46" i="4" a="1"/>
  <c r="AC46" i="4" s="1"/>
  <c r="AC47" i="4" a="1"/>
  <c r="AC47" i="4" s="1"/>
  <c r="AC48" i="4" a="1"/>
  <c r="AC48" i="4" s="1"/>
  <c r="AC49" i="4" a="1"/>
  <c r="AC49" i="4" s="1"/>
  <c r="AC50" i="4" a="1"/>
  <c r="AC50" i="4" s="1"/>
  <c r="AC51" i="4" a="1"/>
  <c r="AC51" i="4" s="1"/>
  <c r="AC52" i="4" a="1"/>
  <c r="AC52" i="4" s="1"/>
  <c r="AC53" i="4" a="1"/>
  <c r="AC53" i="4" s="1"/>
  <c r="AC54" i="4" a="1"/>
  <c r="AC54" i="4" s="1"/>
  <c r="AC55" i="4" a="1"/>
  <c r="AC55" i="4" s="1"/>
  <c r="AC56" i="4" a="1"/>
  <c r="AC56" i="4" s="1"/>
  <c r="AC57" i="4" a="1"/>
  <c r="AC57" i="4" s="1"/>
  <c r="AC58" i="4" a="1"/>
  <c r="AC58" i="4" s="1"/>
  <c r="AC59" i="4" a="1"/>
  <c r="AC59" i="4" s="1"/>
  <c r="AC60" i="4" a="1"/>
  <c r="AC60" i="4" s="1"/>
  <c r="AC61" i="4" a="1"/>
  <c r="AC61" i="4" s="1"/>
  <c r="AC62" i="4" a="1"/>
  <c r="AC62" i="4" s="1"/>
  <c r="AC63" i="4" a="1"/>
  <c r="AC63" i="4" s="1"/>
  <c r="AC64" i="4" a="1"/>
  <c r="AC64" i="4" s="1"/>
  <c r="AC65" i="4" a="1"/>
  <c r="AC65" i="4" s="1"/>
  <c r="AC66" i="4" a="1"/>
  <c r="AC66" i="4" s="1"/>
  <c r="AC67" i="4" a="1"/>
  <c r="AC67" i="4" s="1"/>
  <c r="AC68" i="4" a="1"/>
  <c r="AC68" i="4" s="1"/>
  <c r="AC69" i="4" a="1"/>
  <c r="AC69" i="4" s="1"/>
  <c r="AC70" i="4" a="1"/>
  <c r="AC70" i="4" s="1"/>
  <c r="AC71" i="4" a="1"/>
  <c r="AC71" i="4" s="1"/>
  <c r="AC72" i="4" a="1"/>
  <c r="AC72" i="4" s="1"/>
  <c r="AC73" i="4" a="1"/>
  <c r="AC73" i="4" s="1"/>
  <c r="AC74" i="4" a="1"/>
  <c r="AC74" i="4" s="1"/>
  <c r="AC75" i="4" a="1"/>
  <c r="AC75" i="4" s="1"/>
  <c r="AC76" i="4" a="1"/>
  <c r="AC76" i="4" s="1"/>
  <c r="AC77" i="4" a="1"/>
  <c r="AC77" i="4" s="1"/>
  <c r="AC78" i="4" a="1"/>
  <c r="AC78" i="4" s="1"/>
  <c r="AC79" i="4" a="1"/>
  <c r="AC79" i="4" s="1"/>
  <c r="AC80" i="4" a="1"/>
  <c r="AC80" i="4" s="1"/>
  <c r="AC81" i="4" a="1"/>
  <c r="AC81" i="4" s="1"/>
  <c r="AC82" i="4" a="1"/>
  <c r="AC82" i="4" s="1"/>
  <c r="AC83" i="4" a="1"/>
  <c r="AC83" i="4" s="1"/>
  <c r="AC84" i="4" a="1"/>
  <c r="AC84" i="4" s="1"/>
  <c r="AC85" i="4" a="1"/>
  <c r="AC85" i="4" s="1"/>
  <c r="AC86" i="4" a="1"/>
  <c r="AC86" i="4" s="1"/>
  <c r="AC87" i="4" a="1"/>
  <c r="AC87" i="4" s="1"/>
  <c r="AC88" i="4" a="1"/>
  <c r="AC88" i="4" s="1"/>
  <c r="AC89" i="4" a="1"/>
  <c r="AC89" i="4" s="1"/>
  <c r="AC90" i="4" a="1"/>
  <c r="AC90" i="4" s="1"/>
  <c r="AC91" i="4" a="1"/>
  <c r="AC91" i="4" s="1"/>
  <c r="AC92" i="4" a="1"/>
  <c r="AC92" i="4" s="1"/>
  <c r="AC93" i="4" a="1"/>
  <c r="AC93" i="4" s="1"/>
  <c r="AC94" i="4" a="1"/>
  <c r="AC94" i="4" s="1"/>
  <c r="AC95" i="4" a="1"/>
  <c r="AC95" i="4" s="1"/>
  <c r="AC96" i="4" a="1"/>
  <c r="AC96" i="4" s="1"/>
  <c r="AC97" i="4" a="1"/>
  <c r="AC97" i="4" s="1"/>
  <c r="AC98" i="4" a="1"/>
  <c r="AC98" i="4" s="1"/>
  <c r="AC99" i="4" a="1"/>
  <c r="AC99" i="4" s="1"/>
  <c r="AC100" i="4" a="1"/>
  <c r="AC100" i="4" s="1"/>
  <c r="AC101" i="4" a="1"/>
  <c r="AC101" i="4" s="1"/>
  <c r="AC102" i="4" a="1"/>
  <c r="AC102" i="4" s="1"/>
  <c r="AC103" i="4" a="1"/>
  <c r="AC103" i="4" s="1"/>
  <c r="AC104" i="4" a="1"/>
  <c r="AC104" i="4" s="1"/>
  <c r="AC105" i="4" a="1"/>
  <c r="AC105" i="4" s="1"/>
  <c r="AC106" i="4" a="1"/>
  <c r="AC106" i="4" s="1"/>
  <c r="AC107" i="4" a="1"/>
  <c r="AC107" i="4" s="1"/>
  <c r="AC108" i="4" a="1"/>
  <c r="AC108" i="4" s="1"/>
  <c r="AC109" i="4" a="1"/>
  <c r="AC109" i="4" s="1"/>
  <c r="AC110" i="4" a="1"/>
  <c r="AC110" i="4" s="1"/>
  <c r="AC111" i="4" a="1"/>
  <c r="AC111" i="4" s="1"/>
  <c r="AC112" i="4" a="1"/>
  <c r="AC112" i="4" s="1"/>
  <c r="AC113" i="4" a="1"/>
  <c r="AC113" i="4" s="1"/>
  <c r="AC114" i="4" a="1"/>
  <c r="AC114" i="4" s="1"/>
  <c r="AC115" i="4" a="1"/>
  <c r="AC115" i="4" s="1"/>
  <c r="AC116" i="4" a="1"/>
  <c r="AC116" i="4" s="1"/>
  <c r="AC117" i="4" a="1"/>
  <c r="AC117" i="4" s="1"/>
  <c r="AC118" i="4" a="1"/>
  <c r="AC118" i="4" s="1"/>
  <c r="AC119" i="4" a="1"/>
  <c r="AC119" i="4" s="1"/>
  <c r="AC120" i="4" a="1"/>
  <c r="AC120" i="4" s="1"/>
  <c r="AC121" i="4" a="1"/>
  <c r="AC121" i="4" s="1"/>
  <c r="AC122" i="4" a="1"/>
  <c r="AC122" i="4" s="1"/>
  <c r="AC123" i="4" a="1"/>
  <c r="AC123" i="4" s="1"/>
  <c r="AC124" i="4" a="1"/>
  <c r="AC124" i="4" s="1"/>
  <c r="AC125" i="4" a="1"/>
  <c r="AC125" i="4" s="1"/>
  <c r="AC126" i="4" a="1"/>
  <c r="AC126" i="4" s="1"/>
  <c r="AC127" i="4" a="1"/>
  <c r="AC127" i="4" s="1"/>
  <c r="AC128" i="4" a="1"/>
  <c r="AC128" i="4" s="1"/>
  <c r="AC129" i="4" a="1"/>
  <c r="AC129" i="4" s="1"/>
  <c r="AC130" i="4" a="1"/>
  <c r="AC130" i="4" s="1"/>
  <c r="AC131" i="4" a="1"/>
  <c r="AC131" i="4" s="1"/>
  <c r="AC132" i="4" a="1"/>
  <c r="AC132" i="4" s="1"/>
  <c r="AC133" i="4" a="1"/>
  <c r="AC133" i="4" s="1"/>
  <c r="AC134" i="4" a="1"/>
  <c r="AC134" i="4" s="1"/>
  <c r="AC135" i="4" a="1"/>
  <c r="AC135" i="4" s="1"/>
  <c r="AC136" i="4" a="1"/>
  <c r="AC136" i="4" s="1"/>
  <c r="AC137" i="4" a="1"/>
  <c r="AC137" i="4" s="1"/>
  <c r="AC138" i="4" a="1"/>
  <c r="AC138" i="4" s="1"/>
  <c r="AC139" i="4" a="1"/>
  <c r="AC139" i="4" s="1"/>
  <c r="AC140" i="4" a="1"/>
  <c r="AC140" i="4" s="1"/>
  <c r="AC141" i="4" a="1"/>
  <c r="AC141" i="4" s="1"/>
  <c r="AC142" i="4" a="1"/>
  <c r="AC142" i="4" s="1"/>
  <c r="AC143" i="4" a="1"/>
  <c r="AC143" i="4" s="1"/>
  <c r="AC144" i="4" a="1"/>
  <c r="AC144" i="4" s="1"/>
  <c r="AC145" i="4" a="1"/>
  <c r="AC145" i="4" s="1"/>
  <c r="AC146" i="4" a="1"/>
  <c r="AC146" i="4" s="1"/>
  <c r="AC147" i="4" a="1"/>
  <c r="AC147" i="4" s="1"/>
  <c r="AC148" i="4" a="1"/>
  <c r="AC148" i="4" s="1"/>
  <c r="AC149" i="4" a="1"/>
  <c r="AC149" i="4" s="1"/>
  <c r="AC150" i="4" a="1"/>
  <c r="AC150" i="4" s="1"/>
  <c r="AC151" i="4" a="1"/>
  <c r="AC151" i="4" s="1"/>
  <c r="AC152" i="4" a="1"/>
  <c r="AC152" i="4" s="1"/>
  <c r="AC153" i="4" a="1"/>
  <c r="AC153" i="4" s="1"/>
  <c r="AC154" i="4" a="1"/>
  <c r="AC154" i="4" s="1"/>
  <c r="AC155" i="4" a="1"/>
  <c r="AC155" i="4" s="1"/>
  <c r="AC156" i="4" a="1"/>
  <c r="AC156" i="4" s="1"/>
  <c r="AC157" i="4" a="1"/>
  <c r="AC157" i="4" s="1"/>
  <c r="AC158" i="4" a="1"/>
  <c r="AC158" i="4" s="1"/>
  <c r="AC159" i="4" a="1"/>
  <c r="AC159" i="4" s="1"/>
  <c r="AC160" i="4" a="1"/>
  <c r="AC160" i="4" s="1"/>
  <c r="AC161" i="4" a="1"/>
  <c r="AC161" i="4" s="1"/>
  <c r="AC162" i="4" a="1"/>
  <c r="AC162" i="4" s="1"/>
  <c r="AC163" i="4" a="1"/>
  <c r="AC163" i="4" s="1"/>
  <c r="AC164" i="4" a="1"/>
  <c r="AC164" i="4" s="1"/>
  <c r="AC165" i="4" a="1"/>
  <c r="AC165" i="4" s="1"/>
  <c r="AC166" i="4" a="1"/>
  <c r="AC166" i="4" s="1"/>
  <c r="AC167" i="4" a="1"/>
  <c r="AC167" i="4" s="1"/>
  <c r="AC168" i="4" a="1"/>
  <c r="AC168" i="4" s="1"/>
  <c r="AC169" i="4" a="1"/>
  <c r="AC169" i="4" s="1"/>
  <c r="AC170" i="4" a="1"/>
  <c r="AC170" i="4" s="1"/>
  <c r="AC171" i="4" a="1"/>
  <c r="AC171" i="4" s="1"/>
  <c r="AC172" i="4" a="1"/>
  <c r="AC172" i="4" s="1"/>
  <c r="AC173" i="4" a="1"/>
  <c r="AC173" i="4" s="1"/>
  <c r="AC174" i="4" a="1"/>
  <c r="AC174" i="4" s="1"/>
  <c r="AC175" i="4" a="1"/>
  <c r="AC175" i="4" s="1"/>
  <c r="AC176" i="4" a="1"/>
  <c r="AC176" i="4" s="1"/>
  <c r="AC177" i="4" a="1"/>
  <c r="AC177" i="4" s="1"/>
  <c r="AC178" i="4" a="1"/>
  <c r="AC178" i="4" s="1"/>
  <c r="AC179" i="4" a="1"/>
  <c r="AC179" i="4" s="1"/>
  <c r="AC180" i="4" a="1"/>
  <c r="AC180" i="4" s="1"/>
  <c r="AC181" i="4" a="1"/>
  <c r="AC181" i="4" s="1"/>
  <c r="AC182" i="4" a="1"/>
  <c r="AC182" i="4" s="1"/>
  <c r="AC183" i="4" a="1"/>
  <c r="AC183" i="4" s="1"/>
  <c r="AC184" i="4" a="1"/>
  <c r="AC184" i="4" s="1"/>
  <c r="AC185" i="4" a="1"/>
  <c r="AC185" i="4" s="1"/>
  <c r="AC186" i="4" a="1"/>
  <c r="AC186" i="4" s="1"/>
  <c r="AC187" i="4" a="1"/>
  <c r="AC187" i="4" s="1"/>
  <c r="AC188" i="4" a="1"/>
  <c r="AC188" i="4" s="1"/>
  <c r="AC189" i="4" a="1"/>
  <c r="AC189" i="4" s="1"/>
  <c r="AC190" i="4" a="1"/>
  <c r="AC190" i="4" s="1"/>
  <c r="AC191" i="4" a="1"/>
  <c r="AC191" i="4" s="1"/>
  <c r="AC192" i="4" a="1"/>
  <c r="AC192" i="4" s="1"/>
  <c r="AC193" i="4" a="1"/>
  <c r="AC193" i="4" s="1"/>
  <c r="AC194" i="4" a="1"/>
  <c r="AC194" i="4" s="1"/>
  <c r="AC195" i="4" a="1"/>
  <c r="AC195" i="4" s="1"/>
  <c r="AC196" i="4" a="1"/>
  <c r="AC196" i="4" s="1"/>
  <c r="AC197" i="4" a="1"/>
  <c r="AC197" i="4" s="1"/>
  <c r="AC198" i="4" a="1"/>
  <c r="AC198" i="4" s="1"/>
  <c r="AC199" i="4" a="1"/>
  <c r="AC199" i="4" s="1"/>
  <c r="AC200" i="4" a="1"/>
  <c r="AC200" i="4" s="1"/>
  <c r="AC201" i="4" a="1"/>
  <c r="AC201" i="4" s="1"/>
  <c r="AC202" i="4" a="1"/>
  <c r="AC202" i="4" s="1"/>
  <c r="AC203" i="4" a="1"/>
  <c r="AC203" i="4" s="1"/>
  <c r="AC204" i="4" a="1"/>
  <c r="AC204" i="4" s="1"/>
  <c r="AC205" i="4" a="1"/>
  <c r="AC205" i="4" s="1"/>
  <c r="AC206" i="4" a="1"/>
  <c r="AC206" i="4" s="1"/>
  <c r="AC207" i="4" a="1"/>
  <c r="AC207" i="4" s="1"/>
  <c r="AC208" i="4" a="1"/>
  <c r="AC208" i="4" s="1"/>
  <c r="AC209" i="4" a="1"/>
  <c r="AC209" i="4" s="1"/>
  <c r="AC210" i="4" a="1"/>
  <c r="AC210" i="4" s="1"/>
  <c r="AC211" i="4" a="1"/>
  <c r="AC211" i="4" s="1"/>
  <c r="AC212" i="4" a="1"/>
  <c r="AC212" i="4" s="1"/>
  <c r="AC213" i="4" a="1"/>
  <c r="AC213" i="4" s="1"/>
  <c r="AC214" i="4" a="1"/>
  <c r="AC214" i="4" s="1"/>
  <c r="AC215" i="4" a="1"/>
  <c r="AC215" i="4" s="1"/>
  <c r="AC216" i="4" a="1"/>
  <c r="AC216" i="4" s="1"/>
  <c r="AC217" i="4" a="1"/>
  <c r="AC217" i="4" s="1"/>
  <c r="AC218" i="4" a="1"/>
  <c r="AC218" i="4" s="1"/>
  <c r="AC219" i="4" a="1"/>
  <c r="AC219" i="4" s="1"/>
  <c r="AC220" i="4" a="1"/>
  <c r="AC220" i="4" s="1"/>
  <c r="AC221" i="4" a="1"/>
  <c r="AC221" i="4" s="1"/>
  <c r="AC222" i="4" a="1"/>
  <c r="AC222" i="4" s="1"/>
  <c r="AC223" i="4" a="1"/>
  <c r="AC223" i="4" s="1"/>
  <c r="AC224" i="4" a="1"/>
  <c r="AC224" i="4" s="1"/>
  <c r="AC225" i="4" a="1"/>
  <c r="AC225" i="4" s="1"/>
  <c r="AC226" i="4" a="1"/>
  <c r="AC226" i="4" s="1"/>
  <c r="AC227" i="4" a="1"/>
  <c r="AC227" i="4" s="1"/>
  <c r="AC228" i="4" a="1"/>
  <c r="AC228" i="4" s="1"/>
  <c r="AC229" i="4" a="1"/>
  <c r="AC229" i="4" s="1"/>
  <c r="AC230" i="4" a="1"/>
  <c r="AC230" i="4" s="1"/>
  <c r="AC231" i="4" a="1"/>
  <c r="AC231" i="4" s="1"/>
  <c r="AC232" i="4" a="1"/>
  <c r="AC232" i="4" s="1"/>
  <c r="AC233" i="4" a="1"/>
  <c r="AC233" i="4" s="1"/>
  <c r="AC234" i="4" a="1"/>
  <c r="AC234" i="4" s="1"/>
  <c r="AC235" i="4" a="1"/>
  <c r="AC235" i="4" s="1"/>
  <c r="AC236" i="4" a="1"/>
  <c r="AC236" i="4" s="1"/>
  <c r="AC237" i="4" a="1"/>
  <c r="AC237" i="4" s="1"/>
  <c r="AC238" i="4" a="1"/>
  <c r="AC238" i="4" s="1"/>
  <c r="AC239" i="4" a="1"/>
  <c r="AC239" i="4" s="1"/>
  <c r="AC240" i="4" a="1"/>
  <c r="AC240" i="4" s="1"/>
  <c r="AC241" i="4" a="1"/>
  <c r="AC241" i="4" s="1"/>
  <c r="AC242" i="4" a="1"/>
  <c r="AC242" i="4" s="1"/>
  <c r="AC243" i="4" a="1"/>
  <c r="AC243" i="4" s="1"/>
  <c r="AC244" i="4" a="1"/>
  <c r="AC244" i="4" s="1"/>
  <c r="AC245" i="4" a="1"/>
  <c r="AC245" i="4" s="1"/>
  <c r="AC246" i="4" a="1"/>
  <c r="AC246" i="4" s="1"/>
  <c r="AC247" i="4" a="1"/>
  <c r="AC247" i="4" s="1"/>
  <c r="AC248" i="4" a="1"/>
  <c r="AC248" i="4" s="1"/>
  <c r="AC249" i="4" a="1"/>
  <c r="AC249" i="4" s="1"/>
  <c r="AC250" i="4" a="1"/>
  <c r="AC250" i="4" s="1"/>
  <c r="AC251" i="4" a="1"/>
  <c r="AC251" i="4" s="1"/>
  <c r="AC252" i="4" a="1"/>
  <c r="AC252" i="4" s="1"/>
  <c r="AC253" i="4" a="1"/>
  <c r="AC253" i="4" s="1"/>
  <c r="AC254" i="4" a="1"/>
  <c r="AC254" i="4" s="1"/>
  <c r="AC255" i="4" a="1"/>
  <c r="AC255" i="4" s="1"/>
  <c r="AC256" i="4" a="1"/>
  <c r="AC256" i="4" s="1"/>
  <c r="AC257" i="4" a="1"/>
  <c r="AC257" i="4" s="1"/>
  <c r="AC258" i="4" a="1"/>
  <c r="AC258" i="4" s="1"/>
  <c r="AC259" i="4" a="1"/>
  <c r="AC259" i="4" s="1"/>
  <c r="AC260" i="4" a="1"/>
  <c r="AC260" i="4" s="1"/>
  <c r="AC261" i="4" a="1"/>
  <c r="AC261" i="4" s="1"/>
  <c r="AC262" i="4" a="1"/>
  <c r="AC262" i="4" s="1"/>
  <c r="AC263" i="4" a="1"/>
  <c r="AC263" i="4" s="1"/>
  <c r="AC264" i="4" a="1"/>
  <c r="AC264" i="4" s="1"/>
  <c r="AC265" i="4" a="1"/>
  <c r="AC265" i="4" s="1"/>
  <c r="AC266" i="4" a="1"/>
  <c r="AC266" i="4" s="1"/>
  <c r="AC267" i="4" a="1"/>
  <c r="AC267" i="4" s="1"/>
  <c r="AC268" i="4" a="1"/>
  <c r="AC268" i="4" s="1"/>
  <c r="AC269" i="4" a="1"/>
  <c r="AC269" i="4" s="1"/>
  <c r="AC270" i="4" a="1"/>
  <c r="AC270" i="4" s="1"/>
  <c r="AC271" i="4" a="1"/>
  <c r="AC271" i="4" s="1"/>
  <c r="AC272" i="4" a="1"/>
  <c r="AC272" i="4" s="1"/>
  <c r="AC273" i="4" a="1"/>
  <c r="AC273" i="4" s="1"/>
  <c r="AC274" i="4" a="1"/>
  <c r="AC274" i="4" s="1"/>
  <c r="AC275" i="4" a="1"/>
  <c r="AC275" i="4" s="1"/>
  <c r="AC276" i="4" a="1"/>
  <c r="AC276" i="4" s="1"/>
  <c r="AC277" i="4" a="1"/>
  <c r="AC277" i="4" s="1"/>
  <c r="AC278" i="4" a="1"/>
  <c r="AC278" i="4" s="1"/>
  <c r="AC279" i="4" a="1"/>
  <c r="AC279" i="4" s="1"/>
  <c r="AC280" i="4" a="1"/>
  <c r="AC280" i="4" s="1"/>
  <c r="AC281" i="4" a="1"/>
  <c r="AC281" i="4" s="1"/>
  <c r="AC282" i="4" a="1"/>
  <c r="AC282" i="4" s="1"/>
  <c r="AC283" i="4" a="1"/>
  <c r="AC283" i="4" s="1"/>
  <c r="AC284" i="4" a="1"/>
  <c r="AC284" i="4" s="1"/>
  <c r="AC285" i="4" a="1"/>
  <c r="AC285" i="4" s="1"/>
  <c r="AC286" i="4" a="1"/>
  <c r="AC286" i="4" s="1"/>
  <c r="AC287" i="4" a="1"/>
  <c r="AC287" i="4" s="1"/>
  <c r="AC288" i="4" a="1"/>
  <c r="AC288" i="4" s="1"/>
  <c r="AC289" i="4" a="1"/>
  <c r="AC289" i="4" s="1"/>
  <c r="AC290" i="4" a="1"/>
  <c r="AC290" i="4" s="1"/>
  <c r="AC291" i="4" a="1"/>
  <c r="AC291" i="4" s="1"/>
  <c r="AC292" i="4" a="1"/>
  <c r="AC292" i="4" s="1"/>
  <c r="AC293" i="4" a="1"/>
  <c r="AC293" i="4" s="1"/>
  <c r="AC294" i="4" a="1"/>
  <c r="AC294" i="4" s="1"/>
  <c r="AC295" i="4" a="1"/>
  <c r="AC295" i="4" s="1"/>
  <c r="AC296" i="4" a="1"/>
  <c r="AC296" i="4" s="1"/>
  <c r="AC297" i="4" a="1"/>
  <c r="AC297" i="4" s="1"/>
  <c r="AC298" i="4" a="1"/>
  <c r="AC298" i="4" s="1"/>
  <c r="AC299" i="4" a="1"/>
  <c r="AC299" i="4" s="1"/>
  <c r="AC300" i="4" a="1"/>
  <c r="AC300" i="4" s="1"/>
  <c r="AC301" i="4" a="1"/>
  <c r="AC301" i="4" s="1"/>
  <c r="AC302" i="4" a="1"/>
  <c r="AC302" i="4" s="1"/>
  <c r="AC303" i="4" a="1"/>
  <c r="AC303" i="4" s="1"/>
  <c r="AC304" i="4" a="1"/>
  <c r="AC304" i="4" s="1"/>
  <c r="AC305" i="4" a="1"/>
  <c r="AC305" i="4" s="1"/>
  <c r="AC306" i="4" a="1"/>
  <c r="AC306" i="4" s="1"/>
  <c r="AC307" i="4" a="1"/>
  <c r="AC307" i="4" s="1"/>
  <c r="AC308" i="4" a="1"/>
  <c r="AC308" i="4" s="1"/>
  <c r="AC309" i="4" a="1"/>
  <c r="AC309" i="4" s="1"/>
  <c r="AC310" i="4" a="1"/>
  <c r="AC310" i="4" s="1"/>
  <c r="AC311" i="4" a="1"/>
  <c r="AC311" i="4" s="1"/>
  <c r="AC312" i="4" a="1"/>
  <c r="AC312" i="4" s="1"/>
  <c r="AC313" i="4" a="1"/>
  <c r="AC313" i="4" s="1"/>
  <c r="AC314" i="4" a="1"/>
  <c r="AC314" i="4" s="1"/>
  <c r="AC315" i="4" a="1"/>
  <c r="AC315" i="4" s="1"/>
  <c r="AC316" i="4" a="1"/>
  <c r="AC316" i="4" s="1"/>
  <c r="AC317" i="4" a="1"/>
  <c r="AC317" i="4" s="1"/>
  <c r="AC318" i="4" a="1"/>
  <c r="AC318" i="4" s="1"/>
  <c r="AC319" i="4" a="1"/>
  <c r="AC319" i="4" s="1"/>
  <c r="AC320" i="4" a="1"/>
  <c r="AC320" i="4" s="1"/>
  <c r="AC321" i="4" a="1"/>
  <c r="AC321" i="4" s="1"/>
  <c r="AC322" i="4" a="1"/>
  <c r="AC322" i="4" s="1"/>
  <c r="AC323" i="4" a="1"/>
  <c r="AC323" i="4" s="1"/>
  <c r="AC324" i="4" a="1"/>
  <c r="AC324" i="4" s="1"/>
  <c r="AC325" i="4" a="1"/>
  <c r="AC325" i="4" s="1"/>
  <c r="AC326" i="4" a="1"/>
  <c r="AC326" i="4" s="1"/>
  <c r="AC327" i="4" a="1"/>
  <c r="AC327" i="4" s="1"/>
  <c r="AC328" i="4" a="1"/>
  <c r="AC328" i="4" s="1"/>
  <c r="AC329" i="4" a="1"/>
  <c r="AC329" i="4" s="1"/>
  <c r="AC330" i="4" a="1"/>
  <c r="AC330" i="4" s="1"/>
  <c r="AC331" i="4" a="1"/>
  <c r="AC331" i="4" s="1"/>
  <c r="AC332" i="4" a="1"/>
  <c r="AC332" i="4" s="1"/>
  <c r="AC333" i="4" a="1"/>
  <c r="AC333" i="4" s="1"/>
  <c r="AC334" i="4" a="1"/>
  <c r="AC334" i="4" s="1"/>
  <c r="AC335" i="4" a="1"/>
  <c r="AC335" i="4" s="1"/>
  <c r="AC336" i="4" a="1"/>
  <c r="AC336" i="4" s="1"/>
  <c r="AC337" i="4" a="1"/>
  <c r="AC337" i="4" s="1"/>
  <c r="AC338" i="4" a="1"/>
  <c r="AC338" i="4" s="1"/>
  <c r="AC339" i="4" a="1"/>
  <c r="AC339" i="4" s="1"/>
  <c r="AC340" i="4" a="1"/>
  <c r="AC340" i="4" s="1"/>
  <c r="AC341" i="4" a="1"/>
  <c r="AC341" i="4" s="1"/>
  <c r="AC342" i="4" a="1"/>
  <c r="AC342" i="4" s="1"/>
  <c r="AC343" i="4" a="1"/>
  <c r="AC343" i="4" s="1"/>
  <c r="AC344" i="4" a="1"/>
  <c r="AC344" i="4" s="1"/>
  <c r="AC345" i="4" a="1"/>
  <c r="AC345" i="4" s="1"/>
  <c r="AC346" i="4" a="1"/>
  <c r="AC346" i="4" s="1"/>
  <c r="AC347" i="4" a="1"/>
  <c r="AC347" i="4" s="1"/>
  <c r="AC348" i="4" a="1"/>
  <c r="AC348" i="4" s="1"/>
  <c r="AC349" i="4" a="1"/>
  <c r="AC349" i="4" s="1"/>
  <c r="AC350" i="4" a="1"/>
  <c r="AC350" i="4" s="1"/>
  <c r="AC351" i="4" a="1"/>
  <c r="AC351" i="4" s="1"/>
  <c r="AC352" i="4" a="1"/>
  <c r="AC352" i="4" s="1"/>
  <c r="AC353" i="4" a="1"/>
  <c r="AC353" i="4" s="1"/>
  <c r="AC354" i="4" a="1"/>
  <c r="AC354" i="4" s="1"/>
  <c r="AC355" i="4" a="1"/>
  <c r="AC355" i="4" s="1"/>
  <c r="AC356" i="4" a="1"/>
  <c r="AC356" i="4" s="1"/>
  <c r="AC357" i="4" a="1"/>
  <c r="AC357" i="4" s="1"/>
  <c r="AC358" i="4" a="1"/>
  <c r="AC358" i="4" s="1"/>
  <c r="AC359" i="4" a="1"/>
  <c r="AC359" i="4" s="1"/>
  <c r="AC360" i="4" a="1"/>
  <c r="AC360" i="4" s="1"/>
  <c r="AC361" i="4" a="1"/>
  <c r="AC361" i="4" s="1"/>
  <c r="AC362" i="4" a="1"/>
  <c r="AC362" i="4" s="1"/>
  <c r="AC363" i="4" a="1"/>
  <c r="AC363" i="4" s="1"/>
  <c r="AC364" i="4" a="1"/>
  <c r="AC364" i="4" s="1"/>
  <c r="AC365" i="4" a="1"/>
  <c r="AC365" i="4" s="1"/>
  <c r="AC366" i="4" a="1"/>
  <c r="AC366" i="4" s="1"/>
  <c r="AC367" i="4" a="1"/>
  <c r="AC367" i="4" s="1"/>
  <c r="AC368" i="4" a="1"/>
  <c r="AC368" i="4" s="1"/>
  <c r="AC369" i="4" a="1"/>
  <c r="AC369" i="4" s="1"/>
  <c r="AC370" i="4" a="1"/>
  <c r="AC370" i="4" s="1"/>
  <c r="AC371" i="4" a="1"/>
  <c r="AC371" i="4" s="1"/>
  <c r="AC372" i="4" a="1"/>
  <c r="AC372" i="4" s="1"/>
  <c r="AC373" i="4" a="1"/>
  <c r="AC373" i="4" s="1"/>
  <c r="AC374" i="4" a="1"/>
  <c r="AC374" i="4" s="1"/>
  <c r="AC375" i="4" a="1"/>
  <c r="AC375" i="4" s="1"/>
  <c r="AC376" i="4" a="1"/>
  <c r="AC376" i="4" s="1"/>
  <c r="AC377" i="4" a="1"/>
  <c r="AC377" i="4" s="1"/>
  <c r="AC378" i="4" a="1"/>
  <c r="AC378" i="4" s="1"/>
  <c r="AC379" i="4" a="1"/>
  <c r="AC379" i="4" s="1"/>
  <c r="AC380" i="4" a="1"/>
  <c r="AC380" i="4" s="1"/>
  <c r="AC381" i="4" a="1"/>
  <c r="AC381" i="4" s="1"/>
  <c r="AC382" i="4" a="1"/>
  <c r="AC382" i="4" s="1"/>
  <c r="AC383" i="4" a="1"/>
  <c r="AC383" i="4" s="1"/>
  <c r="AC384" i="4" a="1"/>
  <c r="AC384" i="4" s="1"/>
  <c r="AC385" i="4" a="1"/>
  <c r="AC385" i="4" s="1"/>
  <c r="AC386" i="4" a="1"/>
  <c r="AC386" i="4" s="1"/>
  <c r="AC387" i="4" a="1"/>
  <c r="AC387" i="4" s="1"/>
  <c r="AC388" i="4" a="1"/>
  <c r="AC388" i="4" s="1"/>
  <c r="AC389" i="4" a="1"/>
  <c r="AC389" i="4" s="1"/>
  <c r="AC390" i="4" a="1"/>
  <c r="AC390" i="4" s="1"/>
  <c r="AC391" i="4" a="1"/>
  <c r="AC391" i="4" s="1"/>
  <c r="AC392" i="4" a="1"/>
  <c r="AC392" i="4" s="1"/>
  <c r="AC393" i="4" a="1"/>
  <c r="AC393" i="4" s="1"/>
  <c r="AC394" i="4" a="1"/>
  <c r="AC394" i="4" s="1"/>
  <c r="AC395" i="4" a="1"/>
  <c r="AC395" i="4" s="1"/>
  <c r="AC396" i="4" a="1"/>
  <c r="AC396" i="4" s="1"/>
  <c r="AC397" i="4" a="1"/>
  <c r="AC397" i="4" s="1"/>
  <c r="AC398" i="4" a="1"/>
  <c r="AC398" i="4" s="1"/>
  <c r="AC399" i="4" a="1"/>
  <c r="AC399" i="4" s="1"/>
  <c r="AC400" i="4" a="1"/>
  <c r="AC400" i="4" s="1"/>
  <c r="AC401" i="4" a="1"/>
  <c r="AC401" i="4" s="1"/>
  <c r="AC402" i="4" a="1"/>
  <c r="AC402" i="4" s="1"/>
  <c r="AC403" i="4" a="1"/>
  <c r="AC403" i="4" s="1"/>
  <c r="AC404" i="4" a="1"/>
  <c r="AC404" i="4" s="1"/>
  <c r="AC405" i="4" a="1"/>
  <c r="AC405" i="4" s="1"/>
  <c r="AC406" i="4" a="1"/>
  <c r="AC406" i="4" s="1"/>
  <c r="AC407" i="4" a="1"/>
  <c r="AC407" i="4" s="1"/>
  <c r="AC408" i="4" a="1"/>
  <c r="AC408" i="4" s="1"/>
  <c r="AC409" i="4" a="1"/>
  <c r="AC409" i="4" s="1"/>
  <c r="AC410" i="4" a="1"/>
  <c r="AC410" i="4" s="1"/>
  <c r="AC411" i="4" a="1"/>
  <c r="AC411" i="4" s="1"/>
  <c r="AC412" i="4" a="1"/>
  <c r="AC412" i="4" s="1"/>
  <c r="AC413" i="4" a="1"/>
  <c r="AC413" i="4" s="1"/>
  <c r="AC414" i="4" a="1"/>
  <c r="AC414" i="4" s="1"/>
  <c r="AC415" i="4" a="1"/>
  <c r="AC415" i="4" s="1"/>
  <c r="AC416" i="4" a="1"/>
  <c r="AC416" i="4" s="1"/>
  <c r="AC417" i="4" a="1"/>
  <c r="AC417" i="4" s="1"/>
  <c r="AC418" i="4" a="1"/>
  <c r="AC418" i="4" s="1"/>
  <c r="AC419" i="4" a="1"/>
  <c r="AC419" i="4" s="1"/>
  <c r="AC420" i="4" a="1"/>
  <c r="AC420" i="4" s="1"/>
  <c r="AC421" i="4" a="1"/>
  <c r="AC421" i="4" s="1"/>
  <c r="AC422" i="4" a="1"/>
  <c r="AC422" i="4" s="1"/>
  <c r="AC423" i="4" a="1"/>
  <c r="AC423" i="4" s="1"/>
  <c r="AC424" i="4" a="1"/>
  <c r="AC424" i="4" s="1"/>
  <c r="AC425" i="4" a="1"/>
  <c r="AC425" i="4" s="1"/>
  <c r="AC426" i="4" a="1"/>
  <c r="AC426" i="4" s="1"/>
  <c r="AC427" i="4" a="1"/>
  <c r="AC427" i="4" s="1"/>
  <c r="AC428" i="4" a="1"/>
  <c r="AC428" i="4" s="1"/>
  <c r="AC429" i="4" a="1"/>
  <c r="AC429" i="4" s="1"/>
  <c r="AC430" i="4" a="1"/>
  <c r="AC430" i="4" s="1"/>
  <c r="AC431" i="4" a="1"/>
  <c r="AC431" i="4" s="1"/>
  <c r="AC432" i="4" a="1"/>
  <c r="AC432" i="4" s="1"/>
  <c r="AC433" i="4" a="1"/>
  <c r="AC433" i="4" s="1"/>
  <c r="AC434" i="4" a="1"/>
  <c r="AC434" i="4" s="1"/>
  <c r="AC435" i="4" a="1"/>
  <c r="AC435" i="4" s="1"/>
  <c r="AC436" i="4" a="1"/>
  <c r="AC436" i="4" s="1"/>
  <c r="AC437" i="4" a="1"/>
  <c r="AC437" i="4" s="1"/>
  <c r="AC438" i="4" a="1"/>
  <c r="AC438" i="4" s="1"/>
  <c r="AC439" i="4" a="1"/>
  <c r="AC439" i="4" s="1"/>
  <c r="AC440" i="4" a="1"/>
  <c r="AC440" i="4" s="1"/>
  <c r="AC441" i="4" a="1"/>
  <c r="AC441" i="4" s="1"/>
  <c r="AC442" i="4" a="1"/>
  <c r="AC442" i="4" s="1"/>
  <c r="AC443" i="4" a="1"/>
  <c r="AC443" i="4" s="1"/>
  <c r="AC444" i="4" a="1"/>
  <c r="AC444" i="4" s="1"/>
  <c r="AC445" i="4" a="1"/>
  <c r="AC445" i="4" s="1"/>
  <c r="AC446" i="4" a="1"/>
  <c r="AC446" i="4" s="1"/>
  <c r="AC447" i="4" a="1"/>
  <c r="AC447" i="4" s="1"/>
  <c r="AC448" i="4" a="1"/>
  <c r="AC448" i="4" s="1"/>
  <c r="AC449" i="4" a="1"/>
  <c r="AC449" i="4" s="1"/>
  <c r="AC450" i="4" a="1"/>
  <c r="AC450" i="4" s="1"/>
  <c r="AC451" i="4" a="1"/>
  <c r="AC451" i="4" s="1"/>
  <c r="AC452" i="4" a="1"/>
  <c r="AC452" i="4" s="1"/>
  <c r="AC453" i="4" a="1"/>
  <c r="AC453" i="4" s="1"/>
  <c r="AC454" i="4" a="1"/>
  <c r="AC454" i="4" s="1"/>
  <c r="AC455" i="4" a="1"/>
  <c r="AC455" i="4" s="1"/>
  <c r="AC456" i="4" a="1"/>
  <c r="AC456" i="4" s="1"/>
  <c r="AC457" i="4" a="1"/>
  <c r="AC457" i="4" s="1"/>
  <c r="AC458" i="4" a="1"/>
  <c r="AC458" i="4" s="1"/>
  <c r="AC459" i="4" a="1"/>
  <c r="AC459" i="4" s="1"/>
  <c r="AC460" i="4" a="1"/>
  <c r="AC460" i="4" s="1"/>
  <c r="AC461" i="4" a="1"/>
  <c r="AC461" i="4" s="1"/>
  <c r="AC462" i="4" a="1"/>
  <c r="AC462" i="4" s="1"/>
  <c r="AC463" i="4" a="1"/>
  <c r="AC463" i="4" s="1"/>
  <c r="AC464" i="4" a="1"/>
  <c r="AC464" i="4" s="1"/>
  <c r="AC465" i="4" a="1"/>
  <c r="AC465" i="4" s="1"/>
  <c r="AC466" i="4" a="1"/>
  <c r="AC466" i="4" s="1"/>
  <c r="AC467" i="4" a="1"/>
  <c r="AC467" i="4" s="1"/>
  <c r="AC468" i="4" a="1"/>
  <c r="AC468" i="4" s="1"/>
  <c r="AC469" i="4" a="1"/>
  <c r="AC469" i="4" s="1"/>
  <c r="AC470" i="4" a="1"/>
  <c r="AC470" i="4" s="1"/>
  <c r="AC471" i="4" a="1"/>
  <c r="AC471" i="4" s="1"/>
  <c r="AC472" i="4" a="1"/>
  <c r="AC472" i="4" s="1"/>
  <c r="AC473" i="4" a="1"/>
  <c r="AC473" i="4" s="1"/>
  <c r="AC474" i="4" a="1"/>
  <c r="AC474" i="4" s="1"/>
  <c r="AC475" i="4" a="1"/>
  <c r="AC475" i="4" s="1"/>
  <c r="AC476" i="4" a="1"/>
  <c r="AC476" i="4" s="1"/>
  <c r="AC477" i="4" a="1"/>
  <c r="AC477" i="4" s="1"/>
  <c r="AC478" i="4" a="1"/>
  <c r="AC478" i="4" s="1"/>
  <c r="AC479" i="4" a="1"/>
  <c r="AC479" i="4" s="1"/>
  <c r="AC480" i="4" a="1"/>
  <c r="AC480" i="4" s="1"/>
  <c r="AC481" i="4" a="1"/>
  <c r="AC481" i="4" s="1"/>
  <c r="AC482" i="4" a="1"/>
  <c r="AC482" i="4" s="1"/>
  <c r="AC483" i="4" a="1"/>
  <c r="AC483" i="4" s="1"/>
  <c r="AC484" i="4" a="1"/>
  <c r="AC484" i="4" s="1"/>
  <c r="AC485" i="4" a="1"/>
  <c r="AC485" i="4" s="1"/>
  <c r="AC486" i="4" a="1"/>
  <c r="AC486" i="4" s="1"/>
  <c r="AC487" i="4" a="1"/>
  <c r="AC487" i="4" s="1"/>
  <c r="AC488" i="4" a="1"/>
  <c r="AC488" i="4" s="1"/>
  <c r="AC489" i="4" a="1"/>
  <c r="AC489" i="4" s="1"/>
  <c r="AC490" i="4" a="1"/>
  <c r="AC490" i="4" s="1"/>
  <c r="AC491" i="4" a="1"/>
  <c r="AC491" i="4" s="1"/>
  <c r="AC492" i="4" a="1"/>
  <c r="AC492" i="4" s="1"/>
  <c r="AC493" i="4" a="1"/>
  <c r="AC493" i="4" s="1"/>
  <c r="AC494" i="4" a="1"/>
  <c r="AC494" i="4" s="1"/>
  <c r="V3" i="5" l="1"/>
  <c r="W2" i="4" a="1"/>
  <c r="W2" i="4" s="1"/>
  <c r="W3" i="4" a="1"/>
  <c r="W3" i="4" s="1"/>
  <c r="W4" i="4" a="1"/>
  <c r="W4" i="4" s="1"/>
  <c r="W5" i="4" a="1"/>
  <c r="W5" i="4" s="1"/>
  <c r="W6" i="4" a="1"/>
  <c r="W6" i="4" s="1"/>
  <c r="W7" i="4" a="1"/>
  <c r="W7" i="4" s="1"/>
  <c r="W8" i="4" a="1"/>
  <c r="W8" i="4" s="1"/>
  <c r="W9" i="4" a="1"/>
  <c r="W9" i="4" s="1"/>
  <c r="W10" i="4" a="1"/>
  <c r="W10" i="4" s="1"/>
  <c r="W11" i="4" a="1"/>
  <c r="W11" i="4" s="1"/>
  <c r="W12" i="4" a="1"/>
  <c r="W12" i="4" s="1"/>
  <c r="W13" i="4" a="1"/>
  <c r="W13" i="4" s="1"/>
  <c r="W14" i="4" a="1"/>
  <c r="W14" i="4" s="1"/>
  <c r="W15" i="4" a="1"/>
  <c r="W15" i="4" s="1"/>
  <c r="W16" i="4" a="1"/>
  <c r="W16" i="4" s="1"/>
  <c r="W17" i="4" a="1"/>
  <c r="W17" i="4" s="1"/>
  <c r="W18" i="4" a="1"/>
  <c r="W18" i="4" s="1"/>
  <c r="W19" i="4" a="1"/>
  <c r="W19" i="4" s="1"/>
  <c r="W20" i="4" a="1"/>
  <c r="W20" i="4" s="1"/>
  <c r="W21" i="4" a="1"/>
  <c r="W21" i="4" s="1"/>
  <c r="W22" i="4" a="1"/>
  <c r="W22" i="4" s="1"/>
  <c r="W23" i="4" a="1"/>
  <c r="W23" i="4" s="1"/>
  <c r="W24" i="4" a="1"/>
  <c r="W24" i="4" s="1"/>
  <c r="W25" i="4" a="1"/>
  <c r="W25" i="4" s="1"/>
  <c r="W26" i="4" a="1"/>
  <c r="W26" i="4" s="1"/>
  <c r="W27" i="4" a="1"/>
  <c r="W27" i="4" s="1"/>
  <c r="W28" i="4" a="1"/>
  <c r="W28" i="4" s="1"/>
  <c r="W29" i="4" a="1"/>
  <c r="W29" i="4" s="1"/>
  <c r="W30" i="4" a="1"/>
  <c r="W30" i="4" s="1"/>
  <c r="W31" i="4" a="1"/>
  <c r="W31" i="4" s="1"/>
  <c r="W32" i="4" a="1"/>
  <c r="W32" i="4" s="1"/>
  <c r="W33" i="4" a="1"/>
  <c r="W33" i="4" s="1"/>
  <c r="W34" i="4" a="1"/>
  <c r="W34" i="4" s="1"/>
  <c r="W35" i="4" a="1"/>
  <c r="W35" i="4" s="1"/>
  <c r="W36" i="4" a="1"/>
  <c r="W36" i="4" s="1"/>
  <c r="W37" i="4" a="1"/>
  <c r="W37" i="4" s="1"/>
  <c r="W38" i="4" a="1"/>
  <c r="W38" i="4" s="1"/>
  <c r="W39" i="4" a="1"/>
  <c r="W39" i="4" s="1"/>
  <c r="W40" i="4" a="1"/>
  <c r="W40" i="4" s="1"/>
  <c r="W41" i="4" a="1"/>
  <c r="W41" i="4" s="1"/>
  <c r="W42" i="4" a="1"/>
  <c r="W42" i="4" s="1"/>
  <c r="W43" i="4" a="1"/>
  <c r="W43" i="4" s="1"/>
  <c r="W44" i="4" a="1"/>
  <c r="W44" i="4" s="1"/>
  <c r="W45" i="4" a="1"/>
  <c r="W45" i="4" s="1"/>
  <c r="W46" i="4" a="1"/>
  <c r="W46" i="4" s="1"/>
  <c r="W47" i="4" a="1"/>
  <c r="W47" i="4" s="1"/>
  <c r="W48" i="4" a="1"/>
  <c r="W48" i="4" s="1"/>
  <c r="W49" i="4" a="1"/>
  <c r="W49" i="4" s="1"/>
  <c r="W50" i="4" a="1"/>
  <c r="W50" i="4" s="1"/>
  <c r="W51" i="4" a="1"/>
  <c r="W51" i="4" s="1"/>
  <c r="W52" i="4" a="1"/>
  <c r="W52" i="4" s="1"/>
  <c r="W53" i="4" a="1"/>
  <c r="W53" i="4" s="1"/>
  <c r="W54" i="4" a="1"/>
  <c r="W54" i="4" s="1"/>
  <c r="W55" i="4" a="1"/>
  <c r="W55" i="4" s="1"/>
  <c r="W56" i="4" a="1"/>
  <c r="W56" i="4" s="1"/>
  <c r="W57" i="4" a="1"/>
  <c r="W57" i="4" s="1"/>
  <c r="W58" i="4" a="1"/>
  <c r="W58" i="4" s="1"/>
  <c r="W59" i="4" a="1"/>
  <c r="W59" i="4" s="1"/>
  <c r="W60" i="4" a="1"/>
  <c r="W60" i="4" s="1"/>
  <c r="W61" i="4" a="1"/>
  <c r="W61" i="4" s="1"/>
  <c r="W62" i="4" a="1"/>
  <c r="W62" i="4" s="1"/>
  <c r="W63" i="4" a="1"/>
  <c r="W63" i="4" s="1"/>
  <c r="W64" i="4" a="1"/>
  <c r="W64" i="4" s="1"/>
  <c r="W65" i="4" a="1"/>
  <c r="W65" i="4" s="1"/>
  <c r="W66" i="4" a="1"/>
  <c r="W66" i="4" s="1"/>
  <c r="W67" i="4" a="1"/>
  <c r="W67" i="4" s="1"/>
  <c r="W68" i="4" a="1"/>
  <c r="W68" i="4" s="1"/>
  <c r="W69" i="4" a="1"/>
  <c r="W69" i="4" s="1"/>
  <c r="W70" i="4" a="1"/>
  <c r="W70" i="4" s="1"/>
  <c r="W71" i="4" a="1"/>
  <c r="W71" i="4" s="1"/>
  <c r="W72" i="4" a="1"/>
  <c r="W72" i="4" s="1"/>
  <c r="W73" i="4" a="1"/>
  <c r="W73" i="4" s="1"/>
  <c r="W74" i="4" a="1"/>
  <c r="W74" i="4" s="1"/>
  <c r="W75" i="4" a="1"/>
  <c r="W75" i="4" s="1"/>
  <c r="W76" i="4" a="1"/>
  <c r="W76" i="4" s="1"/>
  <c r="W77" i="4" a="1"/>
  <c r="W77" i="4" s="1"/>
  <c r="W78" i="4" a="1"/>
  <c r="W78" i="4" s="1"/>
  <c r="W79" i="4" a="1"/>
  <c r="W79" i="4" s="1"/>
  <c r="W80" i="4" a="1"/>
  <c r="W80" i="4" s="1"/>
  <c r="W81" i="4" a="1"/>
  <c r="W81" i="4" s="1"/>
  <c r="W82" i="4" a="1"/>
  <c r="W82" i="4" s="1"/>
  <c r="W83" i="4" a="1"/>
  <c r="W83" i="4" s="1"/>
  <c r="W84" i="4" a="1"/>
  <c r="W84" i="4" s="1"/>
  <c r="W85" i="4" a="1"/>
  <c r="W85" i="4" s="1"/>
  <c r="W86" i="4" a="1"/>
  <c r="W86" i="4" s="1"/>
  <c r="W87" i="4" a="1"/>
  <c r="W87" i="4" s="1"/>
  <c r="W88" i="4" a="1"/>
  <c r="W88" i="4" s="1"/>
  <c r="W89" i="4" a="1"/>
  <c r="W89" i="4" s="1"/>
  <c r="W90" i="4" a="1"/>
  <c r="W90" i="4" s="1"/>
  <c r="W91" i="4" a="1"/>
  <c r="W91" i="4" s="1"/>
  <c r="W92" i="4" a="1"/>
  <c r="W92" i="4" s="1"/>
  <c r="W93" i="4" a="1"/>
  <c r="W93" i="4" s="1"/>
  <c r="W94" i="4" a="1"/>
  <c r="W94" i="4" s="1"/>
  <c r="W95" i="4" a="1"/>
  <c r="W95" i="4" s="1"/>
  <c r="W96" i="4" a="1"/>
  <c r="W96" i="4" s="1"/>
  <c r="W97" i="4" a="1"/>
  <c r="W97" i="4" s="1"/>
  <c r="W98" i="4" a="1"/>
  <c r="W98" i="4" s="1"/>
  <c r="W99" i="4" a="1"/>
  <c r="W99" i="4" s="1"/>
  <c r="W100" i="4" a="1"/>
  <c r="W100" i="4" s="1"/>
  <c r="W101" i="4" a="1"/>
  <c r="W101" i="4" s="1"/>
  <c r="W102" i="4" a="1"/>
  <c r="W102" i="4" s="1"/>
  <c r="W103" i="4" a="1"/>
  <c r="W103" i="4" s="1"/>
  <c r="W104" i="4" a="1"/>
  <c r="W104" i="4" s="1"/>
  <c r="W105" i="4" a="1"/>
  <c r="W105" i="4" s="1"/>
  <c r="W106" i="4" a="1"/>
  <c r="W106" i="4" s="1"/>
  <c r="W107" i="4" a="1"/>
  <c r="W107" i="4" s="1"/>
  <c r="W108" i="4" a="1"/>
  <c r="W108" i="4" s="1"/>
  <c r="W109" i="4" a="1"/>
  <c r="W109" i="4" s="1"/>
  <c r="W110" i="4" a="1"/>
  <c r="W110" i="4" s="1"/>
  <c r="W111" i="4" a="1"/>
  <c r="W111" i="4" s="1"/>
  <c r="W112" i="4" a="1"/>
  <c r="W112" i="4" s="1"/>
  <c r="W113" i="4" a="1"/>
  <c r="W113" i="4" s="1"/>
  <c r="W114" i="4" a="1"/>
  <c r="W114" i="4" s="1"/>
  <c r="W115" i="4" a="1"/>
  <c r="W115" i="4" s="1"/>
  <c r="W116" i="4" a="1"/>
  <c r="W116" i="4" s="1"/>
  <c r="W117" i="4" a="1"/>
  <c r="W117" i="4" s="1"/>
  <c r="W118" i="4" a="1"/>
  <c r="W118" i="4" s="1"/>
  <c r="W119" i="4" a="1"/>
  <c r="W119" i="4" s="1"/>
  <c r="W120" i="4" a="1"/>
  <c r="W120" i="4" s="1"/>
  <c r="W121" i="4" a="1"/>
  <c r="W121" i="4" s="1"/>
  <c r="W122" i="4" a="1"/>
  <c r="W122" i="4" s="1"/>
  <c r="W123" i="4" a="1"/>
  <c r="W123" i="4" s="1"/>
  <c r="W124" i="4" a="1"/>
  <c r="W124" i="4" s="1"/>
  <c r="W125" i="4" a="1"/>
  <c r="W125" i="4" s="1"/>
  <c r="W126" i="4" a="1"/>
  <c r="W126" i="4" s="1"/>
  <c r="W127" i="4" a="1"/>
  <c r="W127" i="4" s="1"/>
  <c r="W128" i="4" a="1"/>
  <c r="W128" i="4" s="1"/>
  <c r="W129" i="4" a="1"/>
  <c r="W129" i="4" s="1"/>
  <c r="W130" i="4" a="1"/>
  <c r="W130" i="4" s="1"/>
  <c r="W131" i="4" a="1"/>
  <c r="W131" i="4" s="1"/>
  <c r="W132" i="4" a="1"/>
  <c r="W132" i="4" s="1"/>
  <c r="W133" i="4" a="1"/>
  <c r="W133" i="4" s="1"/>
  <c r="W134" i="4" a="1"/>
  <c r="W134" i="4" s="1"/>
  <c r="W135" i="4" a="1"/>
  <c r="W135" i="4" s="1"/>
  <c r="W136" i="4" a="1"/>
  <c r="W136" i="4" s="1"/>
  <c r="W137" i="4" a="1"/>
  <c r="W137" i="4" s="1"/>
  <c r="W138" i="4" a="1"/>
  <c r="W138" i="4" s="1"/>
  <c r="W139" i="4" a="1"/>
  <c r="W139" i="4" s="1"/>
  <c r="W140" i="4" a="1"/>
  <c r="W140" i="4" s="1"/>
  <c r="W141" i="4" a="1"/>
  <c r="W141" i="4" s="1"/>
  <c r="W142" i="4" a="1"/>
  <c r="W142" i="4" s="1"/>
  <c r="W143" i="4" a="1"/>
  <c r="W143" i="4" s="1"/>
  <c r="W144" i="4" a="1"/>
  <c r="W144" i="4" s="1"/>
  <c r="W145" i="4" a="1"/>
  <c r="W145" i="4" s="1"/>
  <c r="W146" i="4" a="1"/>
  <c r="W146" i="4" s="1"/>
  <c r="W147" i="4" a="1"/>
  <c r="W147" i="4" s="1"/>
  <c r="W148" i="4" a="1"/>
  <c r="W148" i="4" s="1"/>
  <c r="W149" i="4" a="1"/>
  <c r="W149" i="4" s="1"/>
  <c r="W150" i="4" a="1"/>
  <c r="W150" i="4" s="1"/>
  <c r="W151" i="4" a="1"/>
  <c r="W151" i="4" s="1"/>
  <c r="W152" i="4" a="1"/>
  <c r="W152" i="4" s="1"/>
  <c r="W153" i="4" a="1"/>
  <c r="W153" i="4" s="1"/>
  <c r="W154" i="4" a="1"/>
  <c r="W154" i="4" s="1"/>
  <c r="W155" i="4" a="1"/>
  <c r="W155" i="4" s="1"/>
  <c r="W156" i="4" a="1"/>
  <c r="W156" i="4" s="1"/>
  <c r="W157" i="4" a="1"/>
  <c r="W157" i="4" s="1"/>
  <c r="W158" i="4" a="1"/>
  <c r="W158" i="4" s="1"/>
  <c r="W159" i="4" a="1"/>
  <c r="W159" i="4" s="1"/>
  <c r="W160" i="4" a="1"/>
  <c r="W160" i="4" s="1"/>
  <c r="W161" i="4" a="1"/>
  <c r="W161" i="4" s="1"/>
  <c r="W162" i="4" a="1"/>
  <c r="W162" i="4" s="1"/>
  <c r="W163" i="4" a="1"/>
  <c r="W163" i="4" s="1"/>
  <c r="W164" i="4" a="1"/>
  <c r="W164" i="4" s="1"/>
  <c r="W165" i="4" a="1"/>
  <c r="W165" i="4" s="1"/>
  <c r="W166" i="4" a="1"/>
  <c r="W166" i="4" s="1"/>
  <c r="W167" i="4" a="1"/>
  <c r="W167" i="4" s="1"/>
  <c r="W168" i="4" a="1"/>
  <c r="W168" i="4" s="1"/>
  <c r="W169" i="4" a="1"/>
  <c r="W169" i="4" s="1"/>
  <c r="W170" i="4" a="1"/>
  <c r="W170" i="4" s="1"/>
  <c r="W171" i="4" a="1"/>
  <c r="W171" i="4" s="1"/>
  <c r="W172" i="4" a="1"/>
  <c r="W172" i="4" s="1"/>
  <c r="W173" i="4" a="1"/>
  <c r="W173" i="4" s="1"/>
  <c r="W174" i="4" a="1"/>
  <c r="W174" i="4" s="1"/>
  <c r="W175" i="4" a="1"/>
  <c r="W175" i="4" s="1"/>
  <c r="W176" i="4" a="1"/>
  <c r="W176" i="4" s="1"/>
  <c r="W177" i="4" a="1"/>
  <c r="W177" i="4" s="1"/>
  <c r="W178" i="4" a="1"/>
  <c r="W178" i="4" s="1"/>
  <c r="W179" i="4" a="1"/>
  <c r="W179" i="4" s="1"/>
  <c r="W180" i="4" a="1"/>
  <c r="W180" i="4" s="1"/>
  <c r="W181" i="4" a="1"/>
  <c r="W181" i="4" s="1"/>
  <c r="W182" i="4" a="1"/>
  <c r="W182" i="4" s="1"/>
  <c r="W183" i="4" a="1"/>
  <c r="W183" i="4" s="1"/>
  <c r="W184" i="4" a="1"/>
  <c r="W184" i="4" s="1"/>
  <c r="W185" i="4" a="1"/>
  <c r="W185" i="4" s="1"/>
  <c r="W186" i="4" a="1"/>
  <c r="W186" i="4" s="1"/>
  <c r="W187" i="4" a="1"/>
  <c r="W187" i="4" s="1"/>
  <c r="W188" i="4" a="1"/>
  <c r="W188" i="4" s="1"/>
  <c r="W189" i="4" a="1"/>
  <c r="W189" i="4" s="1"/>
  <c r="W190" i="4" a="1"/>
  <c r="W190" i="4" s="1"/>
  <c r="W191" i="4" a="1"/>
  <c r="W191" i="4" s="1"/>
  <c r="W192" i="4" a="1"/>
  <c r="W192" i="4" s="1"/>
  <c r="W193" i="4" a="1"/>
  <c r="W193" i="4" s="1"/>
  <c r="W194" i="4" a="1"/>
  <c r="W194" i="4" s="1"/>
  <c r="W195" i="4" a="1"/>
  <c r="W195" i="4" s="1"/>
  <c r="W196" i="4" a="1"/>
  <c r="W196" i="4" s="1"/>
  <c r="W197" i="4" a="1"/>
  <c r="W197" i="4" s="1"/>
  <c r="W198" i="4" a="1"/>
  <c r="W198" i="4" s="1"/>
  <c r="W199" i="4" a="1"/>
  <c r="W199" i="4" s="1"/>
  <c r="W200" i="4" a="1"/>
  <c r="W200" i="4" s="1"/>
  <c r="W201" i="4" a="1"/>
  <c r="W201" i="4" s="1"/>
  <c r="W202" i="4" a="1"/>
  <c r="W202" i="4" s="1"/>
  <c r="W203" i="4" a="1"/>
  <c r="W203" i="4" s="1"/>
  <c r="W204" i="4" a="1"/>
  <c r="W204" i="4" s="1"/>
  <c r="W205" i="4" a="1"/>
  <c r="W205" i="4" s="1"/>
  <c r="W206" i="4" a="1"/>
  <c r="W206" i="4" s="1"/>
  <c r="W207" i="4" a="1"/>
  <c r="W207" i="4" s="1"/>
  <c r="W208" i="4" a="1"/>
  <c r="W208" i="4" s="1"/>
  <c r="W209" i="4" a="1"/>
  <c r="W209" i="4" s="1"/>
  <c r="W210" i="4" a="1"/>
  <c r="W210" i="4" s="1"/>
  <c r="W211" i="4" a="1"/>
  <c r="W211" i="4" s="1"/>
  <c r="W212" i="4" a="1"/>
  <c r="W212" i="4" s="1"/>
  <c r="W213" i="4" a="1"/>
  <c r="W213" i="4" s="1"/>
  <c r="W214" i="4" a="1"/>
  <c r="W214" i="4" s="1"/>
  <c r="W215" i="4" a="1"/>
  <c r="W215" i="4" s="1"/>
  <c r="W216" i="4" a="1"/>
  <c r="W216" i="4" s="1"/>
  <c r="W217" i="4" a="1"/>
  <c r="W217" i="4" s="1"/>
  <c r="W218" i="4" a="1"/>
  <c r="W218" i="4" s="1"/>
  <c r="W219" i="4" a="1"/>
  <c r="W219" i="4" s="1"/>
  <c r="W220" i="4" a="1"/>
  <c r="W220" i="4" s="1"/>
  <c r="W221" i="4" a="1"/>
  <c r="W221" i="4" s="1"/>
  <c r="W222" i="4" a="1"/>
  <c r="W222" i="4" s="1"/>
  <c r="W223" i="4" a="1"/>
  <c r="W223" i="4" s="1"/>
  <c r="W224" i="4" a="1"/>
  <c r="W224" i="4" s="1"/>
  <c r="W225" i="4" a="1"/>
  <c r="W225" i="4" s="1"/>
  <c r="W226" i="4" a="1"/>
  <c r="W226" i="4" s="1"/>
  <c r="W227" i="4" a="1"/>
  <c r="W227" i="4" s="1"/>
  <c r="W228" i="4" a="1"/>
  <c r="W228" i="4" s="1"/>
  <c r="W229" i="4" a="1"/>
  <c r="W229" i="4" s="1"/>
  <c r="W230" i="4" a="1"/>
  <c r="W230" i="4" s="1"/>
  <c r="W231" i="4" a="1"/>
  <c r="W231" i="4" s="1"/>
  <c r="W232" i="4" a="1"/>
  <c r="W232" i="4" s="1"/>
  <c r="W233" i="4" a="1"/>
  <c r="W233" i="4" s="1"/>
  <c r="W234" i="4" a="1"/>
  <c r="W234" i="4" s="1"/>
  <c r="W235" i="4" a="1"/>
  <c r="W235" i="4" s="1"/>
  <c r="W236" i="4" a="1"/>
  <c r="W236" i="4" s="1"/>
  <c r="W237" i="4" a="1"/>
  <c r="W237" i="4" s="1"/>
  <c r="W238" i="4" a="1"/>
  <c r="W238" i="4" s="1"/>
  <c r="W239" i="4" a="1"/>
  <c r="W239" i="4" s="1"/>
  <c r="W240" i="4" a="1"/>
  <c r="W240" i="4" s="1"/>
  <c r="W241" i="4" a="1"/>
  <c r="W241" i="4" s="1"/>
  <c r="W242" i="4" a="1"/>
  <c r="W242" i="4" s="1"/>
  <c r="W243" i="4" a="1"/>
  <c r="W243" i="4" s="1"/>
  <c r="W244" i="4" a="1"/>
  <c r="W244" i="4" s="1"/>
  <c r="W245" i="4" a="1"/>
  <c r="W245" i="4" s="1"/>
  <c r="W246" i="4" a="1"/>
  <c r="W246" i="4" s="1"/>
  <c r="W247" i="4" a="1"/>
  <c r="W247" i="4" s="1"/>
  <c r="W248" i="4" a="1"/>
  <c r="W248" i="4" s="1"/>
  <c r="W249" i="4" a="1"/>
  <c r="W249" i="4" s="1"/>
  <c r="W250" i="4" a="1"/>
  <c r="W250" i="4" s="1"/>
  <c r="W251" i="4" a="1"/>
  <c r="W251" i="4" s="1"/>
  <c r="W252" i="4" a="1"/>
  <c r="W252" i="4" s="1"/>
  <c r="W253" i="4" a="1"/>
  <c r="W253" i="4" s="1"/>
  <c r="W254" i="4" a="1"/>
  <c r="W254" i="4" s="1"/>
  <c r="W255" i="4" a="1"/>
  <c r="W255" i="4" s="1"/>
  <c r="W256" i="4" a="1"/>
  <c r="W256" i="4" s="1"/>
  <c r="W257" i="4" a="1"/>
  <c r="W257" i="4" s="1"/>
  <c r="W258" i="4" a="1"/>
  <c r="W258" i="4" s="1"/>
  <c r="W259" i="4" a="1"/>
  <c r="W259" i="4" s="1"/>
  <c r="W260" i="4" a="1"/>
  <c r="W260" i="4" s="1"/>
  <c r="W261" i="4" a="1"/>
  <c r="W261" i="4" s="1"/>
  <c r="W262" i="4" a="1"/>
  <c r="W262" i="4" s="1"/>
  <c r="W263" i="4" a="1"/>
  <c r="W263" i="4" s="1"/>
  <c r="W264" i="4" a="1"/>
  <c r="W264" i="4" s="1"/>
  <c r="W265" i="4" a="1"/>
  <c r="W265" i="4" s="1"/>
  <c r="W266" i="4" a="1"/>
  <c r="W266" i="4" s="1"/>
  <c r="W267" i="4" a="1"/>
  <c r="W267" i="4" s="1"/>
  <c r="W268" i="4" a="1"/>
  <c r="W268" i="4" s="1"/>
  <c r="W269" i="4" a="1"/>
  <c r="W269" i="4" s="1"/>
  <c r="W270" i="4" a="1"/>
  <c r="W270" i="4" s="1"/>
  <c r="W271" i="4" a="1"/>
  <c r="W271" i="4" s="1"/>
  <c r="W272" i="4" a="1"/>
  <c r="W272" i="4" s="1"/>
  <c r="W273" i="4" a="1"/>
  <c r="W273" i="4" s="1"/>
  <c r="W274" i="4" a="1"/>
  <c r="W274" i="4" s="1"/>
  <c r="W275" i="4" a="1"/>
  <c r="W275" i="4" s="1"/>
  <c r="W276" i="4" a="1"/>
  <c r="W276" i="4" s="1"/>
  <c r="W277" i="4" a="1"/>
  <c r="W277" i="4" s="1"/>
  <c r="W278" i="4" a="1"/>
  <c r="W278" i="4" s="1"/>
  <c r="W279" i="4" a="1"/>
  <c r="W279" i="4" s="1"/>
  <c r="W280" i="4" a="1"/>
  <c r="W280" i="4" s="1"/>
  <c r="W281" i="4" a="1"/>
  <c r="W281" i="4" s="1"/>
  <c r="W282" i="4" a="1"/>
  <c r="W282" i="4" s="1"/>
  <c r="W283" i="4" a="1"/>
  <c r="W283" i="4" s="1"/>
  <c r="W284" i="4" a="1"/>
  <c r="W284" i="4" s="1"/>
  <c r="W285" i="4" a="1"/>
  <c r="W285" i="4" s="1"/>
  <c r="W286" i="4" a="1"/>
  <c r="W286" i="4" s="1"/>
  <c r="W287" i="4" a="1"/>
  <c r="W287" i="4" s="1"/>
  <c r="W288" i="4" a="1"/>
  <c r="W288" i="4" s="1"/>
  <c r="W289" i="4" a="1"/>
  <c r="W289" i="4" s="1"/>
  <c r="W290" i="4" a="1"/>
  <c r="W290" i="4" s="1"/>
  <c r="W291" i="4" a="1"/>
  <c r="W291" i="4" s="1"/>
  <c r="W292" i="4" a="1"/>
  <c r="W292" i="4" s="1"/>
  <c r="W293" i="4" a="1"/>
  <c r="W293" i="4" s="1"/>
  <c r="W294" i="4" a="1"/>
  <c r="W294" i="4" s="1"/>
  <c r="W295" i="4" a="1"/>
  <c r="W295" i="4" s="1"/>
  <c r="W296" i="4" a="1"/>
  <c r="W296" i="4" s="1"/>
  <c r="W297" i="4" a="1"/>
  <c r="W297" i="4" s="1"/>
  <c r="W298" i="4" a="1"/>
  <c r="W298" i="4" s="1"/>
  <c r="W299" i="4" a="1"/>
  <c r="W299" i="4" s="1"/>
  <c r="W300" i="4" a="1"/>
  <c r="W300" i="4" s="1"/>
  <c r="W301" i="4" a="1"/>
  <c r="W301" i="4" s="1"/>
  <c r="W302" i="4" a="1"/>
  <c r="W302" i="4" s="1"/>
  <c r="W303" i="4" a="1"/>
  <c r="W303" i="4" s="1"/>
  <c r="W304" i="4" a="1"/>
  <c r="W304" i="4" s="1"/>
  <c r="W305" i="4" a="1"/>
  <c r="W305" i="4" s="1"/>
  <c r="W306" i="4" a="1"/>
  <c r="W306" i="4" s="1"/>
  <c r="W307" i="4" a="1"/>
  <c r="W307" i="4" s="1"/>
  <c r="W308" i="4" a="1"/>
  <c r="W308" i="4" s="1"/>
  <c r="W309" i="4" a="1"/>
  <c r="W309" i="4" s="1"/>
  <c r="W310" i="4" a="1"/>
  <c r="W310" i="4" s="1"/>
  <c r="W311" i="4" a="1"/>
  <c r="W311" i="4" s="1"/>
  <c r="W312" i="4" a="1"/>
  <c r="W312" i="4" s="1"/>
  <c r="W313" i="4" a="1"/>
  <c r="W313" i="4" s="1"/>
  <c r="W314" i="4" a="1"/>
  <c r="W314" i="4" s="1"/>
  <c r="W315" i="4" a="1"/>
  <c r="W315" i="4" s="1"/>
  <c r="W316" i="4" a="1"/>
  <c r="W316" i="4" s="1"/>
  <c r="W317" i="4" a="1"/>
  <c r="W317" i="4" s="1"/>
  <c r="W318" i="4" a="1"/>
  <c r="W318" i="4" s="1"/>
  <c r="W319" i="4" a="1"/>
  <c r="W319" i="4" s="1"/>
  <c r="W320" i="4" a="1"/>
  <c r="W320" i="4" s="1"/>
  <c r="W321" i="4" a="1"/>
  <c r="W321" i="4" s="1"/>
  <c r="W322" i="4" a="1"/>
  <c r="W322" i="4" s="1"/>
  <c r="W323" i="4" a="1"/>
  <c r="W323" i="4" s="1"/>
  <c r="W324" i="4" a="1"/>
  <c r="W324" i="4" s="1"/>
  <c r="W325" i="4" a="1"/>
  <c r="W325" i="4" s="1"/>
  <c r="W326" i="4" a="1"/>
  <c r="W326" i="4" s="1"/>
  <c r="W327" i="4" a="1"/>
  <c r="W327" i="4" s="1"/>
  <c r="W328" i="4" a="1"/>
  <c r="W328" i="4" s="1"/>
  <c r="W329" i="4" a="1"/>
  <c r="W329" i="4" s="1"/>
  <c r="W330" i="4" a="1"/>
  <c r="W330" i="4" s="1"/>
  <c r="W331" i="4" a="1"/>
  <c r="W331" i="4" s="1"/>
  <c r="W332" i="4" a="1"/>
  <c r="W332" i="4" s="1"/>
  <c r="W333" i="4" a="1"/>
  <c r="W333" i="4" s="1"/>
  <c r="W334" i="4" a="1"/>
  <c r="W334" i="4" s="1"/>
  <c r="W335" i="4" a="1"/>
  <c r="W335" i="4" s="1"/>
  <c r="W336" i="4" a="1"/>
  <c r="W336" i="4" s="1"/>
  <c r="W337" i="4" a="1"/>
  <c r="W337" i="4" s="1"/>
  <c r="W338" i="4" a="1"/>
  <c r="W338" i="4" s="1"/>
  <c r="W339" i="4" a="1"/>
  <c r="W339" i="4" s="1"/>
  <c r="W340" i="4" a="1"/>
  <c r="W340" i="4" s="1"/>
  <c r="W341" i="4" a="1"/>
  <c r="W341" i="4" s="1"/>
  <c r="W342" i="4" a="1"/>
  <c r="W342" i="4" s="1"/>
  <c r="W343" i="4" a="1"/>
  <c r="W343" i="4" s="1"/>
  <c r="W344" i="4" a="1"/>
  <c r="W344" i="4" s="1"/>
  <c r="W345" i="4" a="1"/>
  <c r="W345" i="4" s="1"/>
  <c r="W346" i="4" a="1"/>
  <c r="W346" i="4" s="1"/>
  <c r="W347" i="4" a="1"/>
  <c r="W347" i="4" s="1"/>
  <c r="W348" i="4" a="1"/>
  <c r="W348" i="4" s="1"/>
  <c r="W349" i="4" a="1"/>
  <c r="W349" i="4" s="1"/>
  <c r="W350" i="4" a="1"/>
  <c r="W350" i="4" s="1"/>
  <c r="W351" i="4" a="1"/>
  <c r="W351" i="4" s="1"/>
  <c r="W352" i="4" a="1"/>
  <c r="W352" i="4" s="1"/>
  <c r="W353" i="4" a="1"/>
  <c r="W353" i="4" s="1"/>
  <c r="W354" i="4" a="1"/>
  <c r="W354" i="4" s="1"/>
  <c r="W355" i="4" a="1"/>
  <c r="W355" i="4" s="1"/>
  <c r="W356" i="4" a="1"/>
  <c r="W356" i="4" s="1"/>
  <c r="W357" i="4" a="1"/>
  <c r="W357" i="4" s="1"/>
  <c r="W358" i="4" a="1"/>
  <c r="W358" i="4" s="1"/>
  <c r="W359" i="4" a="1"/>
  <c r="W359" i="4" s="1"/>
  <c r="W360" i="4" a="1"/>
  <c r="W360" i="4" s="1"/>
  <c r="W361" i="4" a="1"/>
  <c r="W361" i="4" s="1"/>
  <c r="W362" i="4" a="1"/>
  <c r="W362" i="4" s="1"/>
  <c r="W363" i="4" a="1"/>
  <c r="W363" i="4" s="1"/>
  <c r="W364" i="4" a="1"/>
  <c r="W364" i="4" s="1"/>
  <c r="W365" i="4" a="1"/>
  <c r="W365" i="4" s="1"/>
  <c r="W366" i="4" a="1"/>
  <c r="W366" i="4" s="1"/>
  <c r="W367" i="4" a="1"/>
  <c r="W367" i="4" s="1"/>
  <c r="W368" i="4" a="1"/>
  <c r="W368" i="4" s="1"/>
  <c r="W369" i="4" a="1"/>
  <c r="W369" i="4" s="1"/>
  <c r="W370" i="4" a="1"/>
  <c r="W370" i="4" s="1"/>
  <c r="W371" i="4" a="1"/>
  <c r="W371" i="4" s="1"/>
  <c r="W372" i="4" a="1"/>
  <c r="W372" i="4" s="1"/>
  <c r="W373" i="4" a="1"/>
  <c r="W373" i="4" s="1"/>
  <c r="W374" i="4" a="1"/>
  <c r="W374" i="4" s="1"/>
  <c r="W375" i="4" a="1"/>
  <c r="W375" i="4" s="1"/>
  <c r="W376" i="4" a="1"/>
  <c r="W376" i="4" s="1"/>
  <c r="W377" i="4" a="1"/>
  <c r="W377" i="4" s="1"/>
  <c r="W378" i="4" a="1"/>
  <c r="W378" i="4" s="1"/>
  <c r="W379" i="4" a="1"/>
  <c r="W379" i="4" s="1"/>
  <c r="W380" i="4" a="1"/>
  <c r="W380" i="4" s="1"/>
  <c r="W381" i="4" a="1"/>
  <c r="W381" i="4" s="1"/>
  <c r="W382" i="4" a="1"/>
  <c r="W382" i="4" s="1"/>
  <c r="W383" i="4" a="1"/>
  <c r="W383" i="4" s="1"/>
  <c r="W384" i="4" a="1"/>
  <c r="W384" i="4" s="1"/>
  <c r="W385" i="4" a="1"/>
  <c r="W385" i="4" s="1"/>
  <c r="W386" i="4" a="1"/>
  <c r="W386" i="4" s="1"/>
  <c r="W387" i="4" a="1"/>
  <c r="W387" i="4" s="1"/>
  <c r="W388" i="4" a="1"/>
  <c r="W388" i="4" s="1"/>
  <c r="W389" i="4" a="1"/>
  <c r="W389" i="4" s="1"/>
  <c r="W390" i="4" a="1"/>
  <c r="W390" i="4" s="1"/>
  <c r="W391" i="4" a="1"/>
  <c r="W391" i="4" s="1"/>
  <c r="W392" i="4" a="1"/>
  <c r="W392" i="4" s="1"/>
  <c r="W393" i="4" a="1"/>
  <c r="W393" i="4" s="1"/>
  <c r="W394" i="4" a="1"/>
  <c r="W394" i="4" s="1"/>
  <c r="W395" i="4" a="1"/>
  <c r="W395" i="4" s="1"/>
  <c r="W396" i="4" a="1"/>
  <c r="W396" i="4" s="1"/>
  <c r="W397" i="4" a="1"/>
  <c r="W397" i="4" s="1"/>
  <c r="W398" i="4" a="1"/>
  <c r="W398" i="4" s="1"/>
  <c r="W399" i="4" a="1"/>
  <c r="W399" i="4" s="1"/>
  <c r="W400" i="4" a="1"/>
  <c r="W400" i="4" s="1"/>
  <c r="W401" i="4" a="1"/>
  <c r="W401" i="4" s="1"/>
  <c r="W402" i="4" a="1"/>
  <c r="W402" i="4" s="1"/>
  <c r="W403" i="4" a="1"/>
  <c r="W403" i="4" s="1"/>
  <c r="W404" i="4" a="1"/>
  <c r="W404" i="4" s="1"/>
  <c r="W405" i="4" a="1"/>
  <c r="W405" i="4" s="1"/>
  <c r="W406" i="4" a="1"/>
  <c r="W406" i="4" s="1"/>
  <c r="W407" i="4" a="1"/>
  <c r="W407" i="4" s="1"/>
  <c r="W408" i="4" a="1"/>
  <c r="W408" i="4" s="1"/>
  <c r="W409" i="4" a="1"/>
  <c r="W409" i="4" s="1"/>
  <c r="W410" i="4" a="1"/>
  <c r="W410" i="4" s="1"/>
  <c r="W411" i="4" a="1"/>
  <c r="W411" i="4" s="1"/>
  <c r="W412" i="4" a="1"/>
  <c r="W412" i="4" s="1"/>
  <c r="W413" i="4" a="1"/>
  <c r="W413" i="4" s="1"/>
  <c r="W414" i="4" a="1"/>
  <c r="W414" i="4" s="1"/>
  <c r="W415" i="4" a="1"/>
  <c r="W415" i="4" s="1"/>
  <c r="W416" i="4" a="1"/>
  <c r="W416" i="4" s="1"/>
  <c r="W417" i="4" a="1"/>
  <c r="W417" i="4" s="1"/>
  <c r="W418" i="4" a="1"/>
  <c r="W418" i="4" s="1"/>
  <c r="W419" i="4" a="1"/>
  <c r="W419" i="4" s="1"/>
  <c r="W420" i="4" a="1"/>
  <c r="W420" i="4" s="1"/>
  <c r="W421" i="4" a="1"/>
  <c r="W421" i="4" s="1"/>
  <c r="W422" i="4" a="1"/>
  <c r="W422" i="4" s="1"/>
  <c r="W423" i="4" a="1"/>
  <c r="W423" i="4" s="1"/>
  <c r="W424" i="4" a="1"/>
  <c r="W424" i="4" s="1"/>
  <c r="W425" i="4" a="1"/>
  <c r="W425" i="4" s="1"/>
  <c r="W426" i="4" a="1"/>
  <c r="W426" i="4" s="1"/>
  <c r="W427" i="4" a="1"/>
  <c r="W427" i="4" s="1"/>
  <c r="W428" i="4" a="1"/>
  <c r="W428" i="4" s="1"/>
  <c r="W429" i="4" a="1"/>
  <c r="W429" i="4" s="1"/>
  <c r="W430" i="4" a="1"/>
  <c r="W430" i="4" s="1"/>
  <c r="W431" i="4" a="1"/>
  <c r="W431" i="4" s="1"/>
  <c r="W432" i="4" a="1"/>
  <c r="W432" i="4" s="1"/>
  <c r="W433" i="4" a="1"/>
  <c r="W433" i="4" s="1"/>
  <c r="W434" i="4" a="1"/>
  <c r="W434" i="4" s="1"/>
  <c r="W435" i="4" a="1"/>
  <c r="W435" i="4" s="1"/>
  <c r="W436" i="4" a="1"/>
  <c r="W436" i="4" s="1"/>
  <c r="W437" i="4" a="1"/>
  <c r="W437" i="4" s="1"/>
  <c r="W438" i="4" a="1"/>
  <c r="W438" i="4" s="1"/>
  <c r="W439" i="4" a="1"/>
  <c r="W439" i="4" s="1"/>
  <c r="W440" i="4" a="1"/>
  <c r="W440" i="4" s="1"/>
  <c r="W441" i="4" a="1"/>
  <c r="W441" i="4" s="1"/>
  <c r="W442" i="4" a="1"/>
  <c r="W442" i="4" s="1"/>
  <c r="W443" i="4" a="1"/>
  <c r="W443" i="4" s="1"/>
  <c r="W444" i="4" a="1"/>
  <c r="W444" i="4" s="1"/>
  <c r="W445" i="4" a="1"/>
  <c r="W445" i="4" s="1"/>
  <c r="W446" i="4" a="1"/>
  <c r="W446" i="4" s="1"/>
  <c r="W447" i="4" a="1"/>
  <c r="W447" i="4" s="1"/>
  <c r="W448" i="4" a="1"/>
  <c r="W448" i="4" s="1"/>
  <c r="W449" i="4" a="1"/>
  <c r="W449" i="4" s="1"/>
  <c r="W450" i="4" a="1"/>
  <c r="W450" i="4" s="1"/>
  <c r="W451" i="4" a="1"/>
  <c r="W451" i="4" s="1"/>
  <c r="W452" i="4" a="1"/>
  <c r="W452" i="4" s="1"/>
  <c r="W453" i="4" a="1"/>
  <c r="W453" i="4" s="1"/>
  <c r="W454" i="4" a="1"/>
  <c r="W454" i="4" s="1"/>
  <c r="W455" i="4" a="1"/>
  <c r="W455" i="4" s="1"/>
  <c r="W456" i="4" a="1"/>
  <c r="W456" i="4" s="1"/>
  <c r="W457" i="4" a="1"/>
  <c r="W457" i="4" s="1"/>
  <c r="W458" i="4" a="1"/>
  <c r="W458" i="4" s="1"/>
  <c r="W459" i="4" a="1"/>
  <c r="W459" i="4" s="1"/>
  <c r="W460" i="4" a="1"/>
  <c r="W460" i="4" s="1"/>
  <c r="W461" i="4" a="1"/>
  <c r="W461" i="4" s="1"/>
  <c r="W462" i="4" a="1"/>
  <c r="W462" i="4" s="1"/>
  <c r="W463" i="4" a="1"/>
  <c r="W463" i="4" s="1"/>
  <c r="W464" i="4" a="1"/>
  <c r="W464" i="4" s="1"/>
  <c r="W465" i="4" a="1"/>
  <c r="W465" i="4" s="1"/>
  <c r="W466" i="4" a="1"/>
  <c r="W466" i="4" s="1"/>
  <c r="W467" i="4" a="1"/>
  <c r="W467" i="4" s="1"/>
  <c r="W468" i="4" a="1"/>
  <c r="W468" i="4" s="1"/>
  <c r="W469" i="4" a="1"/>
  <c r="W469" i="4" s="1"/>
  <c r="W470" i="4" a="1"/>
  <c r="W470" i="4" s="1"/>
  <c r="W471" i="4" a="1"/>
  <c r="W471" i="4" s="1"/>
  <c r="W472" i="4" a="1"/>
  <c r="W472" i="4" s="1"/>
  <c r="W473" i="4" a="1"/>
  <c r="W473" i="4" s="1"/>
  <c r="W474" i="4" a="1"/>
  <c r="W474" i="4" s="1"/>
  <c r="W475" i="4" a="1"/>
  <c r="W475" i="4" s="1"/>
  <c r="W476" i="4" a="1"/>
  <c r="W476" i="4" s="1"/>
  <c r="W477" i="4" a="1"/>
  <c r="W477" i="4" s="1"/>
  <c r="W478" i="4" a="1"/>
  <c r="W478" i="4" s="1"/>
  <c r="W479" i="4" a="1"/>
  <c r="W479" i="4" s="1"/>
  <c r="W480" i="4" a="1"/>
  <c r="W480" i="4" s="1"/>
  <c r="W481" i="4" a="1"/>
  <c r="W481" i="4" s="1"/>
  <c r="W482" i="4" a="1"/>
  <c r="W482" i="4" s="1"/>
  <c r="W483" i="4" a="1"/>
  <c r="W483" i="4" s="1"/>
  <c r="W484" i="4" a="1"/>
  <c r="W484" i="4" s="1"/>
  <c r="W485" i="4" a="1"/>
  <c r="W485" i="4" s="1"/>
  <c r="W486" i="4" a="1"/>
  <c r="W486" i="4" s="1"/>
  <c r="W487" i="4" a="1"/>
  <c r="W487" i="4" s="1"/>
  <c r="W488" i="4" a="1"/>
  <c r="W488" i="4" s="1"/>
  <c r="W489" i="4" a="1"/>
  <c r="W489" i="4" s="1"/>
  <c r="W490" i="4" a="1"/>
  <c r="W490" i="4" s="1"/>
  <c r="W491" i="4" a="1"/>
  <c r="W491" i="4" s="1"/>
  <c r="W492" i="4" a="1"/>
  <c r="W492" i="4" s="1"/>
  <c r="W493" i="4" a="1"/>
  <c r="W493" i="4" s="1"/>
  <c r="W494" i="4" a="1"/>
  <c r="W494" i="4" s="1"/>
  <c r="X2" i="4" a="1"/>
  <c r="X2" i="4" s="1"/>
  <c r="X3" i="4" a="1"/>
  <c r="X3" i="4" s="1"/>
  <c r="X4" i="4" a="1"/>
  <c r="X4" i="4" s="1"/>
  <c r="X5" i="4" a="1"/>
  <c r="X5" i="4" s="1"/>
  <c r="X6" i="4" a="1"/>
  <c r="X6" i="4" s="1"/>
  <c r="X7" i="4" a="1"/>
  <c r="X7" i="4" s="1"/>
  <c r="X8" i="4" a="1"/>
  <c r="X8" i="4" s="1"/>
  <c r="X9" i="4" a="1"/>
  <c r="X9" i="4" s="1"/>
  <c r="X10" i="4" a="1"/>
  <c r="X10" i="4" s="1"/>
  <c r="X11" i="4" a="1"/>
  <c r="X11" i="4" s="1"/>
  <c r="X12" i="4" a="1"/>
  <c r="X12" i="4" s="1"/>
  <c r="X13" i="4" a="1"/>
  <c r="X13" i="4" s="1"/>
  <c r="X14" i="4" a="1"/>
  <c r="X14" i="4" s="1"/>
  <c r="X15" i="4" a="1"/>
  <c r="X15" i="4" s="1"/>
  <c r="X16" i="4" a="1"/>
  <c r="X16" i="4" s="1"/>
  <c r="X17" i="4" a="1"/>
  <c r="X17" i="4" s="1"/>
  <c r="X18" i="4" a="1"/>
  <c r="X18" i="4" s="1"/>
  <c r="X19" i="4" a="1"/>
  <c r="X19" i="4" s="1"/>
  <c r="X20" i="4" a="1"/>
  <c r="X20" i="4" s="1"/>
  <c r="X21" i="4" a="1"/>
  <c r="X21" i="4" s="1"/>
  <c r="X22" i="4" a="1"/>
  <c r="X22" i="4" s="1"/>
  <c r="X23" i="4" a="1"/>
  <c r="X23" i="4" s="1"/>
  <c r="X24" i="4" a="1"/>
  <c r="X24" i="4" s="1"/>
  <c r="X25" i="4" a="1"/>
  <c r="X25" i="4" s="1"/>
  <c r="X26" i="4" a="1"/>
  <c r="X26" i="4" s="1"/>
  <c r="X27" i="4" a="1"/>
  <c r="X27" i="4" s="1"/>
  <c r="X28" i="4" a="1"/>
  <c r="X28" i="4" s="1"/>
  <c r="X29" i="4" a="1"/>
  <c r="X29" i="4" s="1"/>
  <c r="X30" i="4" a="1"/>
  <c r="X30" i="4" s="1"/>
  <c r="X31" i="4" a="1"/>
  <c r="X31" i="4" s="1"/>
  <c r="X32" i="4" a="1"/>
  <c r="X32" i="4" s="1"/>
  <c r="X33" i="4" a="1"/>
  <c r="X33" i="4" s="1"/>
  <c r="X34" i="4" a="1"/>
  <c r="X34" i="4" s="1"/>
  <c r="X35" i="4" a="1"/>
  <c r="X35" i="4" s="1"/>
  <c r="X36" i="4" a="1"/>
  <c r="X36" i="4" s="1"/>
  <c r="X37" i="4" a="1"/>
  <c r="X37" i="4" s="1"/>
  <c r="X38" i="4" a="1"/>
  <c r="X38" i="4" s="1"/>
  <c r="X39" i="4" a="1"/>
  <c r="X39" i="4" s="1"/>
  <c r="X40" i="4" a="1"/>
  <c r="X40" i="4" s="1"/>
  <c r="X41" i="4" a="1"/>
  <c r="X41" i="4" s="1"/>
  <c r="X42" i="4" a="1"/>
  <c r="X42" i="4" s="1"/>
  <c r="X43" i="4" a="1"/>
  <c r="X43" i="4" s="1"/>
  <c r="X44" i="4" a="1"/>
  <c r="X44" i="4" s="1"/>
  <c r="X45" i="4" a="1"/>
  <c r="X45" i="4" s="1"/>
  <c r="X46" i="4" a="1"/>
  <c r="X46" i="4" s="1"/>
  <c r="X47" i="4" a="1"/>
  <c r="X47" i="4" s="1"/>
  <c r="X48" i="4" a="1"/>
  <c r="X48" i="4" s="1"/>
  <c r="X49" i="4" a="1"/>
  <c r="X49" i="4" s="1"/>
  <c r="X50" i="4" a="1"/>
  <c r="X50" i="4" s="1"/>
  <c r="X51" i="4" a="1"/>
  <c r="X51" i="4" s="1"/>
  <c r="X52" i="4" a="1"/>
  <c r="X52" i="4" s="1"/>
  <c r="X53" i="4" a="1"/>
  <c r="X53" i="4" s="1"/>
  <c r="X54" i="4" a="1"/>
  <c r="X54" i="4" s="1"/>
  <c r="X55" i="4" a="1"/>
  <c r="X55" i="4" s="1"/>
  <c r="X56" i="4" a="1"/>
  <c r="X56" i="4" s="1"/>
  <c r="X57" i="4" a="1"/>
  <c r="X57" i="4" s="1"/>
  <c r="X58" i="4" a="1"/>
  <c r="X58" i="4" s="1"/>
  <c r="X59" i="4" a="1"/>
  <c r="X59" i="4" s="1"/>
  <c r="X60" i="4" a="1"/>
  <c r="X60" i="4" s="1"/>
  <c r="X61" i="4" a="1"/>
  <c r="X61" i="4" s="1"/>
  <c r="X62" i="4" a="1"/>
  <c r="X62" i="4" s="1"/>
  <c r="X63" i="4" a="1"/>
  <c r="X63" i="4" s="1"/>
  <c r="X64" i="4" a="1"/>
  <c r="X64" i="4" s="1"/>
  <c r="X65" i="4" a="1"/>
  <c r="X65" i="4" s="1"/>
  <c r="X66" i="4" a="1"/>
  <c r="X66" i="4" s="1"/>
  <c r="X67" i="4" a="1"/>
  <c r="X67" i="4" s="1"/>
  <c r="X68" i="4" a="1"/>
  <c r="X68" i="4" s="1"/>
  <c r="X69" i="4" a="1"/>
  <c r="X69" i="4" s="1"/>
  <c r="X70" i="4" a="1"/>
  <c r="X70" i="4" s="1"/>
  <c r="X71" i="4" a="1"/>
  <c r="X71" i="4" s="1"/>
  <c r="X72" i="4" a="1"/>
  <c r="X72" i="4" s="1"/>
  <c r="X73" i="4" a="1"/>
  <c r="X73" i="4" s="1"/>
  <c r="X74" i="4" a="1"/>
  <c r="X74" i="4" s="1"/>
  <c r="X75" i="4" a="1"/>
  <c r="X75" i="4" s="1"/>
  <c r="X76" i="4" a="1"/>
  <c r="X76" i="4" s="1"/>
  <c r="X77" i="4" a="1"/>
  <c r="X77" i="4" s="1"/>
  <c r="X78" i="4" a="1"/>
  <c r="X78" i="4" s="1"/>
  <c r="X79" i="4" a="1"/>
  <c r="X79" i="4" s="1"/>
  <c r="X80" i="4" a="1"/>
  <c r="X80" i="4" s="1"/>
  <c r="X81" i="4" a="1"/>
  <c r="X81" i="4" s="1"/>
  <c r="X82" i="4" a="1"/>
  <c r="X82" i="4" s="1"/>
  <c r="X83" i="4" a="1"/>
  <c r="X83" i="4" s="1"/>
  <c r="X84" i="4" a="1"/>
  <c r="X84" i="4" s="1"/>
  <c r="X85" i="4" a="1"/>
  <c r="X85" i="4" s="1"/>
  <c r="X86" i="4" a="1"/>
  <c r="X86" i="4" s="1"/>
  <c r="X87" i="4" a="1"/>
  <c r="X87" i="4" s="1"/>
  <c r="X88" i="4" a="1"/>
  <c r="X88" i="4" s="1"/>
  <c r="X89" i="4" a="1"/>
  <c r="X89" i="4" s="1"/>
  <c r="X90" i="4" a="1"/>
  <c r="X90" i="4" s="1"/>
  <c r="X91" i="4" a="1"/>
  <c r="X91" i="4" s="1"/>
  <c r="X92" i="4" a="1"/>
  <c r="X92" i="4" s="1"/>
  <c r="X93" i="4" a="1"/>
  <c r="X93" i="4" s="1"/>
  <c r="X94" i="4" a="1"/>
  <c r="X94" i="4" s="1"/>
  <c r="X95" i="4" a="1"/>
  <c r="X95" i="4" s="1"/>
  <c r="X96" i="4" a="1"/>
  <c r="X96" i="4" s="1"/>
  <c r="X97" i="4" a="1"/>
  <c r="X97" i="4" s="1"/>
  <c r="X98" i="4" a="1"/>
  <c r="X98" i="4" s="1"/>
  <c r="X99" i="4" a="1"/>
  <c r="X99" i="4" s="1"/>
  <c r="X100" i="4" a="1"/>
  <c r="X100" i="4" s="1"/>
  <c r="X101" i="4" a="1"/>
  <c r="X101" i="4" s="1"/>
  <c r="X102" i="4" a="1"/>
  <c r="X102" i="4" s="1"/>
  <c r="X103" i="4" a="1"/>
  <c r="X103" i="4" s="1"/>
  <c r="X104" i="4" a="1"/>
  <c r="X104" i="4" s="1"/>
  <c r="X105" i="4" a="1"/>
  <c r="X105" i="4" s="1"/>
  <c r="X106" i="4" a="1"/>
  <c r="X106" i="4" s="1"/>
  <c r="X107" i="4" a="1"/>
  <c r="X107" i="4" s="1"/>
  <c r="X108" i="4" a="1"/>
  <c r="X108" i="4" s="1"/>
  <c r="X109" i="4" a="1"/>
  <c r="X109" i="4" s="1"/>
  <c r="X110" i="4" a="1"/>
  <c r="X110" i="4" s="1"/>
  <c r="X111" i="4" a="1"/>
  <c r="X111" i="4" s="1"/>
  <c r="X112" i="4" a="1"/>
  <c r="X112" i="4" s="1"/>
  <c r="X113" i="4" a="1"/>
  <c r="X113" i="4" s="1"/>
  <c r="X114" i="4" a="1"/>
  <c r="X114" i="4" s="1"/>
  <c r="X115" i="4" a="1"/>
  <c r="X115" i="4" s="1"/>
  <c r="X116" i="4" a="1"/>
  <c r="X116" i="4" s="1"/>
  <c r="X117" i="4" a="1"/>
  <c r="X117" i="4" s="1"/>
  <c r="X118" i="4" a="1"/>
  <c r="X118" i="4" s="1"/>
  <c r="X119" i="4" a="1"/>
  <c r="X119" i="4" s="1"/>
  <c r="X120" i="4" a="1"/>
  <c r="X120" i="4" s="1"/>
  <c r="X121" i="4" a="1"/>
  <c r="X121" i="4" s="1"/>
  <c r="X122" i="4" a="1"/>
  <c r="X122" i="4" s="1"/>
  <c r="X123" i="4" a="1"/>
  <c r="X123" i="4" s="1"/>
  <c r="X124" i="4" a="1"/>
  <c r="X124" i="4" s="1"/>
  <c r="X125" i="4" a="1"/>
  <c r="X125" i="4" s="1"/>
  <c r="X126" i="4" a="1"/>
  <c r="X126" i="4" s="1"/>
  <c r="X127" i="4" a="1"/>
  <c r="X127" i="4" s="1"/>
  <c r="X128" i="4" a="1"/>
  <c r="X128" i="4" s="1"/>
  <c r="X129" i="4" a="1"/>
  <c r="X129" i="4" s="1"/>
  <c r="X130" i="4" a="1"/>
  <c r="X130" i="4" s="1"/>
  <c r="X131" i="4" a="1"/>
  <c r="X131" i="4" s="1"/>
  <c r="X132" i="4" a="1"/>
  <c r="X132" i="4" s="1"/>
  <c r="X133" i="4" a="1"/>
  <c r="X133" i="4" s="1"/>
  <c r="X134" i="4" a="1"/>
  <c r="X134" i="4" s="1"/>
  <c r="X135" i="4" a="1"/>
  <c r="X135" i="4" s="1"/>
  <c r="X136" i="4" a="1"/>
  <c r="X136" i="4" s="1"/>
  <c r="X137" i="4" a="1"/>
  <c r="X137" i="4" s="1"/>
  <c r="X138" i="4" a="1"/>
  <c r="X138" i="4" s="1"/>
  <c r="X139" i="4" a="1"/>
  <c r="X139" i="4" s="1"/>
  <c r="X140" i="4" a="1"/>
  <c r="X140" i="4" s="1"/>
  <c r="X141" i="4" a="1"/>
  <c r="X141" i="4" s="1"/>
  <c r="X142" i="4" a="1"/>
  <c r="X142" i="4" s="1"/>
  <c r="X143" i="4" a="1"/>
  <c r="X143" i="4" s="1"/>
  <c r="X144" i="4" a="1"/>
  <c r="X144" i="4" s="1"/>
  <c r="X145" i="4" a="1"/>
  <c r="X145" i="4" s="1"/>
  <c r="X146" i="4" a="1"/>
  <c r="X146" i="4" s="1"/>
  <c r="X147" i="4" a="1"/>
  <c r="X147" i="4" s="1"/>
  <c r="X148" i="4" a="1"/>
  <c r="X148" i="4" s="1"/>
  <c r="X149" i="4" a="1"/>
  <c r="X149" i="4" s="1"/>
  <c r="X150" i="4" a="1"/>
  <c r="X150" i="4" s="1"/>
  <c r="X151" i="4" a="1"/>
  <c r="X151" i="4" s="1"/>
  <c r="X152" i="4" a="1"/>
  <c r="X152" i="4" s="1"/>
  <c r="X153" i="4" a="1"/>
  <c r="X153" i="4" s="1"/>
  <c r="X154" i="4" a="1"/>
  <c r="X154" i="4" s="1"/>
  <c r="X155" i="4" a="1"/>
  <c r="X155" i="4" s="1"/>
  <c r="X156" i="4" a="1"/>
  <c r="X156" i="4" s="1"/>
  <c r="X157" i="4" a="1"/>
  <c r="X157" i="4" s="1"/>
  <c r="X158" i="4" a="1"/>
  <c r="X158" i="4" s="1"/>
  <c r="X159" i="4" a="1"/>
  <c r="X159" i="4" s="1"/>
  <c r="X160" i="4" a="1"/>
  <c r="X160" i="4" s="1"/>
  <c r="X161" i="4" a="1"/>
  <c r="X161" i="4" s="1"/>
  <c r="X162" i="4" a="1"/>
  <c r="X162" i="4" s="1"/>
  <c r="X163" i="4" a="1"/>
  <c r="X163" i="4" s="1"/>
  <c r="X164" i="4" a="1"/>
  <c r="X164" i="4" s="1"/>
  <c r="X165" i="4" a="1"/>
  <c r="X165" i="4" s="1"/>
  <c r="X166" i="4" a="1"/>
  <c r="X166" i="4" s="1"/>
  <c r="X167" i="4" a="1"/>
  <c r="X167" i="4" s="1"/>
  <c r="X168" i="4" a="1"/>
  <c r="X168" i="4" s="1"/>
  <c r="X169" i="4" a="1"/>
  <c r="X169" i="4" s="1"/>
  <c r="X170" i="4" a="1"/>
  <c r="X170" i="4" s="1"/>
  <c r="X171" i="4" a="1"/>
  <c r="X171" i="4" s="1"/>
  <c r="X172" i="4" a="1"/>
  <c r="X172" i="4" s="1"/>
  <c r="X173" i="4" a="1"/>
  <c r="X173" i="4" s="1"/>
  <c r="X174" i="4" a="1"/>
  <c r="X174" i="4" s="1"/>
  <c r="X175" i="4" a="1"/>
  <c r="X175" i="4" s="1"/>
  <c r="X176" i="4" a="1"/>
  <c r="X176" i="4" s="1"/>
  <c r="X177" i="4" a="1"/>
  <c r="X177" i="4" s="1"/>
  <c r="X178" i="4" a="1"/>
  <c r="X178" i="4" s="1"/>
  <c r="X179" i="4" a="1"/>
  <c r="X179" i="4" s="1"/>
  <c r="X180" i="4" a="1"/>
  <c r="X180" i="4" s="1"/>
  <c r="X181" i="4" a="1"/>
  <c r="X181" i="4" s="1"/>
  <c r="X182" i="4" a="1"/>
  <c r="X182" i="4" s="1"/>
  <c r="X183" i="4" a="1"/>
  <c r="X183" i="4" s="1"/>
  <c r="X184" i="4" a="1"/>
  <c r="X184" i="4" s="1"/>
  <c r="X185" i="4" a="1"/>
  <c r="X185" i="4" s="1"/>
  <c r="X186" i="4" a="1"/>
  <c r="X186" i="4" s="1"/>
  <c r="X187" i="4" a="1"/>
  <c r="X187" i="4" s="1"/>
  <c r="X188" i="4" a="1"/>
  <c r="X188" i="4" s="1"/>
  <c r="X189" i="4" a="1"/>
  <c r="X189" i="4" s="1"/>
  <c r="X190" i="4" a="1"/>
  <c r="X190" i="4" s="1"/>
  <c r="X191" i="4" a="1"/>
  <c r="X191" i="4" s="1"/>
  <c r="X192" i="4" a="1"/>
  <c r="X192" i="4" s="1"/>
  <c r="X193" i="4" a="1"/>
  <c r="X193" i="4" s="1"/>
  <c r="X194" i="4" a="1"/>
  <c r="X194" i="4" s="1"/>
  <c r="X195" i="4" a="1"/>
  <c r="X195" i="4" s="1"/>
  <c r="X196" i="4" a="1"/>
  <c r="X196" i="4" s="1"/>
  <c r="X197" i="4" a="1"/>
  <c r="X197" i="4" s="1"/>
  <c r="X198" i="4" a="1"/>
  <c r="X198" i="4" s="1"/>
  <c r="X199" i="4" a="1"/>
  <c r="X199" i="4" s="1"/>
  <c r="X200" i="4" a="1"/>
  <c r="X200" i="4" s="1"/>
  <c r="X201" i="4" a="1"/>
  <c r="X201" i="4" s="1"/>
  <c r="X202" i="4" a="1"/>
  <c r="X202" i="4" s="1"/>
  <c r="X203" i="4" a="1"/>
  <c r="X203" i="4" s="1"/>
  <c r="X204" i="4" a="1"/>
  <c r="X204" i="4" s="1"/>
  <c r="X205" i="4" a="1"/>
  <c r="X205" i="4" s="1"/>
  <c r="X206" i="4" a="1"/>
  <c r="X206" i="4" s="1"/>
  <c r="X207" i="4" a="1"/>
  <c r="X207" i="4" s="1"/>
  <c r="X208" i="4" a="1"/>
  <c r="X208" i="4" s="1"/>
  <c r="X209" i="4" a="1"/>
  <c r="X209" i="4" s="1"/>
  <c r="X210" i="4" a="1"/>
  <c r="X210" i="4" s="1"/>
  <c r="X211" i="4" a="1"/>
  <c r="X211" i="4" s="1"/>
  <c r="X212" i="4" a="1"/>
  <c r="X212" i="4" s="1"/>
  <c r="X213" i="4" a="1"/>
  <c r="X213" i="4" s="1"/>
  <c r="X214" i="4" a="1"/>
  <c r="X214" i="4" s="1"/>
  <c r="X215" i="4" a="1"/>
  <c r="X215" i="4" s="1"/>
  <c r="X216" i="4" a="1"/>
  <c r="X216" i="4" s="1"/>
  <c r="X217" i="4" a="1"/>
  <c r="X217" i="4" s="1"/>
  <c r="X218" i="4" a="1"/>
  <c r="X218" i="4" s="1"/>
  <c r="X219" i="4" a="1"/>
  <c r="X219" i="4" s="1"/>
  <c r="X220" i="4" a="1"/>
  <c r="X220" i="4" s="1"/>
  <c r="X221" i="4" a="1"/>
  <c r="X221" i="4" s="1"/>
  <c r="X222" i="4" a="1"/>
  <c r="X222" i="4" s="1"/>
  <c r="X223" i="4" a="1"/>
  <c r="X223" i="4" s="1"/>
  <c r="X224" i="4" a="1"/>
  <c r="X224" i="4" s="1"/>
  <c r="X225" i="4" a="1"/>
  <c r="X225" i="4" s="1"/>
  <c r="X226" i="4" a="1"/>
  <c r="X226" i="4" s="1"/>
  <c r="X227" i="4" a="1"/>
  <c r="X227" i="4" s="1"/>
  <c r="X228" i="4" a="1"/>
  <c r="X228" i="4" s="1"/>
  <c r="X229" i="4" a="1"/>
  <c r="X229" i="4" s="1"/>
  <c r="X230" i="4" a="1"/>
  <c r="X230" i="4" s="1"/>
  <c r="X231" i="4" a="1"/>
  <c r="X231" i="4" s="1"/>
  <c r="X232" i="4" a="1"/>
  <c r="X232" i="4" s="1"/>
  <c r="X233" i="4" a="1"/>
  <c r="X233" i="4" s="1"/>
  <c r="X234" i="4" a="1"/>
  <c r="X234" i="4" s="1"/>
  <c r="X235" i="4" a="1"/>
  <c r="X235" i="4" s="1"/>
  <c r="X236" i="4" a="1"/>
  <c r="X236" i="4" s="1"/>
  <c r="X237" i="4" a="1"/>
  <c r="X237" i="4" s="1"/>
  <c r="X238" i="4" a="1"/>
  <c r="X238" i="4" s="1"/>
  <c r="X239" i="4" a="1"/>
  <c r="X239" i="4" s="1"/>
  <c r="X240" i="4" a="1"/>
  <c r="X240" i="4" s="1"/>
  <c r="X241" i="4" a="1"/>
  <c r="X241" i="4" s="1"/>
  <c r="X242" i="4" a="1"/>
  <c r="X242" i="4" s="1"/>
  <c r="X243" i="4" a="1"/>
  <c r="X243" i="4" s="1"/>
  <c r="X244" i="4" a="1"/>
  <c r="X244" i="4" s="1"/>
  <c r="X245" i="4" a="1"/>
  <c r="X245" i="4" s="1"/>
  <c r="X246" i="4" a="1"/>
  <c r="X246" i="4" s="1"/>
  <c r="X247" i="4" a="1"/>
  <c r="X247" i="4" s="1"/>
  <c r="X248" i="4" a="1"/>
  <c r="X248" i="4" s="1"/>
  <c r="X249" i="4" a="1"/>
  <c r="X249" i="4" s="1"/>
  <c r="X250" i="4" a="1"/>
  <c r="X250" i="4" s="1"/>
  <c r="X251" i="4" a="1"/>
  <c r="X251" i="4" s="1"/>
  <c r="X252" i="4" a="1"/>
  <c r="X252" i="4" s="1"/>
  <c r="X253" i="4" a="1"/>
  <c r="X253" i="4" s="1"/>
  <c r="X254" i="4" a="1"/>
  <c r="X254" i="4" s="1"/>
  <c r="X255" i="4" a="1"/>
  <c r="X255" i="4" s="1"/>
  <c r="X256" i="4" a="1"/>
  <c r="X256" i="4" s="1"/>
  <c r="X257" i="4" a="1"/>
  <c r="X257" i="4" s="1"/>
  <c r="X258" i="4" a="1"/>
  <c r="X258" i="4" s="1"/>
  <c r="X259" i="4" a="1"/>
  <c r="X259" i="4" s="1"/>
  <c r="X260" i="4" a="1"/>
  <c r="X260" i="4" s="1"/>
  <c r="X261" i="4" a="1"/>
  <c r="X261" i="4" s="1"/>
  <c r="X262" i="4" a="1"/>
  <c r="X262" i="4" s="1"/>
  <c r="X263" i="4" a="1"/>
  <c r="X263" i="4" s="1"/>
  <c r="X264" i="4" a="1"/>
  <c r="X264" i="4" s="1"/>
  <c r="X265" i="4" a="1"/>
  <c r="X265" i="4" s="1"/>
  <c r="X266" i="4" a="1"/>
  <c r="X266" i="4" s="1"/>
  <c r="X267" i="4" a="1"/>
  <c r="X267" i="4" s="1"/>
  <c r="X268" i="4" a="1"/>
  <c r="X268" i="4" s="1"/>
  <c r="X269" i="4" a="1"/>
  <c r="X269" i="4" s="1"/>
  <c r="X270" i="4" a="1"/>
  <c r="X270" i="4" s="1"/>
  <c r="X271" i="4" a="1"/>
  <c r="X271" i="4" s="1"/>
  <c r="X272" i="4" a="1"/>
  <c r="X272" i="4" s="1"/>
  <c r="X273" i="4" a="1"/>
  <c r="X273" i="4" s="1"/>
  <c r="X274" i="4" a="1"/>
  <c r="X274" i="4" s="1"/>
  <c r="X275" i="4" a="1"/>
  <c r="X275" i="4" s="1"/>
  <c r="X276" i="4" a="1"/>
  <c r="X276" i="4" s="1"/>
  <c r="X277" i="4" a="1"/>
  <c r="X277" i="4" s="1"/>
  <c r="X278" i="4" a="1"/>
  <c r="X278" i="4" s="1"/>
  <c r="X279" i="4" a="1"/>
  <c r="X279" i="4" s="1"/>
  <c r="X280" i="4" a="1"/>
  <c r="X280" i="4" s="1"/>
  <c r="X281" i="4" a="1"/>
  <c r="X281" i="4" s="1"/>
  <c r="X282" i="4" a="1"/>
  <c r="X282" i="4" s="1"/>
  <c r="X283" i="4" a="1"/>
  <c r="X283" i="4" s="1"/>
  <c r="X284" i="4" a="1"/>
  <c r="X284" i="4" s="1"/>
  <c r="X285" i="4" a="1"/>
  <c r="X285" i="4" s="1"/>
  <c r="X286" i="4" a="1"/>
  <c r="X286" i="4" s="1"/>
  <c r="X287" i="4" a="1"/>
  <c r="X287" i="4" s="1"/>
  <c r="X288" i="4" a="1"/>
  <c r="X288" i="4" s="1"/>
  <c r="X289" i="4" a="1"/>
  <c r="X289" i="4" s="1"/>
  <c r="X290" i="4" a="1"/>
  <c r="X290" i="4" s="1"/>
  <c r="X291" i="4" a="1"/>
  <c r="X291" i="4" s="1"/>
  <c r="X292" i="4" a="1"/>
  <c r="X292" i="4" s="1"/>
  <c r="X293" i="4" a="1"/>
  <c r="X293" i="4" s="1"/>
  <c r="X294" i="4" a="1"/>
  <c r="X294" i="4" s="1"/>
  <c r="X295" i="4" a="1"/>
  <c r="X295" i="4" s="1"/>
  <c r="X296" i="4" a="1"/>
  <c r="X296" i="4" s="1"/>
  <c r="X297" i="4" a="1"/>
  <c r="X297" i="4" s="1"/>
  <c r="X298" i="4" a="1"/>
  <c r="X298" i="4" s="1"/>
  <c r="X299" i="4" a="1"/>
  <c r="X299" i="4" s="1"/>
  <c r="X300" i="4" a="1"/>
  <c r="X300" i="4" s="1"/>
  <c r="X301" i="4" a="1"/>
  <c r="X301" i="4" s="1"/>
  <c r="X302" i="4" a="1"/>
  <c r="X302" i="4" s="1"/>
  <c r="X303" i="4" a="1"/>
  <c r="X303" i="4" s="1"/>
  <c r="X304" i="4" a="1"/>
  <c r="X304" i="4" s="1"/>
  <c r="X305" i="4" a="1"/>
  <c r="X305" i="4" s="1"/>
  <c r="X306" i="4" a="1"/>
  <c r="X306" i="4" s="1"/>
  <c r="X307" i="4" a="1"/>
  <c r="X307" i="4" s="1"/>
  <c r="X308" i="4" a="1"/>
  <c r="X308" i="4" s="1"/>
  <c r="X309" i="4" a="1"/>
  <c r="X309" i="4" s="1"/>
  <c r="X310" i="4" a="1"/>
  <c r="X310" i="4" s="1"/>
  <c r="X311" i="4" a="1"/>
  <c r="X311" i="4" s="1"/>
  <c r="X312" i="4" a="1"/>
  <c r="X312" i="4" s="1"/>
  <c r="X313" i="4" a="1"/>
  <c r="X313" i="4" s="1"/>
  <c r="X314" i="4" a="1"/>
  <c r="X314" i="4" s="1"/>
  <c r="X315" i="4" a="1"/>
  <c r="X315" i="4" s="1"/>
  <c r="X316" i="4" a="1"/>
  <c r="X316" i="4" s="1"/>
  <c r="X317" i="4" a="1"/>
  <c r="X317" i="4" s="1"/>
  <c r="X318" i="4" a="1"/>
  <c r="X318" i="4" s="1"/>
  <c r="X319" i="4" a="1"/>
  <c r="X319" i="4" s="1"/>
  <c r="X320" i="4" a="1"/>
  <c r="X320" i="4" s="1"/>
  <c r="X321" i="4" a="1"/>
  <c r="X321" i="4" s="1"/>
  <c r="X322" i="4" a="1"/>
  <c r="X322" i="4" s="1"/>
  <c r="X323" i="4" a="1"/>
  <c r="X323" i="4" s="1"/>
  <c r="X324" i="4" a="1"/>
  <c r="X324" i="4" s="1"/>
  <c r="X325" i="4" a="1"/>
  <c r="X325" i="4" s="1"/>
  <c r="X326" i="4" a="1"/>
  <c r="X326" i="4" s="1"/>
  <c r="X327" i="4" a="1"/>
  <c r="X327" i="4" s="1"/>
  <c r="X328" i="4" a="1"/>
  <c r="X328" i="4" s="1"/>
  <c r="X329" i="4" a="1"/>
  <c r="X329" i="4" s="1"/>
  <c r="X330" i="4" a="1"/>
  <c r="X330" i="4" s="1"/>
  <c r="X331" i="4" a="1"/>
  <c r="X331" i="4" s="1"/>
  <c r="X332" i="4" a="1"/>
  <c r="X332" i="4" s="1"/>
  <c r="X333" i="4" a="1"/>
  <c r="X333" i="4" s="1"/>
  <c r="X334" i="4" a="1"/>
  <c r="X334" i="4" s="1"/>
  <c r="X335" i="4" a="1"/>
  <c r="X335" i="4" s="1"/>
  <c r="X336" i="4" a="1"/>
  <c r="X336" i="4" s="1"/>
  <c r="X337" i="4" a="1"/>
  <c r="X337" i="4" s="1"/>
  <c r="X338" i="4" a="1"/>
  <c r="X338" i="4" s="1"/>
  <c r="X339" i="4" a="1"/>
  <c r="X339" i="4" s="1"/>
  <c r="X340" i="4" a="1"/>
  <c r="X340" i="4" s="1"/>
  <c r="X341" i="4" a="1"/>
  <c r="X341" i="4" s="1"/>
  <c r="X342" i="4" a="1"/>
  <c r="X342" i="4" s="1"/>
  <c r="X343" i="4" a="1"/>
  <c r="X343" i="4" s="1"/>
  <c r="X344" i="4" a="1"/>
  <c r="X344" i="4" s="1"/>
  <c r="X345" i="4" a="1"/>
  <c r="X345" i="4" s="1"/>
  <c r="X346" i="4" a="1"/>
  <c r="X346" i="4" s="1"/>
  <c r="X347" i="4" a="1"/>
  <c r="X347" i="4" s="1"/>
  <c r="X348" i="4" a="1"/>
  <c r="X348" i="4" s="1"/>
  <c r="X349" i="4" a="1"/>
  <c r="X349" i="4" s="1"/>
  <c r="X350" i="4" a="1"/>
  <c r="X350" i="4" s="1"/>
  <c r="X351" i="4" a="1"/>
  <c r="X351" i="4" s="1"/>
  <c r="X352" i="4" a="1"/>
  <c r="X352" i="4" s="1"/>
  <c r="X353" i="4" a="1"/>
  <c r="X353" i="4" s="1"/>
  <c r="X354" i="4" a="1"/>
  <c r="X354" i="4" s="1"/>
  <c r="X355" i="4" a="1"/>
  <c r="X355" i="4" s="1"/>
  <c r="X356" i="4" a="1"/>
  <c r="X356" i="4" s="1"/>
  <c r="X357" i="4" a="1"/>
  <c r="X357" i="4" s="1"/>
  <c r="X358" i="4" a="1"/>
  <c r="X358" i="4" s="1"/>
  <c r="X359" i="4" a="1"/>
  <c r="X359" i="4" s="1"/>
  <c r="X360" i="4" a="1"/>
  <c r="X360" i="4" s="1"/>
  <c r="X361" i="4" a="1"/>
  <c r="X361" i="4" s="1"/>
  <c r="X362" i="4" a="1"/>
  <c r="X362" i="4" s="1"/>
  <c r="X363" i="4" a="1"/>
  <c r="X363" i="4" s="1"/>
  <c r="X364" i="4" a="1"/>
  <c r="X364" i="4" s="1"/>
  <c r="X365" i="4" a="1"/>
  <c r="X365" i="4" s="1"/>
  <c r="X366" i="4" a="1"/>
  <c r="X366" i="4" s="1"/>
  <c r="X367" i="4" a="1"/>
  <c r="X367" i="4" s="1"/>
  <c r="X368" i="4" a="1"/>
  <c r="X368" i="4" s="1"/>
  <c r="X369" i="4" a="1"/>
  <c r="X369" i="4" s="1"/>
  <c r="X370" i="4" a="1"/>
  <c r="X370" i="4" s="1"/>
  <c r="X371" i="4" a="1"/>
  <c r="X371" i="4" s="1"/>
  <c r="X372" i="4" a="1"/>
  <c r="X372" i="4" s="1"/>
  <c r="X373" i="4" a="1"/>
  <c r="X373" i="4" s="1"/>
  <c r="X374" i="4" a="1"/>
  <c r="X374" i="4" s="1"/>
  <c r="X375" i="4" a="1"/>
  <c r="X375" i="4" s="1"/>
  <c r="X376" i="4" a="1"/>
  <c r="X376" i="4" s="1"/>
  <c r="X377" i="4" a="1"/>
  <c r="X377" i="4" s="1"/>
  <c r="X378" i="4" a="1"/>
  <c r="X378" i="4" s="1"/>
  <c r="X379" i="4" a="1"/>
  <c r="X379" i="4" s="1"/>
  <c r="X380" i="4" a="1"/>
  <c r="X380" i="4" s="1"/>
  <c r="X381" i="4" a="1"/>
  <c r="X381" i="4" s="1"/>
  <c r="X382" i="4" a="1"/>
  <c r="X382" i="4" s="1"/>
  <c r="X383" i="4" a="1"/>
  <c r="X383" i="4" s="1"/>
  <c r="X384" i="4" a="1"/>
  <c r="X384" i="4" s="1"/>
  <c r="X385" i="4" a="1"/>
  <c r="X385" i="4" s="1"/>
  <c r="X386" i="4" a="1"/>
  <c r="X386" i="4" s="1"/>
  <c r="X387" i="4" a="1"/>
  <c r="X387" i="4" s="1"/>
  <c r="X388" i="4" a="1"/>
  <c r="X388" i="4" s="1"/>
  <c r="X389" i="4" a="1"/>
  <c r="X389" i="4" s="1"/>
  <c r="X390" i="4" a="1"/>
  <c r="X390" i="4" s="1"/>
  <c r="X391" i="4" a="1"/>
  <c r="X391" i="4" s="1"/>
  <c r="X392" i="4" a="1"/>
  <c r="X392" i="4" s="1"/>
  <c r="X393" i="4" a="1"/>
  <c r="X393" i="4" s="1"/>
  <c r="X394" i="4" a="1"/>
  <c r="X394" i="4" s="1"/>
  <c r="X395" i="4" a="1"/>
  <c r="X395" i="4" s="1"/>
  <c r="X396" i="4" a="1"/>
  <c r="X396" i="4" s="1"/>
  <c r="X397" i="4" a="1"/>
  <c r="X397" i="4" s="1"/>
  <c r="X398" i="4" a="1"/>
  <c r="X398" i="4" s="1"/>
  <c r="X399" i="4" a="1"/>
  <c r="X399" i="4" s="1"/>
  <c r="X400" i="4" a="1"/>
  <c r="X400" i="4" s="1"/>
  <c r="X401" i="4" a="1"/>
  <c r="X401" i="4" s="1"/>
  <c r="X402" i="4" a="1"/>
  <c r="X402" i="4" s="1"/>
  <c r="X403" i="4" a="1"/>
  <c r="X403" i="4" s="1"/>
  <c r="X404" i="4" a="1"/>
  <c r="X404" i="4" s="1"/>
  <c r="X405" i="4" a="1"/>
  <c r="X405" i="4" s="1"/>
  <c r="X406" i="4" a="1"/>
  <c r="X406" i="4" s="1"/>
  <c r="X407" i="4" a="1"/>
  <c r="X407" i="4" s="1"/>
  <c r="X408" i="4" a="1"/>
  <c r="X408" i="4" s="1"/>
  <c r="X409" i="4" a="1"/>
  <c r="X409" i="4" s="1"/>
  <c r="X410" i="4" a="1"/>
  <c r="X410" i="4" s="1"/>
  <c r="X411" i="4" a="1"/>
  <c r="X411" i="4" s="1"/>
  <c r="X412" i="4" a="1"/>
  <c r="X412" i="4" s="1"/>
  <c r="X413" i="4" a="1"/>
  <c r="X413" i="4" s="1"/>
  <c r="X414" i="4" a="1"/>
  <c r="X414" i="4" s="1"/>
  <c r="X415" i="4" a="1"/>
  <c r="X415" i="4" s="1"/>
  <c r="X416" i="4" a="1"/>
  <c r="X416" i="4" s="1"/>
  <c r="X417" i="4" a="1"/>
  <c r="X417" i="4" s="1"/>
  <c r="X418" i="4" a="1"/>
  <c r="X418" i="4" s="1"/>
  <c r="X419" i="4" a="1"/>
  <c r="X419" i="4" s="1"/>
  <c r="X420" i="4" a="1"/>
  <c r="X420" i="4" s="1"/>
  <c r="X421" i="4" a="1"/>
  <c r="X421" i="4" s="1"/>
  <c r="X422" i="4" a="1"/>
  <c r="X422" i="4" s="1"/>
  <c r="X423" i="4" a="1"/>
  <c r="X423" i="4" s="1"/>
  <c r="X424" i="4" a="1"/>
  <c r="X424" i="4" s="1"/>
  <c r="X425" i="4" a="1"/>
  <c r="X425" i="4" s="1"/>
  <c r="X426" i="4" a="1"/>
  <c r="X426" i="4" s="1"/>
  <c r="X427" i="4" a="1"/>
  <c r="X427" i="4" s="1"/>
  <c r="X428" i="4" a="1"/>
  <c r="X428" i="4" s="1"/>
  <c r="X429" i="4" a="1"/>
  <c r="X429" i="4" s="1"/>
  <c r="X430" i="4" a="1"/>
  <c r="X430" i="4" s="1"/>
  <c r="X431" i="4" a="1"/>
  <c r="X431" i="4" s="1"/>
  <c r="X432" i="4" a="1"/>
  <c r="X432" i="4" s="1"/>
  <c r="X433" i="4" a="1"/>
  <c r="X433" i="4" s="1"/>
  <c r="X434" i="4" a="1"/>
  <c r="X434" i="4" s="1"/>
  <c r="X435" i="4" a="1"/>
  <c r="X435" i="4" s="1"/>
  <c r="X436" i="4" a="1"/>
  <c r="X436" i="4" s="1"/>
  <c r="X437" i="4" a="1"/>
  <c r="X437" i="4" s="1"/>
  <c r="X438" i="4" a="1"/>
  <c r="X438" i="4" s="1"/>
  <c r="X439" i="4" a="1"/>
  <c r="X439" i="4" s="1"/>
  <c r="X440" i="4" a="1"/>
  <c r="X440" i="4" s="1"/>
  <c r="X441" i="4" a="1"/>
  <c r="X441" i="4" s="1"/>
  <c r="X442" i="4" a="1"/>
  <c r="X442" i="4" s="1"/>
  <c r="X443" i="4" a="1"/>
  <c r="X443" i="4" s="1"/>
  <c r="X444" i="4" a="1"/>
  <c r="X444" i="4" s="1"/>
  <c r="X445" i="4" a="1"/>
  <c r="X445" i="4" s="1"/>
  <c r="X446" i="4" a="1"/>
  <c r="X446" i="4" s="1"/>
  <c r="X447" i="4" a="1"/>
  <c r="X447" i="4" s="1"/>
  <c r="X448" i="4" a="1"/>
  <c r="X448" i="4" s="1"/>
  <c r="X449" i="4" a="1"/>
  <c r="X449" i="4" s="1"/>
  <c r="X450" i="4" a="1"/>
  <c r="X450" i="4" s="1"/>
  <c r="X451" i="4" a="1"/>
  <c r="X451" i="4" s="1"/>
  <c r="X452" i="4" a="1"/>
  <c r="X452" i="4" s="1"/>
  <c r="X453" i="4" a="1"/>
  <c r="X453" i="4" s="1"/>
  <c r="X454" i="4" a="1"/>
  <c r="X454" i="4" s="1"/>
  <c r="X455" i="4" a="1"/>
  <c r="X455" i="4" s="1"/>
  <c r="X456" i="4" a="1"/>
  <c r="X456" i="4" s="1"/>
  <c r="X457" i="4" a="1"/>
  <c r="X457" i="4" s="1"/>
  <c r="X458" i="4" a="1"/>
  <c r="X458" i="4" s="1"/>
  <c r="X459" i="4" a="1"/>
  <c r="X459" i="4" s="1"/>
  <c r="X460" i="4" a="1"/>
  <c r="X460" i="4" s="1"/>
  <c r="X461" i="4" a="1"/>
  <c r="X461" i="4" s="1"/>
  <c r="X462" i="4" a="1"/>
  <c r="X462" i="4" s="1"/>
  <c r="X463" i="4" a="1"/>
  <c r="X463" i="4" s="1"/>
  <c r="X464" i="4" a="1"/>
  <c r="X464" i="4" s="1"/>
  <c r="X465" i="4" a="1"/>
  <c r="X465" i="4" s="1"/>
  <c r="X466" i="4" a="1"/>
  <c r="X466" i="4" s="1"/>
  <c r="X467" i="4" a="1"/>
  <c r="X467" i="4" s="1"/>
  <c r="X468" i="4" a="1"/>
  <c r="X468" i="4" s="1"/>
  <c r="X469" i="4" a="1"/>
  <c r="X469" i="4" s="1"/>
  <c r="X470" i="4" a="1"/>
  <c r="X470" i="4" s="1"/>
  <c r="X471" i="4" a="1"/>
  <c r="X471" i="4" s="1"/>
  <c r="X472" i="4" a="1"/>
  <c r="X472" i="4" s="1"/>
  <c r="X473" i="4" a="1"/>
  <c r="X473" i="4" s="1"/>
  <c r="X474" i="4" a="1"/>
  <c r="X474" i="4" s="1"/>
  <c r="X475" i="4" a="1"/>
  <c r="X475" i="4" s="1"/>
  <c r="X476" i="4" a="1"/>
  <c r="X476" i="4" s="1"/>
  <c r="X477" i="4" a="1"/>
  <c r="X477" i="4" s="1"/>
  <c r="X478" i="4" a="1"/>
  <c r="X478" i="4" s="1"/>
  <c r="X479" i="4" a="1"/>
  <c r="X479" i="4" s="1"/>
  <c r="X480" i="4" a="1"/>
  <c r="X480" i="4" s="1"/>
  <c r="X481" i="4" a="1"/>
  <c r="X481" i="4" s="1"/>
  <c r="X482" i="4" a="1"/>
  <c r="X482" i="4" s="1"/>
  <c r="X483" i="4" a="1"/>
  <c r="X483" i="4" s="1"/>
  <c r="X484" i="4" a="1"/>
  <c r="X484" i="4" s="1"/>
  <c r="X485" i="4" a="1"/>
  <c r="X485" i="4" s="1"/>
  <c r="X486" i="4" a="1"/>
  <c r="X486" i="4" s="1"/>
  <c r="X487" i="4" a="1"/>
  <c r="X487" i="4" s="1"/>
  <c r="X488" i="4" a="1"/>
  <c r="X488" i="4" s="1"/>
  <c r="X489" i="4" a="1"/>
  <c r="X489" i="4" s="1"/>
  <c r="X490" i="4" a="1"/>
  <c r="X490" i="4" s="1"/>
  <c r="X491" i="4" a="1"/>
  <c r="X491" i="4" s="1"/>
  <c r="X492" i="4" a="1"/>
  <c r="X492" i="4" s="1"/>
  <c r="X493" i="4" a="1"/>
  <c r="X493" i="4" s="1"/>
  <c r="X494" i="4" a="1"/>
  <c r="X494" i="4" s="1"/>
  <c r="Y2" i="4" a="1"/>
  <c r="Y2" i="4" s="1"/>
  <c r="Y3" i="4" a="1"/>
  <c r="Y3" i="4" s="1"/>
  <c r="Y4" i="4" a="1"/>
  <c r="Y4" i="4" s="1"/>
  <c r="Y5" i="4" a="1"/>
  <c r="Y5" i="4" s="1"/>
  <c r="Y6" i="4" a="1"/>
  <c r="Y6" i="4" s="1"/>
  <c r="Y7" i="4" a="1"/>
  <c r="Y7" i="4" s="1"/>
  <c r="Y8" i="4" a="1"/>
  <c r="Y8" i="4" s="1"/>
  <c r="Y9" i="4" a="1"/>
  <c r="Y9" i="4" s="1"/>
  <c r="Y10" i="4" a="1"/>
  <c r="Y10" i="4" s="1"/>
  <c r="Y11" i="4" a="1"/>
  <c r="Y11" i="4" s="1"/>
  <c r="Y12" i="4" a="1"/>
  <c r="Y12" i="4" s="1"/>
  <c r="Y13" i="4" a="1"/>
  <c r="Y13" i="4" s="1"/>
  <c r="Y14" i="4" a="1"/>
  <c r="Y14" i="4" s="1"/>
  <c r="Y15" i="4" a="1"/>
  <c r="Y15" i="4" s="1"/>
  <c r="Y16" i="4" a="1"/>
  <c r="Y16" i="4" s="1"/>
  <c r="Y17" i="4" a="1"/>
  <c r="Y17" i="4" s="1"/>
  <c r="Y18" i="4" a="1"/>
  <c r="Y18" i="4" s="1"/>
  <c r="Y19" i="4" a="1"/>
  <c r="Y19" i="4" s="1"/>
  <c r="Y20" i="4" a="1"/>
  <c r="Y20" i="4" s="1"/>
  <c r="Y21" i="4" a="1"/>
  <c r="Y21" i="4" s="1"/>
  <c r="Y22" i="4" a="1"/>
  <c r="Y22" i="4" s="1"/>
  <c r="Y23" i="4" a="1"/>
  <c r="Y23" i="4" s="1"/>
  <c r="Y24" i="4" a="1"/>
  <c r="Y24" i="4" s="1"/>
  <c r="Y25" i="4" a="1"/>
  <c r="Y25" i="4" s="1"/>
  <c r="Y26" i="4" a="1"/>
  <c r="Y26" i="4" s="1"/>
  <c r="Y27" i="4" a="1"/>
  <c r="Y27" i="4" s="1"/>
  <c r="Y28" i="4" a="1"/>
  <c r="Y28" i="4" s="1"/>
  <c r="Y29" i="4" a="1"/>
  <c r="Y29" i="4" s="1"/>
  <c r="Y30" i="4" a="1"/>
  <c r="Y30" i="4" s="1"/>
  <c r="Y31" i="4" a="1"/>
  <c r="Y31" i="4" s="1"/>
  <c r="Y32" i="4" a="1"/>
  <c r="Y32" i="4" s="1"/>
  <c r="Y33" i="4" a="1"/>
  <c r="Y33" i="4" s="1"/>
  <c r="Y34" i="4" a="1"/>
  <c r="Y34" i="4" s="1"/>
  <c r="Y35" i="4" a="1"/>
  <c r="Y35" i="4" s="1"/>
  <c r="Y36" i="4" a="1"/>
  <c r="Y36" i="4" s="1"/>
  <c r="Y37" i="4" a="1"/>
  <c r="Y37" i="4" s="1"/>
  <c r="Y38" i="4" a="1"/>
  <c r="Y38" i="4" s="1"/>
  <c r="Y39" i="4" a="1"/>
  <c r="Y39" i="4" s="1"/>
  <c r="Y40" i="4" a="1"/>
  <c r="Y40" i="4" s="1"/>
  <c r="Y41" i="4" a="1"/>
  <c r="Y41" i="4" s="1"/>
  <c r="Y42" i="4" a="1"/>
  <c r="Y42" i="4" s="1"/>
  <c r="Y43" i="4" a="1"/>
  <c r="Y43" i="4" s="1"/>
  <c r="Y44" i="4" a="1"/>
  <c r="Y44" i="4" s="1"/>
  <c r="Y45" i="4" a="1"/>
  <c r="Y45" i="4" s="1"/>
  <c r="Y46" i="4" a="1"/>
  <c r="Y46" i="4" s="1"/>
  <c r="Y47" i="4" a="1"/>
  <c r="Y47" i="4" s="1"/>
  <c r="Y48" i="4" a="1"/>
  <c r="Y48" i="4" s="1"/>
  <c r="Y49" i="4" a="1"/>
  <c r="Y49" i="4" s="1"/>
  <c r="Y50" i="4" a="1"/>
  <c r="Y50" i="4" s="1"/>
  <c r="Y51" i="4" a="1"/>
  <c r="Y51" i="4" s="1"/>
  <c r="Y52" i="4" a="1"/>
  <c r="Y52" i="4" s="1"/>
  <c r="Y53" i="4" a="1"/>
  <c r="Y53" i="4" s="1"/>
  <c r="Y54" i="4" a="1"/>
  <c r="Y54" i="4" s="1"/>
  <c r="Y55" i="4" a="1"/>
  <c r="Y55" i="4" s="1"/>
  <c r="Y56" i="4" a="1"/>
  <c r="Y56" i="4" s="1"/>
  <c r="Y57" i="4" a="1"/>
  <c r="Y57" i="4" s="1"/>
  <c r="Y58" i="4" a="1"/>
  <c r="Y58" i="4" s="1"/>
  <c r="Y59" i="4" a="1"/>
  <c r="Y59" i="4" s="1"/>
  <c r="Y60" i="4" a="1"/>
  <c r="Y60" i="4" s="1"/>
  <c r="Y61" i="4" a="1"/>
  <c r="Y61" i="4" s="1"/>
  <c r="Y62" i="4" a="1"/>
  <c r="Y62" i="4" s="1"/>
  <c r="Y63" i="4" a="1"/>
  <c r="Y63" i="4" s="1"/>
  <c r="Y64" i="4" a="1"/>
  <c r="Y64" i="4" s="1"/>
  <c r="Y65" i="4" a="1"/>
  <c r="Y65" i="4" s="1"/>
  <c r="Y66" i="4" a="1"/>
  <c r="Y66" i="4" s="1"/>
  <c r="Y67" i="4" a="1"/>
  <c r="Y67" i="4" s="1"/>
  <c r="Y68" i="4" a="1"/>
  <c r="Y68" i="4" s="1"/>
  <c r="Y69" i="4" a="1"/>
  <c r="Y69" i="4" s="1"/>
  <c r="Y70" i="4" a="1"/>
  <c r="Y70" i="4" s="1"/>
  <c r="Y71" i="4" a="1"/>
  <c r="Y71" i="4" s="1"/>
  <c r="Y72" i="4" a="1"/>
  <c r="Y72" i="4" s="1"/>
  <c r="Y73" i="4" a="1"/>
  <c r="Y73" i="4" s="1"/>
  <c r="Y74" i="4" a="1"/>
  <c r="Y74" i="4" s="1"/>
  <c r="Y75" i="4" a="1"/>
  <c r="Y75" i="4" s="1"/>
  <c r="Y76" i="4" a="1"/>
  <c r="Y76" i="4" s="1"/>
  <c r="Y77" i="4" a="1"/>
  <c r="Y77" i="4" s="1"/>
  <c r="Y78" i="4" a="1"/>
  <c r="Y78" i="4" s="1"/>
  <c r="Y79" i="4" a="1"/>
  <c r="Y79" i="4" s="1"/>
  <c r="Y80" i="4" a="1"/>
  <c r="Y80" i="4" s="1"/>
  <c r="Y81" i="4" a="1"/>
  <c r="Y81" i="4" s="1"/>
  <c r="Y82" i="4" a="1"/>
  <c r="Y82" i="4" s="1"/>
  <c r="Y83" i="4" a="1"/>
  <c r="Y83" i="4" s="1"/>
  <c r="Y84" i="4" a="1"/>
  <c r="Y84" i="4" s="1"/>
  <c r="Y85" i="4" a="1"/>
  <c r="Y85" i="4" s="1"/>
  <c r="Y86" i="4" a="1"/>
  <c r="Y86" i="4" s="1"/>
  <c r="Y87" i="4" a="1"/>
  <c r="Y87" i="4" s="1"/>
  <c r="Y88" i="4" a="1"/>
  <c r="Y88" i="4" s="1"/>
  <c r="Y89" i="4" a="1"/>
  <c r="Y89" i="4" s="1"/>
  <c r="Y90" i="4" a="1"/>
  <c r="Y90" i="4" s="1"/>
  <c r="Y91" i="4" a="1"/>
  <c r="Y91" i="4" s="1"/>
  <c r="Y92" i="4" a="1"/>
  <c r="Y92" i="4" s="1"/>
  <c r="Y93" i="4" a="1"/>
  <c r="Y93" i="4" s="1"/>
  <c r="Y94" i="4" a="1"/>
  <c r="Y94" i="4" s="1"/>
  <c r="Y95" i="4" a="1"/>
  <c r="Y95" i="4" s="1"/>
  <c r="Y96" i="4" a="1"/>
  <c r="Y96" i="4" s="1"/>
  <c r="Y97" i="4" a="1"/>
  <c r="Y97" i="4" s="1"/>
  <c r="Y98" i="4" a="1"/>
  <c r="Y98" i="4" s="1"/>
  <c r="Y99" i="4" a="1"/>
  <c r="Y99" i="4" s="1"/>
  <c r="Y100" i="4" a="1"/>
  <c r="Y100" i="4" s="1"/>
  <c r="Y101" i="4" a="1"/>
  <c r="Y101" i="4" s="1"/>
  <c r="Y102" i="4" a="1"/>
  <c r="Y102" i="4" s="1"/>
  <c r="Y103" i="4" a="1"/>
  <c r="Y103" i="4" s="1"/>
  <c r="Y104" i="4" a="1"/>
  <c r="Y104" i="4" s="1"/>
  <c r="Y105" i="4" a="1"/>
  <c r="Y105" i="4" s="1"/>
  <c r="Y106" i="4" a="1"/>
  <c r="Y106" i="4" s="1"/>
  <c r="Y107" i="4" a="1"/>
  <c r="Y107" i="4" s="1"/>
  <c r="Y108" i="4" a="1"/>
  <c r="Y108" i="4" s="1"/>
  <c r="Y109" i="4" a="1"/>
  <c r="Y109" i="4" s="1"/>
  <c r="Y110" i="4" a="1"/>
  <c r="Y110" i="4" s="1"/>
  <c r="Y111" i="4" a="1"/>
  <c r="Y111" i="4" s="1"/>
  <c r="Y112" i="4" a="1"/>
  <c r="Y112" i="4" s="1"/>
  <c r="Y113" i="4" a="1"/>
  <c r="Y113" i="4" s="1"/>
  <c r="Y114" i="4" a="1"/>
  <c r="Y114" i="4" s="1"/>
  <c r="Y115" i="4" a="1"/>
  <c r="Y115" i="4" s="1"/>
  <c r="Y116" i="4" a="1"/>
  <c r="Y116" i="4" s="1"/>
  <c r="Y117" i="4" a="1"/>
  <c r="Y117" i="4" s="1"/>
  <c r="Y118" i="4" a="1"/>
  <c r="Y118" i="4" s="1"/>
  <c r="Y119" i="4" a="1"/>
  <c r="Y119" i="4" s="1"/>
  <c r="Y120" i="4" a="1"/>
  <c r="Y120" i="4" s="1"/>
  <c r="Y121" i="4" a="1"/>
  <c r="Y121" i="4" s="1"/>
  <c r="Y122" i="4" a="1"/>
  <c r="Y122" i="4" s="1"/>
  <c r="Y123" i="4" a="1"/>
  <c r="Y123" i="4" s="1"/>
  <c r="Y124" i="4" a="1"/>
  <c r="Y124" i="4" s="1"/>
  <c r="Y125" i="4" a="1"/>
  <c r="Y125" i="4" s="1"/>
  <c r="Y126" i="4" a="1"/>
  <c r="Y126" i="4" s="1"/>
  <c r="Y127" i="4" a="1"/>
  <c r="Y127" i="4" s="1"/>
  <c r="Y128" i="4" a="1"/>
  <c r="Y128" i="4" s="1"/>
  <c r="Y129" i="4" a="1"/>
  <c r="Y129" i="4" s="1"/>
  <c r="Y130" i="4" a="1"/>
  <c r="Y130" i="4" s="1"/>
  <c r="Y131" i="4" a="1"/>
  <c r="Y131" i="4" s="1"/>
  <c r="Y132" i="4" a="1"/>
  <c r="Y132" i="4" s="1"/>
  <c r="Y133" i="4" a="1"/>
  <c r="Y133" i="4" s="1"/>
  <c r="Y134" i="4" a="1"/>
  <c r="Y134" i="4" s="1"/>
  <c r="Y135" i="4" a="1"/>
  <c r="Y135" i="4" s="1"/>
  <c r="Y136" i="4" a="1"/>
  <c r="Y136" i="4" s="1"/>
  <c r="Y137" i="4" a="1"/>
  <c r="Y137" i="4" s="1"/>
  <c r="Y138" i="4" a="1"/>
  <c r="Y138" i="4" s="1"/>
  <c r="Y139" i="4" a="1"/>
  <c r="Y139" i="4" s="1"/>
  <c r="Y140" i="4" a="1"/>
  <c r="Y140" i="4" s="1"/>
  <c r="Y141" i="4" a="1"/>
  <c r="Y141" i="4" s="1"/>
  <c r="Y142" i="4" a="1"/>
  <c r="Y142" i="4" s="1"/>
  <c r="Y143" i="4" a="1"/>
  <c r="Y143" i="4" s="1"/>
  <c r="Y144" i="4" a="1"/>
  <c r="Y144" i="4" s="1"/>
  <c r="Y145" i="4" a="1"/>
  <c r="Y145" i="4" s="1"/>
  <c r="Y146" i="4" a="1"/>
  <c r="Y146" i="4" s="1"/>
  <c r="Y147" i="4" a="1"/>
  <c r="Y147" i="4" s="1"/>
  <c r="Y148" i="4" a="1"/>
  <c r="Y148" i="4" s="1"/>
  <c r="Y149" i="4" a="1"/>
  <c r="Y149" i="4" s="1"/>
  <c r="Y150" i="4" a="1"/>
  <c r="Y150" i="4" s="1"/>
  <c r="Y151" i="4" a="1"/>
  <c r="Y151" i="4" s="1"/>
  <c r="Y152" i="4" a="1"/>
  <c r="Y152" i="4" s="1"/>
  <c r="Y153" i="4" a="1"/>
  <c r="Y153" i="4" s="1"/>
  <c r="Y154" i="4" a="1"/>
  <c r="Y154" i="4" s="1"/>
  <c r="Y155" i="4" a="1"/>
  <c r="Y155" i="4" s="1"/>
  <c r="Y156" i="4" a="1"/>
  <c r="Y156" i="4" s="1"/>
  <c r="Y157" i="4" a="1"/>
  <c r="Y157" i="4" s="1"/>
  <c r="Y158" i="4" a="1"/>
  <c r="Y158" i="4" s="1"/>
  <c r="Y159" i="4" a="1"/>
  <c r="Y159" i="4" s="1"/>
  <c r="Y160" i="4" a="1"/>
  <c r="Y160" i="4" s="1"/>
  <c r="Y161" i="4" a="1"/>
  <c r="Y161" i="4" s="1"/>
  <c r="Y162" i="4" a="1"/>
  <c r="Y162" i="4" s="1"/>
  <c r="Y163" i="4" a="1"/>
  <c r="Y163" i="4" s="1"/>
  <c r="Y164" i="4" a="1"/>
  <c r="Y164" i="4" s="1"/>
  <c r="Y165" i="4" a="1"/>
  <c r="Y165" i="4" s="1"/>
  <c r="Y166" i="4" a="1"/>
  <c r="Y166" i="4" s="1"/>
  <c r="Y167" i="4" a="1"/>
  <c r="Y167" i="4" s="1"/>
  <c r="Y168" i="4" a="1"/>
  <c r="Y168" i="4" s="1"/>
  <c r="Y169" i="4" a="1"/>
  <c r="Y169" i="4" s="1"/>
  <c r="Y170" i="4" a="1"/>
  <c r="Y170" i="4" s="1"/>
  <c r="Y171" i="4" a="1"/>
  <c r="Y171" i="4" s="1"/>
  <c r="Y172" i="4" a="1"/>
  <c r="Y172" i="4" s="1"/>
  <c r="Y173" i="4" a="1"/>
  <c r="Y173" i="4" s="1"/>
  <c r="Y174" i="4" a="1"/>
  <c r="Y174" i="4" s="1"/>
  <c r="Y175" i="4" a="1"/>
  <c r="Y175" i="4" s="1"/>
  <c r="Y176" i="4" a="1"/>
  <c r="Y176" i="4" s="1"/>
  <c r="Y177" i="4" a="1"/>
  <c r="Y177" i="4" s="1"/>
  <c r="Y178" i="4" a="1"/>
  <c r="Y178" i="4" s="1"/>
  <c r="Y179" i="4" a="1"/>
  <c r="Y179" i="4" s="1"/>
  <c r="Y180" i="4" a="1"/>
  <c r="Y180" i="4" s="1"/>
  <c r="Y181" i="4" a="1"/>
  <c r="Y181" i="4" s="1"/>
  <c r="Y182" i="4" a="1"/>
  <c r="Y182" i="4" s="1"/>
  <c r="Y183" i="4" a="1"/>
  <c r="Y183" i="4" s="1"/>
  <c r="Y184" i="4" a="1"/>
  <c r="Y184" i="4" s="1"/>
  <c r="Y185" i="4" a="1"/>
  <c r="Y185" i="4" s="1"/>
  <c r="Y186" i="4" a="1"/>
  <c r="Y186" i="4" s="1"/>
  <c r="Y187" i="4" a="1"/>
  <c r="Y187" i="4" s="1"/>
  <c r="Y188" i="4" a="1"/>
  <c r="Y188" i="4" s="1"/>
  <c r="Y189" i="4" a="1"/>
  <c r="Y189" i="4" s="1"/>
  <c r="Y190" i="4" a="1"/>
  <c r="Y190" i="4" s="1"/>
  <c r="Y191" i="4" a="1"/>
  <c r="Y191" i="4" s="1"/>
  <c r="Y192" i="4" a="1"/>
  <c r="Y192" i="4" s="1"/>
  <c r="Y193" i="4" a="1"/>
  <c r="Y193" i="4" s="1"/>
  <c r="Y194" i="4" a="1"/>
  <c r="Y194" i="4" s="1"/>
  <c r="Y195" i="4" a="1"/>
  <c r="Y195" i="4" s="1"/>
  <c r="Y196" i="4" a="1"/>
  <c r="Y196" i="4" s="1"/>
  <c r="Y197" i="4" a="1"/>
  <c r="Y197" i="4" s="1"/>
  <c r="Y198" i="4" a="1"/>
  <c r="Y198" i="4" s="1"/>
  <c r="Y199" i="4" a="1"/>
  <c r="Y199" i="4" s="1"/>
  <c r="Y200" i="4" a="1"/>
  <c r="Y200" i="4" s="1"/>
  <c r="Y201" i="4" a="1"/>
  <c r="Y201" i="4" s="1"/>
  <c r="Y202" i="4" a="1"/>
  <c r="Y202" i="4" s="1"/>
  <c r="Y203" i="4" a="1"/>
  <c r="Y203" i="4" s="1"/>
  <c r="Y204" i="4" a="1"/>
  <c r="Y204" i="4" s="1"/>
  <c r="Y205" i="4" a="1"/>
  <c r="Y205" i="4" s="1"/>
  <c r="Y206" i="4" a="1"/>
  <c r="Y206" i="4" s="1"/>
  <c r="Y207" i="4" a="1"/>
  <c r="Y207" i="4" s="1"/>
  <c r="Y208" i="4" a="1"/>
  <c r="Y208" i="4" s="1"/>
  <c r="Y209" i="4" a="1"/>
  <c r="Y209" i="4" s="1"/>
  <c r="Y210" i="4" a="1"/>
  <c r="Y210" i="4" s="1"/>
  <c r="Y211" i="4" a="1"/>
  <c r="Y211" i="4" s="1"/>
  <c r="Y212" i="4" a="1"/>
  <c r="Y212" i="4" s="1"/>
  <c r="Y213" i="4" a="1"/>
  <c r="Y213" i="4" s="1"/>
  <c r="Y214" i="4" a="1"/>
  <c r="Y214" i="4" s="1"/>
  <c r="Y215" i="4" a="1"/>
  <c r="Y215" i="4" s="1"/>
  <c r="Y216" i="4" a="1"/>
  <c r="Y216" i="4" s="1"/>
  <c r="Y217" i="4" a="1"/>
  <c r="Y217" i="4" s="1"/>
  <c r="Y218" i="4" a="1"/>
  <c r="Y218" i="4" s="1"/>
  <c r="Y219" i="4" a="1"/>
  <c r="Y219" i="4" s="1"/>
  <c r="Y220" i="4" a="1"/>
  <c r="Y220" i="4" s="1"/>
  <c r="Y221" i="4" a="1"/>
  <c r="Y221" i="4" s="1"/>
  <c r="Y222" i="4" a="1"/>
  <c r="Y222" i="4" s="1"/>
  <c r="Y223" i="4" a="1"/>
  <c r="Y223" i="4" s="1"/>
  <c r="Y224" i="4" a="1"/>
  <c r="Y224" i="4" s="1"/>
  <c r="Y225" i="4" a="1"/>
  <c r="Y225" i="4" s="1"/>
  <c r="Y226" i="4" a="1"/>
  <c r="Y226" i="4" s="1"/>
  <c r="Y227" i="4" a="1"/>
  <c r="Y227" i="4" s="1"/>
  <c r="Y228" i="4" a="1"/>
  <c r="Y228" i="4" s="1"/>
  <c r="Y229" i="4" a="1"/>
  <c r="Y229" i="4" s="1"/>
  <c r="Y230" i="4" a="1"/>
  <c r="Y230" i="4" s="1"/>
  <c r="Y231" i="4" a="1"/>
  <c r="Y231" i="4" s="1"/>
  <c r="Y232" i="4" a="1"/>
  <c r="Y232" i="4" s="1"/>
  <c r="Y233" i="4" a="1"/>
  <c r="Y233" i="4" s="1"/>
  <c r="Y234" i="4" a="1"/>
  <c r="Y234" i="4" s="1"/>
  <c r="Y235" i="4" a="1"/>
  <c r="Y235" i="4" s="1"/>
  <c r="Y236" i="4" a="1"/>
  <c r="Y236" i="4" s="1"/>
  <c r="Y237" i="4" a="1"/>
  <c r="Y237" i="4" s="1"/>
  <c r="Y238" i="4" a="1"/>
  <c r="Y238" i="4" s="1"/>
  <c r="Y239" i="4" a="1"/>
  <c r="Y239" i="4" s="1"/>
  <c r="Y240" i="4" a="1"/>
  <c r="Y240" i="4" s="1"/>
  <c r="Y241" i="4" a="1"/>
  <c r="Y241" i="4" s="1"/>
  <c r="Y242" i="4" a="1"/>
  <c r="Y242" i="4" s="1"/>
  <c r="Y243" i="4" a="1"/>
  <c r="Y243" i="4" s="1"/>
  <c r="Y244" i="4" a="1"/>
  <c r="Y244" i="4" s="1"/>
  <c r="Y245" i="4" a="1"/>
  <c r="Y245" i="4" s="1"/>
  <c r="Y246" i="4" a="1"/>
  <c r="Y246" i="4" s="1"/>
  <c r="Y247" i="4" a="1"/>
  <c r="Y247" i="4" s="1"/>
  <c r="Y248" i="4" a="1"/>
  <c r="Y248" i="4" s="1"/>
  <c r="Y249" i="4" a="1"/>
  <c r="Y249" i="4" s="1"/>
  <c r="Y250" i="4" a="1"/>
  <c r="Y250" i="4" s="1"/>
  <c r="Y251" i="4" a="1"/>
  <c r="Y251" i="4" s="1"/>
  <c r="Y252" i="4" a="1"/>
  <c r="Y252" i="4" s="1"/>
  <c r="Y253" i="4" a="1"/>
  <c r="Y253" i="4" s="1"/>
  <c r="Y254" i="4" a="1"/>
  <c r="Y254" i="4" s="1"/>
  <c r="Y255" i="4" a="1"/>
  <c r="Y255" i="4" s="1"/>
  <c r="Y256" i="4" a="1"/>
  <c r="Y256" i="4" s="1"/>
  <c r="Y257" i="4" a="1"/>
  <c r="Y257" i="4" s="1"/>
  <c r="Y258" i="4" a="1"/>
  <c r="Y258" i="4" s="1"/>
  <c r="Y259" i="4" a="1"/>
  <c r="Y259" i="4" s="1"/>
  <c r="Y260" i="4" a="1"/>
  <c r="Y260" i="4" s="1"/>
  <c r="Y261" i="4" a="1"/>
  <c r="Y261" i="4" s="1"/>
  <c r="Y262" i="4" a="1"/>
  <c r="Y262" i="4" s="1"/>
  <c r="Y263" i="4" a="1"/>
  <c r="Y263" i="4" s="1"/>
  <c r="Y264" i="4" a="1"/>
  <c r="Y264" i="4" s="1"/>
  <c r="Y265" i="4" a="1"/>
  <c r="Y265" i="4" s="1"/>
  <c r="Y266" i="4" a="1"/>
  <c r="Y266" i="4" s="1"/>
  <c r="Y267" i="4" a="1"/>
  <c r="Y267" i="4" s="1"/>
  <c r="Y268" i="4" a="1"/>
  <c r="Y268" i="4" s="1"/>
  <c r="Y269" i="4" a="1"/>
  <c r="Y269" i="4" s="1"/>
  <c r="Y270" i="4" a="1"/>
  <c r="Y270" i="4" s="1"/>
  <c r="Y271" i="4" a="1"/>
  <c r="Y271" i="4" s="1"/>
  <c r="Y272" i="4" a="1"/>
  <c r="Y272" i="4" s="1"/>
  <c r="Y273" i="4" a="1"/>
  <c r="Y273" i="4" s="1"/>
  <c r="Y274" i="4" a="1"/>
  <c r="Y274" i="4" s="1"/>
  <c r="Y275" i="4" a="1"/>
  <c r="Y275" i="4" s="1"/>
  <c r="Y276" i="4" a="1"/>
  <c r="Y276" i="4" s="1"/>
  <c r="Y277" i="4" a="1"/>
  <c r="Y277" i="4" s="1"/>
  <c r="Y278" i="4" a="1"/>
  <c r="Y278" i="4" s="1"/>
  <c r="Y279" i="4" a="1"/>
  <c r="Y279" i="4" s="1"/>
  <c r="Y280" i="4" a="1"/>
  <c r="Y280" i="4" s="1"/>
  <c r="Y281" i="4" a="1"/>
  <c r="Y281" i="4" s="1"/>
  <c r="Y282" i="4" a="1"/>
  <c r="Y282" i="4" s="1"/>
  <c r="Y283" i="4" a="1"/>
  <c r="Y283" i="4" s="1"/>
  <c r="Y284" i="4" a="1"/>
  <c r="Y284" i="4" s="1"/>
  <c r="Y285" i="4" a="1"/>
  <c r="Y285" i="4" s="1"/>
  <c r="Y286" i="4" a="1"/>
  <c r="Y286" i="4" s="1"/>
  <c r="Y287" i="4" a="1"/>
  <c r="Y287" i="4" s="1"/>
  <c r="Y288" i="4" a="1"/>
  <c r="Y288" i="4" s="1"/>
  <c r="Y289" i="4" a="1"/>
  <c r="Y289" i="4" s="1"/>
  <c r="Y290" i="4" a="1"/>
  <c r="Y290" i="4" s="1"/>
  <c r="Y291" i="4" a="1"/>
  <c r="Y291" i="4" s="1"/>
  <c r="Y292" i="4" a="1"/>
  <c r="Y292" i="4" s="1"/>
  <c r="Y293" i="4" a="1"/>
  <c r="Y293" i="4" s="1"/>
  <c r="Y294" i="4" a="1"/>
  <c r="Y294" i="4" s="1"/>
  <c r="Y295" i="4" a="1"/>
  <c r="Y295" i="4" s="1"/>
  <c r="Y296" i="4" a="1"/>
  <c r="Y296" i="4" s="1"/>
  <c r="Y297" i="4" a="1"/>
  <c r="Y297" i="4" s="1"/>
  <c r="Y298" i="4" a="1"/>
  <c r="Y298" i="4" s="1"/>
  <c r="Y299" i="4" a="1"/>
  <c r="Y299" i="4" s="1"/>
  <c r="Y300" i="4" a="1"/>
  <c r="Y300" i="4" s="1"/>
  <c r="Y301" i="4" a="1"/>
  <c r="Y301" i="4" s="1"/>
  <c r="Y302" i="4" a="1"/>
  <c r="Y302" i="4" s="1"/>
  <c r="Y303" i="4" a="1"/>
  <c r="Y303" i="4" s="1"/>
  <c r="Y304" i="4" a="1"/>
  <c r="Y304" i="4" s="1"/>
  <c r="Y305" i="4" a="1"/>
  <c r="Y305" i="4" s="1"/>
  <c r="Y306" i="4" a="1"/>
  <c r="Y306" i="4" s="1"/>
  <c r="Y307" i="4" a="1"/>
  <c r="Y307" i="4" s="1"/>
  <c r="Y308" i="4" a="1"/>
  <c r="Y308" i="4" s="1"/>
  <c r="Y309" i="4" a="1"/>
  <c r="Y309" i="4" s="1"/>
  <c r="Y310" i="4" a="1"/>
  <c r="Y310" i="4" s="1"/>
  <c r="Y311" i="4" a="1"/>
  <c r="Y311" i="4" s="1"/>
  <c r="Y312" i="4" a="1"/>
  <c r="Y312" i="4" s="1"/>
  <c r="Y313" i="4" a="1"/>
  <c r="Y313" i="4" s="1"/>
  <c r="Y314" i="4" a="1"/>
  <c r="Y314" i="4" s="1"/>
  <c r="Y315" i="4" a="1"/>
  <c r="Y315" i="4" s="1"/>
  <c r="Y316" i="4" a="1"/>
  <c r="Y316" i="4" s="1"/>
  <c r="Y317" i="4" a="1"/>
  <c r="Y317" i="4" s="1"/>
  <c r="Y318" i="4" a="1"/>
  <c r="Y318" i="4" s="1"/>
  <c r="Y319" i="4" a="1"/>
  <c r="Y319" i="4" s="1"/>
  <c r="Y320" i="4" a="1"/>
  <c r="Y320" i="4" s="1"/>
  <c r="Y321" i="4" a="1"/>
  <c r="Y321" i="4" s="1"/>
  <c r="Y322" i="4" a="1"/>
  <c r="Y322" i="4" s="1"/>
  <c r="Y323" i="4" a="1"/>
  <c r="Y323" i="4" s="1"/>
  <c r="Y324" i="4" a="1"/>
  <c r="Y324" i="4" s="1"/>
  <c r="Y325" i="4" a="1"/>
  <c r="Y325" i="4" s="1"/>
  <c r="Y326" i="4" a="1"/>
  <c r="Y326" i="4" s="1"/>
  <c r="Y327" i="4" a="1"/>
  <c r="Y327" i="4" s="1"/>
  <c r="Y328" i="4" a="1"/>
  <c r="Y328" i="4" s="1"/>
  <c r="Y329" i="4" a="1"/>
  <c r="Y329" i="4" s="1"/>
  <c r="Y330" i="4" a="1"/>
  <c r="Y330" i="4" s="1"/>
  <c r="Y331" i="4" a="1"/>
  <c r="Y331" i="4" s="1"/>
  <c r="Y332" i="4" a="1"/>
  <c r="Y332" i="4" s="1"/>
  <c r="Y333" i="4" a="1"/>
  <c r="Y333" i="4" s="1"/>
  <c r="Y334" i="4" a="1"/>
  <c r="Y334" i="4" s="1"/>
  <c r="Y335" i="4" a="1"/>
  <c r="Y335" i="4" s="1"/>
  <c r="Y336" i="4" a="1"/>
  <c r="Y336" i="4" s="1"/>
  <c r="Y337" i="4" a="1"/>
  <c r="Y337" i="4" s="1"/>
  <c r="Y338" i="4" a="1"/>
  <c r="Y338" i="4" s="1"/>
  <c r="Y339" i="4" a="1"/>
  <c r="Y339" i="4" s="1"/>
  <c r="Y340" i="4" a="1"/>
  <c r="Y340" i="4" s="1"/>
  <c r="Y341" i="4" a="1"/>
  <c r="Y341" i="4" s="1"/>
  <c r="Y342" i="4" a="1"/>
  <c r="Y342" i="4" s="1"/>
  <c r="Y343" i="4" a="1"/>
  <c r="Y343" i="4" s="1"/>
  <c r="Y344" i="4" a="1"/>
  <c r="Y344" i="4" s="1"/>
  <c r="Y345" i="4" a="1"/>
  <c r="Y345" i="4" s="1"/>
  <c r="Y346" i="4" a="1"/>
  <c r="Y346" i="4" s="1"/>
  <c r="Y347" i="4" a="1"/>
  <c r="Y347" i="4" s="1"/>
  <c r="Y348" i="4" a="1"/>
  <c r="Y348" i="4" s="1"/>
  <c r="Y349" i="4" a="1"/>
  <c r="Y349" i="4" s="1"/>
  <c r="Y350" i="4" a="1"/>
  <c r="Y350" i="4" s="1"/>
  <c r="Y351" i="4" a="1"/>
  <c r="Y351" i="4" s="1"/>
  <c r="Y352" i="4" a="1"/>
  <c r="Y352" i="4" s="1"/>
  <c r="Y353" i="4" a="1"/>
  <c r="Y353" i="4" s="1"/>
  <c r="Y354" i="4" a="1"/>
  <c r="Y354" i="4" s="1"/>
  <c r="Y355" i="4" a="1"/>
  <c r="Y355" i="4" s="1"/>
  <c r="Y356" i="4" a="1"/>
  <c r="Y356" i="4" s="1"/>
  <c r="Y357" i="4" a="1"/>
  <c r="Y357" i="4" s="1"/>
  <c r="Y358" i="4" a="1"/>
  <c r="Y358" i="4" s="1"/>
  <c r="Y359" i="4" a="1"/>
  <c r="Y359" i="4" s="1"/>
  <c r="Y360" i="4" a="1"/>
  <c r="Y360" i="4" s="1"/>
  <c r="Y361" i="4" a="1"/>
  <c r="Y361" i="4" s="1"/>
  <c r="Y362" i="4" a="1"/>
  <c r="Y362" i="4" s="1"/>
  <c r="Y363" i="4" a="1"/>
  <c r="Y363" i="4" s="1"/>
  <c r="Y364" i="4" a="1"/>
  <c r="Y364" i="4" s="1"/>
  <c r="Y365" i="4" a="1"/>
  <c r="Y365" i="4" s="1"/>
  <c r="Y366" i="4" a="1"/>
  <c r="Y366" i="4" s="1"/>
  <c r="Y367" i="4" a="1"/>
  <c r="Y367" i="4" s="1"/>
  <c r="Y368" i="4" a="1"/>
  <c r="Y368" i="4" s="1"/>
  <c r="Y369" i="4" a="1"/>
  <c r="Y369" i="4" s="1"/>
  <c r="Y370" i="4" a="1"/>
  <c r="Y370" i="4" s="1"/>
  <c r="Y371" i="4" a="1"/>
  <c r="Y371" i="4" s="1"/>
  <c r="Y372" i="4" a="1"/>
  <c r="Y372" i="4" s="1"/>
  <c r="Y373" i="4" a="1"/>
  <c r="Y373" i="4" s="1"/>
  <c r="Y374" i="4" a="1"/>
  <c r="Y374" i="4" s="1"/>
  <c r="Y375" i="4" a="1"/>
  <c r="Y375" i="4" s="1"/>
  <c r="Y376" i="4" a="1"/>
  <c r="Y376" i="4" s="1"/>
  <c r="Y377" i="4" a="1"/>
  <c r="Y377" i="4" s="1"/>
  <c r="Y378" i="4" a="1"/>
  <c r="Y378" i="4" s="1"/>
  <c r="Y379" i="4" a="1"/>
  <c r="Y379" i="4" s="1"/>
  <c r="Y380" i="4" a="1"/>
  <c r="Y380" i="4" s="1"/>
  <c r="Y381" i="4" a="1"/>
  <c r="Y381" i="4" s="1"/>
  <c r="Y382" i="4" a="1"/>
  <c r="Y382" i="4" s="1"/>
  <c r="Y383" i="4" a="1"/>
  <c r="Y383" i="4" s="1"/>
  <c r="Y384" i="4" a="1"/>
  <c r="Y384" i="4" s="1"/>
  <c r="Y385" i="4" a="1"/>
  <c r="Y385" i="4" s="1"/>
  <c r="Y386" i="4" a="1"/>
  <c r="Y386" i="4" s="1"/>
  <c r="Y387" i="4" a="1"/>
  <c r="Y387" i="4" s="1"/>
  <c r="Y388" i="4" a="1"/>
  <c r="Y388" i="4" s="1"/>
  <c r="Y389" i="4" a="1"/>
  <c r="Y389" i="4" s="1"/>
  <c r="Y390" i="4" a="1"/>
  <c r="Y390" i="4" s="1"/>
  <c r="Y391" i="4" a="1"/>
  <c r="Y391" i="4" s="1"/>
  <c r="Y392" i="4" a="1"/>
  <c r="Y392" i="4" s="1"/>
  <c r="Y393" i="4" a="1"/>
  <c r="Y393" i="4" s="1"/>
  <c r="Y394" i="4" a="1"/>
  <c r="Y394" i="4" s="1"/>
  <c r="Y395" i="4" a="1"/>
  <c r="Y395" i="4" s="1"/>
  <c r="Y396" i="4" a="1"/>
  <c r="Y396" i="4" s="1"/>
  <c r="Y397" i="4" a="1"/>
  <c r="Y397" i="4" s="1"/>
  <c r="Y398" i="4" a="1"/>
  <c r="Y398" i="4" s="1"/>
  <c r="Y399" i="4" a="1"/>
  <c r="Y399" i="4" s="1"/>
  <c r="Y400" i="4" a="1"/>
  <c r="Y400" i="4" s="1"/>
  <c r="Y401" i="4" a="1"/>
  <c r="Y401" i="4" s="1"/>
  <c r="Y402" i="4" a="1"/>
  <c r="Y402" i="4" s="1"/>
  <c r="Y403" i="4" a="1"/>
  <c r="Y403" i="4" s="1"/>
  <c r="Y404" i="4" a="1"/>
  <c r="Y404" i="4" s="1"/>
  <c r="Y405" i="4" a="1"/>
  <c r="Y405" i="4" s="1"/>
  <c r="Y406" i="4" a="1"/>
  <c r="Y406" i="4" s="1"/>
  <c r="Y407" i="4" a="1"/>
  <c r="Y407" i="4" s="1"/>
  <c r="Y408" i="4" a="1"/>
  <c r="Y408" i="4" s="1"/>
  <c r="Y409" i="4" a="1"/>
  <c r="Y409" i="4" s="1"/>
  <c r="Y410" i="4" a="1"/>
  <c r="Y410" i="4" s="1"/>
  <c r="Y411" i="4" a="1"/>
  <c r="Y411" i="4" s="1"/>
  <c r="Y412" i="4" a="1"/>
  <c r="Y412" i="4" s="1"/>
  <c r="Y413" i="4" a="1"/>
  <c r="Y413" i="4" s="1"/>
  <c r="Y414" i="4" a="1"/>
  <c r="Y414" i="4" s="1"/>
  <c r="Y415" i="4" a="1"/>
  <c r="Y415" i="4" s="1"/>
  <c r="Y416" i="4" a="1"/>
  <c r="Y416" i="4" s="1"/>
  <c r="Y417" i="4" a="1"/>
  <c r="Y417" i="4" s="1"/>
  <c r="Y418" i="4" a="1"/>
  <c r="Y418" i="4" s="1"/>
  <c r="Y419" i="4" a="1"/>
  <c r="Y419" i="4" s="1"/>
  <c r="Y420" i="4" a="1"/>
  <c r="Y420" i="4" s="1"/>
  <c r="Y421" i="4" a="1"/>
  <c r="Y421" i="4" s="1"/>
  <c r="Y422" i="4" a="1"/>
  <c r="Y422" i="4" s="1"/>
  <c r="Y423" i="4" a="1"/>
  <c r="Y423" i="4" s="1"/>
  <c r="Y424" i="4" a="1"/>
  <c r="Y424" i="4" s="1"/>
  <c r="Y425" i="4" a="1"/>
  <c r="Y425" i="4" s="1"/>
  <c r="Y426" i="4" a="1"/>
  <c r="Y426" i="4" s="1"/>
  <c r="Y427" i="4" a="1"/>
  <c r="Y427" i="4" s="1"/>
  <c r="Y428" i="4" a="1"/>
  <c r="Y428" i="4" s="1"/>
  <c r="Y429" i="4" a="1"/>
  <c r="Y429" i="4" s="1"/>
  <c r="Y430" i="4" a="1"/>
  <c r="Y430" i="4" s="1"/>
  <c r="Y431" i="4" a="1"/>
  <c r="Y431" i="4" s="1"/>
  <c r="Y432" i="4" a="1"/>
  <c r="Y432" i="4" s="1"/>
  <c r="Y433" i="4" a="1"/>
  <c r="Y433" i="4" s="1"/>
  <c r="Y434" i="4" a="1"/>
  <c r="Y434" i="4" s="1"/>
  <c r="Y435" i="4" a="1"/>
  <c r="Y435" i="4" s="1"/>
  <c r="Y436" i="4" a="1"/>
  <c r="Y436" i="4" s="1"/>
  <c r="Y437" i="4" a="1"/>
  <c r="Y437" i="4" s="1"/>
  <c r="Y438" i="4" a="1"/>
  <c r="Y438" i="4" s="1"/>
  <c r="Y439" i="4" a="1"/>
  <c r="Y439" i="4" s="1"/>
  <c r="Y440" i="4" a="1"/>
  <c r="Y440" i="4" s="1"/>
  <c r="Y441" i="4" a="1"/>
  <c r="Y441" i="4" s="1"/>
  <c r="Y442" i="4" a="1"/>
  <c r="Y442" i="4" s="1"/>
  <c r="Y443" i="4" a="1"/>
  <c r="Y443" i="4" s="1"/>
  <c r="Y444" i="4" a="1"/>
  <c r="Y444" i="4" s="1"/>
  <c r="Y445" i="4" a="1"/>
  <c r="Y445" i="4" s="1"/>
  <c r="Y446" i="4" a="1"/>
  <c r="Y446" i="4" s="1"/>
  <c r="Y447" i="4" a="1"/>
  <c r="Y447" i="4" s="1"/>
  <c r="Y448" i="4" a="1"/>
  <c r="Y448" i="4" s="1"/>
  <c r="Y449" i="4" a="1"/>
  <c r="Y449" i="4" s="1"/>
  <c r="Y450" i="4" a="1"/>
  <c r="Y450" i="4" s="1"/>
  <c r="Y451" i="4" a="1"/>
  <c r="Y451" i="4" s="1"/>
  <c r="Y452" i="4" a="1"/>
  <c r="Y452" i="4" s="1"/>
  <c r="Y453" i="4" a="1"/>
  <c r="Y453" i="4" s="1"/>
  <c r="Y454" i="4" a="1"/>
  <c r="Y454" i="4" s="1"/>
  <c r="Y455" i="4" a="1"/>
  <c r="Y455" i="4" s="1"/>
  <c r="Y456" i="4" a="1"/>
  <c r="Y456" i="4" s="1"/>
  <c r="Y457" i="4" a="1"/>
  <c r="Y457" i="4" s="1"/>
  <c r="Y458" i="4" a="1"/>
  <c r="Y458" i="4" s="1"/>
  <c r="Y459" i="4" a="1"/>
  <c r="Y459" i="4" s="1"/>
  <c r="Y460" i="4" a="1"/>
  <c r="Y460" i="4" s="1"/>
  <c r="Y461" i="4" a="1"/>
  <c r="Y461" i="4" s="1"/>
  <c r="Y462" i="4" a="1"/>
  <c r="Y462" i="4" s="1"/>
  <c r="Y463" i="4" a="1"/>
  <c r="Y463" i="4" s="1"/>
  <c r="Y464" i="4" a="1"/>
  <c r="Y464" i="4" s="1"/>
  <c r="Y465" i="4" a="1"/>
  <c r="Y465" i="4" s="1"/>
  <c r="Y466" i="4" a="1"/>
  <c r="Y466" i="4" s="1"/>
  <c r="Y467" i="4" a="1"/>
  <c r="Y467" i="4" s="1"/>
  <c r="Y468" i="4" a="1"/>
  <c r="Y468" i="4" s="1"/>
  <c r="Y469" i="4" a="1"/>
  <c r="Y469" i="4" s="1"/>
  <c r="Y470" i="4" a="1"/>
  <c r="Y470" i="4" s="1"/>
  <c r="Y471" i="4" a="1"/>
  <c r="Y471" i="4" s="1"/>
  <c r="Y472" i="4" a="1"/>
  <c r="Y472" i="4" s="1"/>
  <c r="Y473" i="4" a="1"/>
  <c r="Y473" i="4" s="1"/>
  <c r="Y474" i="4" a="1"/>
  <c r="Y474" i="4" s="1"/>
  <c r="Y475" i="4" a="1"/>
  <c r="Y475" i="4" s="1"/>
  <c r="Y476" i="4" a="1"/>
  <c r="Y476" i="4" s="1"/>
  <c r="Y477" i="4" a="1"/>
  <c r="Y477" i="4" s="1"/>
  <c r="Y478" i="4" a="1"/>
  <c r="Y478" i="4" s="1"/>
  <c r="Y479" i="4" a="1"/>
  <c r="Y479" i="4" s="1"/>
  <c r="Y480" i="4" a="1"/>
  <c r="Y480" i="4" s="1"/>
  <c r="Y481" i="4" a="1"/>
  <c r="Y481" i="4" s="1"/>
  <c r="Y482" i="4" a="1"/>
  <c r="Y482" i="4" s="1"/>
  <c r="Y483" i="4" a="1"/>
  <c r="Y483" i="4" s="1"/>
  <c r="Y484" i="4" a="1"/>
  <c r="Y484" i="4" s="1"/>
  <c r="Y485" i="4" a="1"/>
  <c r="Y485" i="4" s="1"/>
  <c r="Y486" i="4" a="1"/>
  <c r="Y486" i="4" s="1"/>
  <c r="Y487" i="4" a="1"/>
  <c r="Y487" i="4" s="1"/>
  <c r="Y488" i="4" a="1"/>
  <c r="Y488" i="4" s="1"/>
  <c r="Y489" i="4" a="1"/>
  <c r="Y489" i="4" s="1"/>
  <c r="Y490" i="4" a="1"/>
  <c r="Y490" i="4" s="1"/>
  <c r="Y491" i="4" a="1"/>
  <c r="Y491" i="4" s="1"/>
  <c r="Y492" i="4" a="1"/>
  <c r="Y492" i="4" s="1"/>
  <c r="Y493" i="4" a="1"/>
  <c r="Y493" i="4" s="1"/>
  <c r="Y494" i="4" a="1"/>
  <c r="Y494" i="4" s="1"/>
  <c r="Z2" i="4" a="1"/>
  <c r="Z2" i="4" s="1"/>
  <c r="Z3" i="4" a="1"/>
  <c r="Z3" i="4" s="1"/>
  <c r="Z4" i="4" a="1"/>
  <c r="Z4" i="4" s="1"/>
  <c r="Z5" i="4" a="1"/>
  <c r="Z5" i="4" s="1"/>
  <c r="Z6" i="4" a="1"/>
  <c r="Z6" i="4" s="1"/>
  <c r="Z7" i="4" a="1"/>
  <c r="Z7" i="4" s="1"/>
  <c r="Z8" i="4" a="1"/>
  <c r="Z8" i="4" s="1"/>
  <c r="Z9" i="4" a="1"/>
  <c r="Z9" i="4" s="1"/>
  <c r="Z10" i="4" a="1"/>
  <c r="Z10" i="4" s="1"/>
  <c r="Z11" i="4" a="1"/>
  <c r="Z11" i="4" s="1"/>
  <c r="Z12" i="4" a="1"/>
  <c r="Z12" i="4" s="1"/>
  <c r="Z13" i="4" a="1"/>
  <c r="Z13" i="4" s="1"/>
  <c r="Z14" i="4" a="1"/>
  <c r="Z14" i="4" s="1"/>
  <c r="Z15" i="4" a="1"/>
  <c r="Z15" i="4" s="1"/>
  <c r="Z16" i="4" a="1"/>
  <c r="Z16" i="4" s="1"/>
  <c r="Z17" i="4" a="1"/>
  <c r="Z17" i="4" s="1"/>
  <c r="Z18" i="4" a="1"/>
  <c r="Z18" i="4" s="1"/>
  <c r="Z19" i="4" a="1"/>
  <c r="Z19" i="4" s="1"/>
  <c r="Z20" i="4" a="1"/>
  <c r="Z20" i="4" s="1"/>
  <c r="Z21" i="4" a="1"/>
  <c r="Z21" i="4" s="1"/>
  <c r="Z22" i="4" a="1"/>
  <c r="Z22" i="4" s="1"/>
  <c r="Z23" i="4" a="1"/>
  <c r="Z23" i="4" s="1"/>
  <c r="Z24" i="4" a="1"/>
  <c r="Z24" i="4" s="1"/>
  <c r="Z25" i="4" a="1"/>
  <c r="Z25" i="4" s="1"/>
  <c r="Z26" i="4" a="1"/>
  <c r="Z26" i="4" s="1"/>
  <c r="Z27" i="4" a="1"/>
  <c r="Z27" i="4" s="1"/>
  <c r="Z28" i="4" a="1"/>
  <c r="Z28" i="4" s="1"/>
  <c r="Z29" i="4" a="1"/>
  <c r="Z29" i="4" s="1"/>
  <c r="Z30" i="4" a="1"/>
  <c r="Z30" i="4" s="1"/>
  <c r="Z31" i="4" a="1"/>
  <c r="Z31" i="4" s="1"/>
  <c r="Z32" i="4" a="1"/>
  <c r="Z32" i="4" s="1"/>
  <c r="Z33" i="4" a="1"/>
  <c r="Z33" i="4" s="1"/>
  <c r="Z34" i="4" a="1"/>
  <c r="Z34" i="4" s="1"/>
  <c r="Z35" i="4" a="1"/>
  <c r="Z35" i="4" s="1"/>
  <c r="Z36" i="4" a="1"/>
  <c r="Z36" i="4" s="1"/>
  <c r="Z37" i="4" a="1"/>
  <c r="Z37" i="4" s="1"/>
  <c r="Z38" i="4" a="1"/>
  <c r="Z38" i="4" s="1"/>
  <c r="Z39" i="4" a="1"/>
  <c r="Z39" i="4" s="1"/>
  <c r="Z40" i="4" a="1"/>
  <c r="Z40" i="4" s="1"/>
  <c r="Z41" i="4" a="1"/>
  <c r="Z41" i="4" s="1"/>
  <c r="Z42" i="4" a="1"/>
  <c r="Z42" i="4" s="1"/>
  <c r="Z43" i="4" a="1"/>
  <c r="Z43" i="4" s="1"/>
  <c r="Z44" i="4" a="1"/>
  <c r="Z44" i="4" s="1"/>
  <c r="Z45" i="4" a="1"/>
  <c r="Z45" i="4" s="1"/>
  <c r="Z46" i="4" a="1"/>
  <c r="Z46" i="4" s="1"/>
  <c r="Z47" i="4" a="1"/>
  <c r="Z47" i="4" s="1"/>
  <c r="Z48" i="4" a="1"/>
  <c r="Z48" i="4" s="1"/>
  <c r="Z49" i="4" a="1"/>
  <c r="Z49" i="4" s="1"/>
  <c r="Z50" i="4" a="1"/>
  <c r="Z50" i="4" s="1"/>
  <c r="Z51" i="4" a="1"/>
  <c r="Z51" i="4" s="1"/>
  <c r="Z52" i="4" a="1"/>
  <c r="Z52" i="4" s="1"/>
  <c r="Z53" i="4" a="1"/>
  <c r="Z53" i="4" s="1"/>
  <c r="Z54" i="4" a="1"/>
  <c r="Z54" i="4" s="1"/>
  <c r="Z55" i="4" a="1"/>
  <c r="Z55" i="4" s="1"/>
  <c r="Z56" i="4" a="1"/>
  <c r="Z56" i="4" s="1"/>
  <c r="Z57" i="4" a="1"/>
  <c r="Z57" i="4" s="1"/>
  <c r="Z58" i="4" a="1"/>
  <c r="Z58" i="4" s="1"/>
  <c r="Z59" i="4" a="1"/>
  <c r="Z59" i="4" s="1"/>
  <c r="Z60" i="4" a="1"/>
  <c r="Z60" i="4" s="1"/>
  <c r="Z61" i="4" a="1"/>
  <c r="Z61" i="4" s="1"/>
  <c r="Z62" i="4" a="1"/>
  <c r="Z62" i="4" s="1"/>
  <c r="Z63" i="4" a="1"/>
  <c r="Z63" i="4" s="1"/>
  <c r="Z64" i="4" a="1"/>
  <c r="Z64" i="4" s="1"/>
  <c r="Z65" i="4" a="1"/>
  <c r="Z65" i="4" s="1"/>
  <c r="Z66" i="4" a="1"/>
  <c r="Z66" i="4" s="1"/>
  <c r="Z67" i="4" a="1"/>
  <c r="Z67" i="4" s="1"/>
  <c r="Z68" i="4" a="1"/>
  <c r="Z68" i="4" s="1"/>
  <c r="Z69" i="4" a="1"/>
  <c r="Z69" i="4" s="1"/>
  <c r="Z70" i="4" a="1"/>
  <c r="Z70" i="4" s="1"/>
  <c r="Z71" i="4" a="1"/>
  <c r="Z71" i="4" s="1"/>
  <c r="Z72" i="4" a="1"/>
  <c r="Z72" i="4" s="1"/>
  <c r="Z73" i="4" a="1"/>
  <c r="Z73" i="4" s="1"/>
  <c r="Z74" i="4" a="1"/>
  <c r="Z74" i="4" s="1"/>
  <c r="Z75" i="4" a="1"/>
  <c r="Z75" i="4" s="1"/>
  <c r="Z76" i="4" a="1"/>
  <c r="Z76" i="4" s="1"/>
  <c r="Z77" i="4" a="1"/>
  <c r="Z77" i="4" s="1"/>
  <c r="Z78" i="4" a="1"/>
  <c r="Z78" i="4" s="1"/>
  <c r="Z79" i="4" a="1"/>
  <c r="Z79" i="4" s="1"/>
  <c r="Z80" i="4" a="1"/>
  <c r="Z80" i="4" s="1"/>
  <c r="Z81" i="4" a="1"/>
  <c r="Z81" i="4" s="1"/>
  <c r="Z82" i="4" a="1"/>
  <c r="Z82" i="4" s="1"/>
  <c r="Z83" i="4" a="1"/>
  <c r="Z83" i="4" s="1"/>
  <c r="Z84" i="4" a="1"/>
  <c r="Z84" i="4" s="1"/>
  <c r="Z85" i="4" a="1"/>
  <c r="Z85" i="4" s="1"/>
  <c r="Z86" i="4" a="1"/>
  <c r="Z86" i="4" s="1"/>
  <c r="Z87" i="4" a="1"/>
  <c r="Z87" i="4" s="1"/>
  <c r="Z88" i="4" a="1"/>
  <c r="Z88" i="4" s="1"/>
  <c r="Z89" i="4" a="1"/>
  <c r="Z89" i="4" s="1"/>
  <c r="Z90" i="4" a="1"/>
  <c r="Z90" i="4" s="1"/>
  <c r="Z91" i="4" a="1"/>
  <c r="Z91" i="4" s="1"/>
  <c r="Z92" i="4" a="1"/>
  <c r="Z92" i="4" s="1"/>
  <c r="Z93" i="4" a="1"/>
  <c r="Z93" i="4" s="1"/>
  <c r="Z94" i="4" a="1"/>
  <c r="Z94" i="4" s="1"/>
  <c r="Z95" i="4" a="1"/>
  <c r="Z95" i="4" s="1"/>
  <c r="Z96" i="4" a="1"/>
  <c r="Z96" i="4" s="1"/>
  <c r="Z97" i="4" a="1"/>
  <c r="Z97" i="4" s="1"/>
  <c r="Z98" i="4" a="1"/>
  <c r="Z98" i="4" s="1"/>
  <c r="Z99" i="4" a="1"/>
  <c r="Z99" i="4" s="1"/>
  <c r="Z100" i="4" a="1"/>
  <c r="Z100" i="4" s="1"/>
  <c r="Z101" i="4" a="1"/>
  <c r="Z101" i="4" s="1"/>
  <c r="Z102" i="4" a="1"/>
  <c r="Z102" i="4" s="1"/>
  <c r="Z103" i="4" a="1"/>
  <c r="Z103" i="4" s="1"/>
  <c r="Z104" i="4" a="1"/>
  <c r="Z104" i="4" s="1"/>
  <c r="Z105" i="4" a="1"/>
  <c r="Z105" i="4" s="1"/>
  <c r="Z106" i="4" a="1"/>
  <c r="Z106" i="4" s="1"/>
  <c r="Z107" i="4" a="1"/>
  <c r="Z107" i="4" s="1"/>
  <c r="Z108" i="4" a="1"/>
  <c r="Z108" i="4" s="1"/>
  <c r="Z109" i="4" a="1"/>
  <c r="Z109" i="4" s="1"/>
  <c r="Z110" i="4" a="1"/>
  <c r="Z110" i="4" s="1"/>
  <c r="Z111" i="4" a="1"/>
  <c r="Z111" i="4" s="1"/>
  <c r="Z112" i="4" a="1"/>
  <c r="Z112" i="4" s="1"/>
  <c r="Z113" i="4" a="1"/>
  <c r="Z113" i="4" s="1"/>
  <c r="Z114" i="4" a="1"/>
  <c r="Z114" i="4" s="1"/>
  <c r="Z115" i="4" a="1"/>
  <c r="Z115" i="4" s="1"/>
  <c r="Z116" i="4" a="1"/>
  <c r="Z116" i="4" s="1"/>
  <c r="Z117" i="4" a="1"/>
  <c r="Z117" i="4" s="1"/>
  <c r="Z118" i="4" a="1"/>
  <c r="Z118" i="4" s="1"/>
  <c r="Z119" i="4" a="1"/>
  <c r="Z119" i="4" s="1"/>
  <c r="Z120" i="4" a="1"/>
  <c r="Z120" i="4" s="1"/>
  <c r="Z121" i="4" a="1"/>
  <c r="Z121" i="4" s="1"/>
  <c r="Z122" i="4" a="1"/>
  <c r="Z122" i="4" s="1"/>
  <c r="Z123" i="4" a="1"/>
  <c r="Z123" i="4" s="1"/>
  <c r="Z124" i="4" a="1"/>
  <c r="Z124" i="4" s="1"/>
  <c r="Z125" i="4" a="1"/>
  <c r="Z125" i="4" s="1"/>
  <c r="Z126" i="4" a="1"/>
  <c r="Z126" i="4" s="1"/>
  <c r="Z127" i="4" a="1"/>
  <c r="Z127" i="4" s="1"/>
  <c r="Z128" i="4" a="1"/>
  <c r="Z128" i="4" s="1"/>
  <c r="Z129" i="4" a="1"/>
  <c r="Z129" i="4" s="1"/>
  <c r="Z130" i="4" a="1"/>
  <c r="Z130" i="4" s="1"/>
  <c r="Z131" i="4" a="1"/>
  <c r="Z131" i="4" s="1"/>
  <c r="Z132" i="4" a="1"/>
  <c r="Z132" i="4" s="1"/>
  <c r="Z133" i="4" a="1"/>
  <c r="Z133" i="4" s="1"/>
  <c r="Z134" i="4" a="1"/>
  <c r="Z134" i="4" s="1"/>
  <c r="Z135" i="4" a="1"/>
  <c r="Z135" i="4" s="1"/>
  <c r="Z136" i="4" a="1"/>
  <c r="Z136" i="4" s="1"/>
  <c r="Z137" i="4" a="1"/>
  <c r="Z137" i="4" s="1"/>
  <c r="Z138" i="4" a="1"/>
  <c r="Z138" i="4" s="1"/>
  <c r="Z139" i="4" a="1"/>
  <c r="Z139" i="4" s="1"/>
  <c r="Z140" i="4" a="1"/>
  <c r="Z140" i="4" s="1"/>
  <c r="Z141" i="4" a="1"/>
  <c r="Z141" i="4" s="1"/>
  <c r="Z142" i="4" a="1"/>
  <c r="Z142" i="4" s="1"/>
  <c r="Z143" i="4" a="1"/>
  <c r="Z143" i="4" s="1"/>
  <c r="Z144" i="4" a="1"/>
  <c r="Z144" i="4" s="1"/>
  <c r="Z145" i="4" a="1"/>
  <c r="Z145" i="4" s="1"/>
  <c r="Z146" i="4" a="1"/>
  <c r="Z146" i="4" s="1"/>
  <c r="Z147" i="4" a="1"/>
  <c r="Z147" i="4" s="1"/>
  <c r="Z148" i="4" a="1"/>
  <c r="Z148" i="4" s="1"/>
  <c r="Z149" i="4" a="1"/>
  <c r="Z149" i="4" s="1"/>
  <c r="Z150" i="4" a="1"/>
  <c r="Z150" i="4" s="1"/>
  <c r="Z151" i="4" a="1"/>
  <c r="Z151" i="4" s="1"/>
  <c r="Z152" i="4" a="1"/>
  <c r="Z152" i="4" s="1"/>
  <c r="Z153" i="4" a="1"/>
  <c r="Z153" i="4" s="1"/>
  <c r="Z154" i="4" a="1"/>
  <c r="Z154" i="4" s="1"/>
  <c r="Z155" i="4" a="1"/>
  <c r="Z155" i="4" s="1"/>
  <c r="Z156" i="4" a="1"/>
  <c r="Z156" i="4" s="1"/>
  <c r="Z157" i="4" a="1"/>
  <c r="Z157" i="4" s="1"/>
  <c r="Z158" i="4" a="1"/>
  <c r="Z158" i="4" s="1"/>
  <c r="Z159" i="4" a="1"/>
  <c r="Z159" i="4" s="1"/>
  <c r="Z160" i="4" a="1"/>
  <c r="Z160" i="4" s="1"/>
  <c r="Z161" i="4" a="1"/>
  <c r="Z161" i="4" s="1"/>
  <c r="Z162" i="4" a="1"/>
  <c r="Z162" i="4" s="1"/>
  <c r="Z163" i="4" a="1"/>
  <c r="Z163" i="4" s="1"/>
  <c r="Z164" i="4" a="1"/>
  <c r="Z164" i="4" s="1"/>
  <c r="Z165" i="4" a="1"/>
  <c r="Z165" i="4" s="1"/>
  <c r="Z166" i="4" a="1"/>
  <c r="Z166" i="4" s="1"/>
  <c r="Z167" i="4" a="1"/>
  <c r="Z167" i="4" s="1"/>
  <c r="Z168" i="4" a="1"/>
  <c r="Z168" i="4" s="1"/>
  <c r="Z169" i="4" a="1"/>
  <c r="Z169" i="4" s="1"/>
  <c r="Z170" i="4" a="1"/>
  <c r="Z170" i="4" s="1"/>
  <c r="Z171" i="4" a="1"/>
  <c r="Z171" i="4" s="1"/>
  <c r="Z172" i="4" a="1"/>
  <c r="Z172" i="4" s="1"/>
  <c r="Z173" i="4" a="1"/>
  <c r="Z173" i="4" s="1"/>
  <c r="Z174" i="4" a="1"/>
  <c r="Z174" i="4" s="1"/>
  <c r="Z175" i="4" a="1"/>
  <c r="Z175" i="4" s="1"/>
  <c r="Z176" i="4" a="1"/>
  <c r="Z176" i="4" s="1"/>
  <c r="Z177" i="4" a="1"/>
  <c r="Z177" i="4" s="1"/>
  <c r="Z178" i="4" a="1"/>
  <c r="Z178" i="4" s="1"/>
  <c r="Z179" i="4" a="1"/>
  <c r="Z179" i="4" s="1"/>
  <c r="Z180" i="4" a="1"/>
  <c r="Z180" i="4" s="1"/>
  <c r="Z181" i="4" a="1"/>
  <c r="Z181" i="4" s="1"/>
  <c r="Z182" i="4" a="1"/>
  <c r="Z182" i="4" s="1"/>
  <c r="Z183" i="4" a="1"/>
  <c r="Z183" i="4" s="1"/>
  <c r="Z184" i="4" a="1"/>
  <c r="Z184" i="4" s="1"/>
  <c r="Z185" i="4" a="1"/>
  <c r="Z185" i="4" s="1"/>
  <c r="Z186" i="4" a="1"/>
  <c r="Z186" i="4" s="1"/>
  <c r="Z187" i="4" a="1"/>
  <c r="Z187" i="4" s="1"/>
  <c r="Z188" i="4" a="1"/>
  <c r="Z188" i="4" s="1"/>
  <c r="Z189" i="4" a="1"/>
  <c r="Z189" i="4" s="1"/>
  <c r="Z190" i="4" a="1"/>
  <c r="Z190" i="4" s="1"/>
  <c r="Z191" i="4" a="1"/>
  <c r="Z191" i="4" s="1"/>
  <c r="Z192" i="4" a="1"/>
  <c r="Z192" i="4" s="1"/>
  <c r="Z193" i="4" a="1"/>
  <c r="Z193" i="4" s="1"/>
  <c r="Z194" i="4" a="1"/>
  <c r="Z194" i="4" s="1"/>
  <c r="Z195" i="4" a="1"/>
  <c r="Z195" i="4" s="1"/>
  <c r="Z196" i="4" a="1"/>
  <c r="Z196" i="4" s="1"/>
  <c r="Z197" i="4" a="1"/>
  <c r="Z197" i="4" s="1"/>
  <c r="Z198" i="4" a="1"/>
  <c r="Z198" i="4" s="1"/>
  <c r="Z199" i="4" a="1"/>
  <c r="Z199" i="4" s="1"/>
  <c r="Z200" i="4" a="1"/>
  <c r="Z200" i="4" s="1"/>
  <c r="Z201" i="4" a="1"/>
  <c r="Z201" i="4" s="1"/>
  <c r="Z202" i="4" a="1"/>
  <c r="Z202" i="4" s="1"/>
  <c r="Z203" i="4" a="1"/>
  <c r="Z203" i="4" s="1"/>
  <c r="Z204" i="4" a="1"/>
  <c r="Z204" i="4" s="1"/>
  <c r="Z205" i="4" a="1"/>
  <c r="Z205" i="4" s="1"/>
  <c r="Z206" i="4" a="1"/>
  <c r="Z206" i="4" s="1"/>
  <c r="Z207" i="4" a="1"/>
  <c r="Z207" i="4" s="1"/>
  <c r="Z208" i="4" a="1"/>
  <c r="Z208" i="4" s="1"/>
  <c r="Z209" i="4" a="1"/>
  <c r="Z209" i="4" s="1"/>
  <c r="Z210" i="4" a="1"/>
  <c r="Z210" i="4" s="1"/>
  <c r="Z211" i="4" a="1"/>
  <c r="Z211" i="4" s="1"/>
  <c r="Z212" i="4" a="1"/>
  <c r="Z212" i="4" s="1"/>
  <c r="Z213" i="4" a="1"/>
  <c r="Z213" i="4" s="1"/>
  <c r="Z214" i="4" a="1"/>
  <c r="Z214" i="4" s="1"/>
  <c r="Z215" i="4" a="1"/>
  <c r="Z215" i="4" s="1"/>
  <c r="Z216" i="4" a="1"/>
  <c r="Z216" i="4" s="1"/>
  <c r="Z217" i="4" a="1"/>
  <c r="Z217" i="4" s="1"/>
  <c r="Z218" i="4" a="1"/>
  <c r="Z218" i="4" s="1"/>
  <c r="Z219" i="4" a="1"/>
  <c r="Z219" i="4" s="1"/>
  <c r="Z220" i="4" a="1"/>
  <c r="Z220" i="4" s="1"/>
  <c r="Z221" i="4" a="1"/>
  <c r="Z221" i="4" s="1"/>
  <c r="Z222" i="4" a="1"/>
  <c r="Z222" i="4" s="1"/>
  <c r="Z223" i="4" a="1"/>
  <c r="Z223" i="4" s="1"/>
  <c r="Z224" i="4" a="1"/>
  <c r="Z224" i="4" s="1"/>
  <c r="Z225" i="4" a="1"/>
  <c r="Z225" i="4" s="1"/>
  <c r="Z226" i="4" a="1"/>
  <c r="Z226" i="4" s="1"/>
  <c r="Z227" i="4" a="1"/>
  <c r="Z227" i="4" s="1"/>
  <c r="Z228" i="4" a="1"/>
  <c r="Z228" i="4" s="1"/>
  <c r="Z229" i="4" a="1"/>
  <c r="Z229" i="4" s="1"/>
  <c r="Z230" i="4" a="1"/>
  <c r="Z230" i="4" s="1"/>
  <c r="Z231" i="4" a="1"/>
  <c r="Z231" i="4" s="1"/>
  <c r="Z232" i="4" a="1"/>
  <c r="Z232" i="4" s="1"/>
  <c r="Z233" i="4" a="1"/>
  <c r="Z233" i="4" s="1"/>
  <c r="Z234" i="4" a="1"/>
  <c r="Z234" i="4" s="1"/>
  <c r="Z235" i="4" a="1"/>
  <c r="Z235" i="4" s="1"/>
  <c r="Z236" i="4" a="1"/>
  <c r="Z236" i="4" s="1"/>
  <c r="Z237" i="4" a="1"/>
  <c r="Z237" i="4" s="1"/>
  <c r="Z238" i="4" a="1"/>
  <c r="Z238" i="4" s="1"/>
  <c r="Z239" i="4" a="1"/>
  <c r="Z239" i="4" s="1"/>
  <c r="Z240" i="4" a="1"/>
  <c r="Z240" i="4" s="1"/>
  <c r="Z241" i="4" a="1"/>
  <c r="Z241" i="4" s="1"/>
  <c r="Z242" i="4" a="1"/>
  <c r="Z242" i="4" s="1"/>
  <c r="Z243" i="4" a="1"/>
  <c r="Z243" i="4" s="1"/>
  <c r="Z244" i="4" a="1"/>
  <c r="Z244" i="4" s="1"/>
  <c r="Z245" i="4" a="1"/>
  <c r="Z245" i="4" s="1"/>
  <c r="Z246" i="4" a="1"/>
  <c r="Z246" i="4" s="1"/>
  <c r="Z247" i="4" a="1"/>
  <c r="Z247" i="4" s="1"/>
  <c r="Z248" i="4" a="1"/>
  <c r="Z248" i="4" s="1"/>
  <c r="Z249" i="4" a="1"/>
  <c r="Z249" i="4" s="1"/>
  <c r="Z250" i="4" a="1"/>
  <c r="Z250" i="4" s="1"/>
  <c r="Z251" i="4" a="1"/>
  <c r="Z251" i="4" s="1"/>
  <c r="Z252" i="4" a="1"/>
  <c r="Z252" i="4" s="1"/>
  <c r="Z253" i="4" a="1"/>
  <c r="Z253" i="4" s="1"/>
  <c r="Z254" i="4" a="1"/>
  <c r="Z254" i="4" s="1"/>
  <c r="Z255" i="4" a="1"/>
  <c r="Z255" i="4" s="1"/>
  <c r="Z256" i="4" a="1"/>
  <c r="Z256" i="4" s="1"/>
  <c r="Z257" i="4" a="1"/>
  <c r="Z257" i="4" s="1"/>
  <c r="Z258" i="4" a="1"/>
  <c r="Z258" i="4" s="1"/>
  <c r="Z259" i="4" a="1"/>
  <c r="Z259" i="4" s="1"/>
  <c r="Z260" i="4" a="1"/>
  <c r="Z260" i="4" s="1"/>
  <c r="Z261" i="4" a="1"/>
  <c r="Z261" i="4" s="1"/>
  <c r="Z262" i="4" a="1"/>
  <c r="Z262" i="4" s="1"/>
  <c r="Z263" i="4" a="1"/>
  <c r="Z263" i="4" s="1"/>
  <c r="Z264" i="4" a="1"/>
  <c r="Z264" i="4" s="1"/>
  <c r="Z265" i="4" a="1"/>
  <c r="Z265" i="4" s="1"/>
  <c r="Z266" i="4" a="1"/>
  <c r="Z266" i="4" s="1"/>
  <c r="Z267" i="4" a="1"/>
  <c r="Z267" i="4" s="1"/>
  <c r="Z268" i="4" a="1"/>
  <c r="Z268" i="4" s="1"/>
  <c r="Z269" i="4" a="1"/>
  <c r="Z269" i="4" s="1"/>
  <c r="Z270" i="4" a="1"/>
  <c r="Z270" i="4" s="1"/>
  <c r="Z271" i="4" a="1"/>
  <c r="Z271" i="4" s="1"/>
  <c r="Z272" i="4" a="1"/>
  <c r="Z272" i="4" s="1"/>
  <c r="Z273" i="4" a="1"/>
  <c r="Z273" i="4" s="1"/>
  <c r="Z274" i="4" a="1"/>
  <c r="Z274" i="4" s="1"/>
  <c r="Z275" i="4" a="1"/>
  <c r="Z275" i="4" s="1"/>
  <c r="Z276" i="4" a="1"/>
  <c r="Z276" i="4" s="1"/>
  <c r="Z277" i="4" a="1"/>
  <c r="Z277" i="4" s="1"/>
  <c r="Z278" i="4" a="1"/>
  <c r="Z278" i="4" s="1"/>
  <c r="Z279" i="4" a="1"/>
  <c r="Z279" i="4" s="1"/>
  <c r="Z280" i="4" a="1"/>
  <c r="Z280" i="4" s="1"/>
  <c r="Z281" i="4" a="1"/>
  <c r="Z281" i="4" s="1"/>
  <c r="Z282" i="4" a="1"/>
  <c r="Z282" i="4" s="1"/>
  <c r="Z283" i="4" a="1"/>
  <c r="Z283" i="4" s="1"/>
  <c r="Z284" i="4" a="1"/>
  <c r="Z284" i="4" s="1"/>
  <c r="Z285" i="4" a="1"/>
  <c r="Z285" i="4" s="1"/>
  <c r="Z286" i="4" a="1"/>
  <c r="Z286" i="4" s="1"/>
  <c r="Z287" i="4" a="1"/>
  <c r="Z287" i="4" s="1"/>
  <c r="Z288" i="4" a="1"/>
  <c r="Z288" i="4" s="1"/>
  <c r="Z289" i="4" a="1"/>
  <c r="Z289" i="4" s="1"/>
  <c r="Z290" i="4" a="1"/>
  <c r="Z290" i="4" s="1"/>
  <c r="Z291" i="4" a="1"/>
  <c r="Z291" i="4" s="1"/>
  <c r="Z292" i="4" a="1"/>
  <c r="Z292" i="4" s="1"/>
  <c r="Z293" i="4" a="1"/>
  <c r="Z293" i="4" s="1"/>
  <c r="Z294" i="4" a="1"/>
  <c r="Z294" i="4" s="1"/>
  <c r="Z295" i="4" a="1"/>
  <c r="Z295" i="4" s="1"/>
  <c r="Z296" i="4" a="1"/>
  <c r="Z296" i="4" s="1"/>
  <c r="Z297" i="4" a="1"/>
  <c r="Z297" i="4" s="1"/>
  <c r="Z298" i="4" a="1"/>
  <c r="Z298" i="4" s="1"/>
  <c r="Z299" i="4" a="1"/>
  <c r="Z299" i="4" s="1"/>
  <c r="Z300" i="4" a="1"/>
  <c r="Z300" i="4" s="1"/>
  <c r="Z301" i="4" a="1"/>
  <c r="Z301" i="4" s="1"/>
  <c r="Z302" i="4" a="1"/>
  <c r="Z302" i="4" s="1"/>
  <c r="Z303" i="4" a="1"/>
  <c r="Z303" i="4" s="1"/>
  <c r="Z304" i="4" a="1"/>
  <c r="Z304" i="4" s="1"/>
  <c r="Z305" i="4" a="1"/>
  <c r="Z305" i="4" s="1"/>
  <c r="Z306" i="4" a="1"/>
  <c r="Z306" i="4" s="1"/>
  <c r="Z307" i="4" a="1"/>
  <c r="Z307" i="4" s="1"/>
  <c r="Z308" i="4" a="1"/>
  <c r="Z308" i="4" s="1"/>
  <c r="Z309" i="4" a="1"/>
  <c r="Z309" i="4" s="1"/>
  <c r="Z310" i="4" a="1"/>
  <c r="Z310" i="4" s="1"/>
  <c r="Z311" i="4" a="1"/>
  <c r="Z311" i="4" s="1"/>
  <c r="Z312" i="4" a="1"/>
  <c r="Z312" i="4" s="1"/>
  <c r="Z313" i="4" a="1"/>
  <c r="Z313" i="4" s="1"/>
  <c r="Z314" i="4" a="1"/>
  <c r="Z314" i="4" s="1"/>
  <c r="Z315" i="4" a="1"/>
  <c r="Z315" i="4" s="1"/>
  <c r="Z316" i="4" a="1"/>
  <c r="Z316" i="4" s="1"/>
  <c r="Z317" i="4" a="1"/>
  <c r="Z317" i="4" s="1"/>
  <c r="Z318" i="4" a="1"/>
  <c r="Z318" i="4" s="1"/>
  <c r="Z319" i="4" a="1"/>
  <c r="Z319" i="4" s="1"/>
  <c r="Z320" i="4" a="1"/>
  <c r="Z320" i="4" s="1"/>
  <c r="Z321" i="4" a="1"/>
  <c r="Z321" i="4" s="1"/>
  <c r="Z322" i="4" a="1"/>
  <c r="Z322" i="4" s="1"/>
  <c r="Z323" i="4" a="1"/>
  <c r="Z323" i="4" s="1"/>
  <c r="Z324" i="4" a="1"/>
  <c r="Z324" i="4" s="1"/>
  <c r="Z325" i="4" a="1"/>
  <c r="Z325" i="4" s="1"/>
  <c r="Z326" i="4" a="1"/>
  <c r="Z326" i="4" s="1"/>
  <c r="Z327" i="4" a="1"/>
  <c r="Z327" i="4" s="1"/>
  <c r="Z328" i="4" a="1"/>
  <c r="Z328" i="4" s="1"/>
  <c r="Z329" i="4" a="1"/>
  <c r="Z329" i="4" s="1"/>
  <c r="Z330" i="4" a="1"/>
  <c r="Z330" i="4" s="1"/>
  <c r="Z331" i="4" a="1"/>
  <c r="Z331" i="4" s="1"/>
  <c r="Z332" i="4" a="1"/>
  <c r="Z332" i="4" s="1"/>
  <c r="Z333" i="4" a="1"/>
  <c r="Z333" i="4" s="1"/>
  <c r="Z334" i="4" a="1"/>
  <c r="Z334" i="4" s="1"/>
  <c r="Z335" i="4" a="1"/>
  <c r="Z335" i="4" s="1"/>
  <c r="Z336" i="4" a="1"/>
  <c r="Z336" i="4" s="1"/>
  <c r="Z337" i="4" a="1"/>
  <c r="Z337" i="4" s="1"/>
  <c r="Z338" i="4" a="1"/>
  <c r="Z338" i="4" s="1"/>
  <c r="Z339" i="4" a="1"/>
  <c r="Z339" i="4" s="1"/>
  <c r="Z340" i="4" a="1"/>
  <c r="Z340" i="4" s="1"/>
  <c r="Z341" i="4" a="1"/>
  <c r="Z341" i="4" s="1"/>
  <c r="Z342" i="4" a="1"/>
  <c r="Z342" i="4" s="1"/>
  <c r="Z343" i="4" a="1"/>
  <c r="Z343" i="4" s="1"/>
  <c r="Z344" i="4" a="1"/>
  <c r="Z344" i="4" s="1"/>
  <c r="Z345" i="4" a="1"/>
  <c r="Z345" i="4" s="1"/>
  <c r="Z346" i="4" a="1"/>
  <c r="Z346" i="4" s="1"/>
  <c r="Z347" i="4" a="1"/>
  <c r="Z347" i="4" s="1"/>
  <c r="Z348" i="4" a="1"/>
  <c r="Z348" i="4" s="1"/>
  <c r="Z349" i="4" a="1"/>
  <c r="Z349" i="4" s="1"/>
  <c r="Z350" i="4" a="1"/>
  <c r="Z350" i="4" s="1"/>
  <c r="Z351" i="4" a="1"/>
  <c r="Z351" i="4" s="1"/>
  <c r="Z352" i="4" a="1"/>
  <c r="Z352" i="4" s="1"/>
  <c r="Z353" i="4" a="1"/>
  <c r="Z353" i="4" s="1"/>
  <c r="Z354" i="4" a="1"/>
  <c r="Z354" i="4" s="1"/>
  <c r="Z355" i="4" a="1"/>
  <c r="Z355" i="4" s="1"/>
  <c r="Z356" i="4" a="1"/>
  <c r="Z356" i="4" s="1"/>
  <c r="Z357" i="4" a="1"/>
  <c r="Z357" i="4" s="1"/>
  <c r="Z358" i="4" a="1"/>
  <c r="Z358" i="4" s="1"/>
  <c r="Z359" i="4" a="1"/>
  <c r="Z359" i="4" s="1"/>
  <c r="Z360" i="4" a="1"/>
  <c r="Z360" i="4" s="1"/>
  <c r="Z361" i="4" a="1"/>
  <c r="Z361" i="4" s="1"/>
  <c r="Z362" i="4" a="1"/>
  <c r="Z362" i="4" s="1"/>
  <c r="Z363" i="4" a="1"/>
  <c r="Z363" i="4" s="1"/>
  <c r="Z364" i="4" a="1"/>
  <c r="Z364" i="4" s="1"/>
  <c r="Z365" i="4" a="1"/>
  <c r="Z365" i="4" s="1"/>
  <c r="Z366" i="4" a="1"/>
  <c r="Z366" i="4" s="1"/>
  <c r="Z367" i="4" a="1"/>
  <c r="Z367" i="4" s="1"/>
  <c r="Z368" i="4" a="1"/>
  <c r="Z368" i="4" s="1"/>
  <c r="Z369" i="4" a="1"/>
  <c r="Z369" i="4" s="1"/>
  <c r="Z370" i="4" a="1"/>
  <c r="Z370" i="4" s="1"/>
  <c r="Z371" i="4" a="1"/>
  <c r="Z371" i="4" s="1"/>
  <c r="Z372" i="4" a="1"/>
  <c r="Z372" i="4" s="1"/>
  <c r="Z373" i="4" a="1"/>
  <c r="Z373" i="4" s="1"/>
  <c r="Z374" i="4" a="1"/>
  <c r="Z374" i="4" s="1"/>
  <c r="Z375" i="4" a="1"/>
  <c r="Z375" i="4" s="1"/>
  <c r="Z376" i="4" a="1"/>
  <c r="Z376" i="4" s="1"/>
  <c r="Z377" i="4" a="1"/>
  <c r="Z377" i="4" s="1"/>
  <c r="Z378" i="4" a="1"/>
  <c r="Z378" i="4" s="1"/>
  <c r="Z379" i="4" a="1"/>
  <c r="Z379" i="4" s="1"/>
  <c r="Z380" i="4" a="1"/>
  <c r="Z380" i="4" s="1"/>
  <c r="Z381" i="4" a="1"/>
  <c r="Z381" i="4" s="1"/>
  <c r="Z382" i="4" a="1"/>
  <c r="Z382" i="4" s="1"/>
  <c r="Z383" i="4" a="1"/>
  <c r="Z383" i="4" s="1"/>
  <c r="Z384" i="4" a="1"/>
  <c r="Z384" i="4" s="1"/>
  <c r="Z385" i="4" a="1"/>
  <c r="Z385" i="4" s="1"/>
  <c r="Z386" i="4" a="1"/>
  <c r="Z386" i="4" s="1"/>
  <c r="Z387" i="4" a="1"/>
  <c r="Z387" i="4" s="1"/>
  <c r="Z388" i="4" a="1"/>
  <c r="Z388" i="4" s="1"/>
  <c r="Z389" i="4" a="1"/>
  <c r="Z389" i="4" s="1"/>
  <c r="Z390" i="4" a="1"/>
  <c r="Z390" i="4" s="1"/>
  <c r="Z391" i="4" a="1"/>
  <c r="Z391" i="4" s="1"/>
  <c r="Z392" i="4" a="1"/>
  <c r="Z392" i="4" s="1"/>
  <c r="Z393" i="4" a="1"/>
  <c r="Z393" i="4" s="1"/>
  <c r="Z394" i="4" a="1"/>
  <c r="Z394" i="4" s="1"/>
  <c r="Z395" i="4" a="1"/>
  <c r="Z395" i="4" s="1"/>
  <c r="Z396" i="4" a="1"/>
  <c r="Z396" i="4" s="1"/>
  <c r="Z397" i="4" a="1"/>
  <c r="Z397" i="4" s="1"/>
  <c r="Z398" i="4" a="1"/>
  <c r="Z398" i="4" s="1"/>
  <c r="Z399" i="4" a="1"/>
  <c r="Z399" i="4" s="1"/>
  <c r="Z400" i="4" a="1"/>
  <c r="Z400" i="4" s="1"/>
  <c r="Z401" i="4" a="1"/>
  <c r="Z401" i="4" s="1"/>
  <c r="Z402" i="4" a="1"/>
  <c r="Z402" i="4" s="1"/>
  <c r="Z403" i="4" a="1"/>
  <c r="Z403" i="4" s="1"/>
  <c r="Z404" i="4" a="1"/>
  <c r="Z404" i="4" s="1"/>
  <c r="Z405" i="4" a="1"/>
  <c r="Z405" i="4" s="1"/>
  <c r="Z406" i="4" a="1"/>
  <c r="Z406" i="4" s="1"/>
  <c r="Z407" i="4" a="1"/>
  <c r="Z407" i="4" s="1"/>
  <c r="Z408" i="4" a="1"/>
  <c r="Z408" i="4" s="1"/>
  <c r="Z409" i="4" a="1"/>
  <c r="Z409" i="4" s="1"/>
  <c r="Z410" i="4" a="1"/>
  <c r="Z410" i="4" s="1"/>
  <c r="Z411" i="4" a="1"/>
  <c r="Z411" i="4" s="1"/>
  <c r="Z412" i="4" a="1"/>
  <c r="Z412" i="4" s="1"/>
  <c r="Z413" i="4" a="1"/>
  <c r="Z413" i="4" s="1"/>
  <c r="Z414" i="4" a="1"/>
  <c r="Z414" i="4" s="1"/>
  <c r="Z415" i="4" a="1"/>
  <c r="Z415" i="4" s="1"/>
  <c r="Z416" i="4" a="1"/>
  <c r="Z416" i="4" s="1"/>
  <c r="Z417" i="4" a="1"/>
  <c r="Z417" i="4" s="1"/>
  <c r="Z418" i="4" a="1"/>
  <c r="Z418" i="4" s="1"/>
  <c r="Z419" i="4" a="1"/>
  <c r="Z419" i="4" s="1"/>
  <c r="Z420" i="4" a="1"/>
  <c r="Z420" i="4" s="1"/>
  <c r="Z421" i="4" a="1"/>
  <c r="Z421" i="4" s="1"/>
  <c r="Z422" i="4" a="1"/>
  <c r="Z422" i="4" s="1"/>
  <c r="Z423" i="4" a="1"/>
  <c r="Z423" i="4" s="1"/>
  <c r="Z424" i="4" a="1"/>
  <c r="Z424" i="4" s="1"/>
  <c r="Z425" i="4" a="1"/>
  <c r="Z425" i="4" s="1"/>
  <c r="Z426" i="4" a="1"/>
  <c r="Z426" i="4" s="1"/>
  <c r="Z427" i="4" a="1"/>
  <c r="Z427" i="4" s="1"/>
  <c r="Z428" i="4" a="1"/>
  <c r="Z428" i="4" s="1"/>
  <c r="Z429" i="4" a="1"/>
  <c r="Z429" i="4" s="1"/>
  <c r="Z430" i="4" a="1"/>
  <c r="Z430" i="4" s="1"/>
  <c r="Z431" i="4" a="1"/>
  <c r="Z431" i="4" s="1"/>
  <c r="Z432" i="4" a="1"/>
  <c r="Z432" i="4" s="1"/>
  <c r="Z433" i="4" a="1"/>
  <c r="Z433" i="4" s="1"/>
  <c r="Z434" i="4" a="1"/>
  <c r="Z434" i="4" s="1"/>
  <c r="Z435" i="4" a="1"/>
  <c r="Z435" i="4" s="1"/>
  <c r="Z436" i="4" a="1"/>
  <c r="Z436" i="4" s="1"/>
  <c r="Z437" i="4" a="1"/>
  <c r="Z437" i="4" s="1"/>
  <c r="Z438" i="4" a="1"/>
  <c r="Z438" i="4" s="1"/>
  <c r="Z439" i="4" a="1"/>
  <c r="Z439" i="4" s="1"/>
  <c r="Z440" i="4" a="1"/>
  <c r="Z440" i="4" s="1"/>
  <c r="Z441" i="4" a="1"/>
  <c r="Z441" i="4" s="1"/>
  <c r="Z442" i="4" a="1"/>
  <c r="Z442" i="4" s="1"/>
  <c r="Z443" i="4" a="1"/>
  <c r="Z443" i="4" s="1"/>
  <c r="Z444" i="4" a="1"/>
  <c r="Z444" i="4" s="1"/>
  <c r="Z445" i="4" a="1"/>
  <c r="Z445" i="4" s="1"/>
  <c r="Z446" i="4" a="1"/>
  <c r="Z446" i="4" s="1"/>
  <c r="Z447" i="4" a="1"/>
  <c r="Z447" i="4" s="1"/>
  <c r="Z448" i="4" a="1"/>
  <c r="Z448" i="4" s="1"/>
  <c r="Z449" i="4" a="1"/>
  <c r="Z449" i="4" s="1"/>
  <c r="Z450" i="4" a="1"/>
  <c r="Z450" i="4" s="1"/>
  <c r="Z451" i="4" a="1"/>
  <c r="Z451" i="4" s="1"/>
  <c r="Z452" i="4" a="1"/>
  <c r="Z452" i="4" s="1"/>
  <c r="Z453" i="4" a="1"/>
  <c r="Z453" i="4" s="1"/>
  <c r="Z454" i="4" a="1"/>
  <c r="Z454" i="4" s="1"/>
  <c r="Z455" i="4" a="1"/>
  <c r="Z455" i="4" s="1"/>
  <c r="Z456" i="4" a="1"/>
  <c r="Z456" i="4" s="1"/>
  <c r="Z457" i="4" a="1"/>
  <c r="Z457" i="4" s="1"/>
  <c r="Z458" i="4" a="1"/>
  <c r="Z458" i="4" s="1"/>
  <c r="Z459" i="4" a="1"/>
  <c r="Z459" i="4" s="1"/>
  <c r="Z460" i="4" a="1"/>
  <c r="Z460" i="4" s="1"/>
  <c r="Z461" i="4" a="1"/>
  <c r="Z461" i="4" s="1"/>
  <c r="Z462" i="4" a="1"/>
  <c r="Z462" i="4" s="1"/>
  <c r="Z463" i="4" a="1"/>
  <c r="Z463" i="4" s="1"/>
  <c r="Z464" i="4" a="1"/>
  <c r="Z464" i="4" s="1"/>
  <c r="Z465" i="4" a="1"/>
  <c r="Z465" i="4" s="1"/>
  <c r="Z466" i="4" a="1"/>
  <c r="Z466" i="4" s="1"/>
  <c r="Z467" i="4" a="1"/>
  <c r="Z467" i="4" s="1"/>
  <c r="Z468" i="4" a="1"/>
  <c r="Z468" i="4" s="1"/>
  <c r="Z469" i="4" a="1"/>
  <c r="Z469" i="4" s="1"/>
  <c r="Z470" i="4" a="1"/>
  <c r="Z470" i="4" s="1"/>
  <c r="Z471" i="4" a="1"/>
  <c r="Z471" i="4" s="1"/>
  <c r="Z472" i="4" a="1"/>
  <c r="Z472" i="4" s="1"/>
  <c r="Z473" i="4" a="1"/>
  <c r="Z473" i="4" s="1"/>
  <c r="Z474" i="4" a="1"/>
  <c r="Z474" i="4" s="1"/>
  <c r="Z475" i="4" a="1"/>
  <c r="Z475" i="4" s="1"/>
  <c r="Z476" i="4" a="1"/>
  <c r="Z476" i="4" s="1"/>
  <c r="Z477" i="4" a="1"/>
  <c r="Z477" i="4" s="1"/>
  <c r="Z478" i="4" a="1"/>
  <c r="Z478" i="4" s="1"/>
  <c r="Z479" i="4" a="1"/>
  <c r="Z479" i="4" s="1"/>
  <c r="Z480" i="4" a="1"/>
  <c r="Z480" i="4" s="1"/>
  <c r="Z481" i="4" a="1"/>
  <c r="Z481" i="4" s="1"/>
  <c r="Z482" i="4" a="1"/>
  <c r="Z482" i="4" s="1"/>
  <c r="Z483" i="4" a="1"/>
  <c r="Z483" i="4" s="1"/>
  <c r="Z484" i="4" a="1"/>
  <c r="Z484" i="4" s="1"/>
  <c r="Z485" i="4" a="1"/>
  <c r="Z485" i="4" s="1"/>
  <c r="Z486" i="4" a="1"/>
  <c r="Z486" i="4" s="1"/>
  <c r="Z487" i="4" a="1"/>
  <c r="Z487" i="4" s="1"/>
  <c r="Z488" i="4" a="1"/>
  <c r="Z488" i="4" s="1"/>
  <c r="Z489" i="4" a="1"/>
  <c r="Z489" i="4" s="1"/>
  <c r="Z490" i="4" a="1"/>
  <c r="Z490" i="4" s="1"/>
  <c r="Z491" i="4" a="1"/>
  <c r="Z491" i="4" s="1"/>
  <c r="Z492" i="4" a="1"/>
  <c r="Z492" i="4" s="1"/>
  <c r="Z493" i="4" a="1"/>
  <c r="Z493" i="4" s="1"/>
  <c r="Z494" i="4" a="1"/>
  <c r="Z494" i="4" s="1"/>
  <c r="AA2" i="4" a="1"/>
  <c r="AA2" i="4" s="1"/>
  <c r="AA3" i="4" a="1"/>
  <c r="AA3" i="4" s="1"/>
  <c r="AA4" i="4" a="1"/>
  <c r="AA4" i="4" s="1"/>
  <c r="AA5" i="4" a="1"/>
  <c r="AA5" i="4" s="1"/>
  <c r="AA6" i="4" a="1"/>
  <c r="AA6" i="4" s="1"/>
  <c r="AA7" i="4" a="1"/>
  <c r="AA7" i="4" s="1"/>
  <c r="AA8" i="4" a="1"/>
  <c r="AA8" i="4" s="1"/>
  <c r="AA9" i="4" a="1"/>
  <c r="AA9" i="4" s="1"/>
  <c r="AA10" i="4" a="1"/>
  <c r="AA10" i="4" s="1"/>
  <c r="AA11" i="4" a="1"/>
  <c r="AA11" i="4" s="1"/>
  <c r="AA12" i="4" a="1"/>
  <c r="AA12" i="4" s="1"/>
  <c r="AA13" i="4" a="1"/>
  <c r="AA13" i="4" s="1"/>
  <c r="AA14" i="4" a="1"/>
  <c r="AA14" i="4" s="1"/>
  <c r="AA15" i="4" a="1"/>
  <c r="AA15" i="4" s="1"/>
  <c r="AA16" i="4" a="1"/>
  <c r="AA16" i="4" s="1"/>
  <c r="AA17" i="4" a="1"/>
  <c r="AA17" i="4" s="1"/>
  <c r="AA18" i="4" a="1"/>
  <c r="AA18" i="4" s="1"/>
  <c r="AA19" i="4" a="1"/>
  <c r="AA19" i="4" s="1"/>
  <c r="AA20" i="4" a="1"/>
  <c r="AA20" i="4" s="1"/>
  <c r="AA21" i="4" a="1"/>
  <c r="AA21" i="4" s="1"/>
  <c r="AA22" i="4" a="1"/>
  <c r="AA22" i="4" s="1"/>
  <c r="AA23" i="4" a="1"/>
  <c r="AA23" i="4" s="1"/>
  <c r="AA24" i="4" a="1"/>
  <c r="AA24" i="4" s="1"/>
  <c r="AA25" i="4" a="1"/>
  <c r="AA25" i="4" s="1"/>
  <c r="AA26" i="4" a="1"/>
  <c r="AA26" i="4" s="1"/>
  <c r="AA27" i="4" a="1"/>
  <c r="AA27" i="4" s="1"/>
  <c r="AA28" i="4" a="1"/>
  <c r="AA28" i="4" s="1"/>
  <c r="AA29" i="4" a="1"/>
  <c r="AA29" i="4" s="1"/>
  <c r="AA30" i="4" a="1"/>
  <c r="AA30" i="4" s="1"/>
  <c r="AA31" i="4" a="1"/>
  <c r="AA31" i="4" s="1"/>
  <c r="AA32" i="4" a="1"/>
  <c r="AA32" i="4" s="1"/>
  <c r="AA33" i="4" a="1"/>
  <c r="AA33" i="4" s="1"/>
  <c r="AA34" i="4" a="1"/>
  <c r="AA34" i="4" s="1"/>
  <c r="AA35" i="4" a="1"/>
  <c r="AA35" i="4" s="1"/>
  <c r="AA36" i="4" a="1"/>
  <c r="AA36" i="4" s="1"/>
  <c r="AA37" i="4" a="1"/>
  <c r="AA37" i="4" s="1"/>
  <c r="AA38" i="4" a="1"/>
  <c r="AA38" i="4" s="1"/>
  <c r="AA39" i="4" a="1"/>
  <c r="AA39" i="4" s="1"/>
  <c r="AA40" i="4" a="1"/>
  <c r="AA40" i="4" s="1"/>
  <c r="AA41" i="4" a="1"/>
  <c r="AA41" i="4" s="1"/>
  <c r="AA42" i="4" a="1"/>
  <c r="AA42" i="4" s="1"/>
  <c r="AA43" i="4" a="1"/>
  <c r="AA43" i="4" s="1"/>
  <c r="AA44" i="4" a="1"/>
  <c r="AA44" i="4" s="1"/>
  <c r="AA45" i="4" a="1"/>
  <c r="AA45" i="4" s="1"/>
  <c r="AA46" i="4" a="1"/>
  <c r="AA46" i="4" s="1"/>
  <c r="AA47" i="4" a="1"/>
  <c r="AA47" i="4" s="1"/>
  <c r="AA48" i="4" a="1"/>
  <c r="AA48" i="4" s="1"/>
  <c r="AA49" i="4" a="1"/>
  <c r="AA49" i="4" s="1"/>
  <c r="AA50" i="4" a="1"/>
  <c r="AA50" i="4" s="1"/>
  <c r="AA51" i="4" a="1"/>
  <c r="AA51" i="4" s="1"/>
  <c r="AA52" i="4" a="1"/>
  <c r="AA52" i="4" s="1"/>
  <c r="AA53" i="4" a="1"/>
  <c r="AA53" i="4" s="1"/>
  <c r="AA54" i="4" a="1"/>
  <c r="AA54" i="4" s="1"/>
  <c r="AA55" i="4" a="1"/>
  <c r="AA55" i="4" s="1"/>
  <c r="AA56" i="4" a="1"/>
  <c r="AA56" i="4" s="1"/>
  <c r="AA57" i="4" a="1"/>
  <c r="AA57" i="4" s="1"/>
  <c r="AA58" i="4" a="1"/>
  <c r="AA58" i="4" s="1"/>
  <c r="AA59" i="4" a="1"/>
  <c r="AA59" i="4" s="1"/>
  <c r="AA60" i="4" a="1"/>
  <c r="AA60" i="4" s="1"/>
  <c r="AA61" i="4" a="1"/>
  <c r="AA61" i="4" s="1"/>
  <c r="AA62" i="4" a="1"/>
  <c r="AA62" i="4" s="1"/>
  <c r="AA63" i="4" a="1"/>
  <c r="AA63" i="4" s="1"/>
  <c r="AA64" i="4" a="1"/>
  <c r="AA64" i="4" s="1"/>
  <c r="AA65" i="4" a="1"/>
  <c r="AA65" i="4" s="1"/>
  <c r="AA66" i="4" a="1"/>
  <c r="AA66" i="4" s="1"/>
  <c r="AA67" i="4" a="1"/>
  <c r="AA67" i="4" s="1"/>
  <c r="AA68" i="4" a="1"/>
  <c r="AA68" i="4" s="1"/>
  <c r="AA69" i="4" a="1"/>
  <c r="AA69" i="4" s="1"/>
  <c r="AA70" i="4" a="1"/>
  <c r="AA70" i="4" s="1"/>
  <c r="AA71" i="4" a="1"/>
  <c r="AA71" i="4" s="1"/>
  <c r="AA72" i="4" a="1"/>
  <c r="AA72" i="4" s="1"/>
  <c r="AA73" i="4" a="1"/>
  <c r="AA73" i="4" s="1"/>
  <c r="AA74" i="4" a="1"/>
  <c r="AA74" i="4" s="1"/>
  <c r="AA75" i="4" a="1"/>
  <c r="AA75" i="4" s="1"/>
  <c r="AA76" i="4" a="1"/>
  <c r="AA76" i="4" s="1"/>
  <c r="AA77" i="4" a="1"/>
  <c r="AA77" i="4" s="1"/>
  <c r="AA78" i="4" a="1"/>
  <c r="AA78" i="4" s="1"/>
  <c r="AA79" i="4" a="1"/>
  <c r="AA79" i="4" s="1"/>
  <c r="AA80" i="4" a="1"/>
  <c r="AA80" i="4" s="1"/>
  <c r="AA81" i="4" a="1"/>
  <c r="AA81" i="4" s="1"/>
  <c r="AA82" i="4" a="1"/>
  <c r="AA82" i="4" s="1"/>
  <c r="AA83" i="4" a="1"/>
  <c r="AA83" i="4" s="1"/>
  <c r="AA84" i="4" a="1"/>
  <c r="AA84" i="4" s="1"/>
  <c r="AA85" i="4" a="1"/>
  <c r="AA85" i="4" s="1"/>
  <c r="AA86" i="4" a="1"/>
  <c r="AA86" i="4" s="1"/>
  <c r="AA87" i="4" a="1"/>
  <c r="AA87" i="4" s="1"/>
  <c r="AA88" i="4" a="1"/>
  <c r="AA88" i="4" s="1"/>
  <c r="AA89" i="4" a="1"/>
  <c r="AA89" i="4" s="1"/>
  <c r="AA90" i="4" a="1"/>
  <c r="AA90" i="4" s="1"/>
  <c r="AA91" i="4" a="1"/>
  <c r="AA91" i="4" s="1"/>
  <c r="AA92" i="4" a="1"/>
  <c r="AA92" i="4" s="1"/>
  <c r="AA93" i="4" a="1"/>
  <c r="AA93" i="4" s="1"/>
  <c r="AA94" i="4" a="1"/>
  <c r="AA94" i="4" s="1"/>
  <c r="AA95" i="4" a="1"/>
  <c r="AA95" i="4" s="1"/>
  <c r="AA96" i="4" a="1"/>
  <c r="AA96" i="4" s="1"/>
  <c r="AA97" i="4" a="1"/>
  <c r="AA97" i="4" s="1"/>
  <c r="AA98" i="4" a="1"/>
  <c r="AA98" i="4" s="1"/>
  <c r="AA99" i="4" a="1"/>
  <c r="AA99" i="4" s="1"/>
  <c r="AA100" i="4" a="1"/>
  <c r="AA100" i="4" s="1"/>
  <c r="AA101" i="4" a="1"/>
  <c r="AA101" i="4" s="1"/>
  <c r="AA102" i="4" a="1"/>
  <c r="AA102" i="4" s="1"/>
  <c r="AA103" i="4" a="1"/>
  <c r="AA103" i="4" s="1"/>
  <c r="AA104" i="4" a="1"/>
  <c r="AA104" i="4" s="1"/>
  <c r="AA105" i="4" a="1"/>
  <c r="AA105" i="4" s="1"/>
  <c r="AA106" i="4" a="1"/>
  <c r="AA106" i="4" s="1"/>
  <c r="AA107" i="4" a="1"/>
  <c r="AA107" i="4" s="1"/>
  <c r="AA108" i="4" a="1"/>
  <c r="AA108" i="4" s="1"/>
  <c r="AA109" i="4" a="1"/>
  <c r="AA109" i="4" s="1"/>
  <c r="AA110" i="4" a="1"/>
  <c r="AA110" i="4" s="1"/>
  <c r="AA111" i="4" a="1"/>
  <c r="AA111" i="4" s="1"/>
  <c r="AA112" i="4" a="1"/>
  <c r="AA112" i="4" s="1"/>
  <c r="AA113" i="4" a="1"/>
  <c r="AA113" i="4" s="1"/>
  <c r="AA114" i="4" a="1"/>
  <c r="AA114" i="4" s="1"/>
  <c r="AA115" i="4" a="1"/>
  <c r="AA115" i="4" s="1"/>
  <c r="AA116" i="4" a="1"/>
  <c r="AA116" i="4" s="1"/>
  <c r="AA117" i="4" a="1"/>
  <c r="AA117" i="4" s="1"/>
  <c r="AA118" i="4" a="1"/>
  <c r="AA118" i="4" s="1"/>
  <c r="AA119" i="4" a="1"/>
  <c r="AA119" i="4" s="1"/>
  <c r="AA120" i="4" a="1"/>
  <c r="AA120" i="4" s="1"/>
  <c r="AA121" i="4" a="1"/>
  <c r="AA121" i="4" s="1"/>
  <c r="AA122" i="4" a="1"/>
  <c r="AA122" i="4" s="1"/>
  <c r="AA123" i="4" a="1"/>
  <c r="AA123" i="4" s="1"/>
  <c r="AA124" i="4" a="1"/>
  <c r="AA124" i="4" s="1"/>
  <c r="AA125" i="4" a="1"/>
  <c r="AA125" i="4" s="1"/>
  <c r="AA126" i="4" a="1"/>
  <c r="AA126" i="4" s="1"/>
  <c r="AA127" i="4" a="1"/>
  <c r="AA127" i="4" s="1"/>
  <c r="AA128" i="4" a="1"/>
  <c r="AA128" i="4" s="1"/>
  <c r="AA129" i="4" a="1"/>
  <c r="AA129" i="4" s="1"/>
  <c r="AA130" i="4" a="1"/>
  <c r="AA130" i="4" s="1"/>
  <c r="AA131" i="4" a="1"/>
  <c r="AA131" i="4" s="1"/>
  <c r="AA132" i="4" a="1"/>
  <c r="AA132" i="4" s="1"/>
  <c r="AA133" i="4" a="1"/>
  <c r="AA133" i="4" s="1"/>
  <c r="AA134" i="4" a="1"/>
  <c r="AA134" i="4" s="1"/>
  <c r="AA135" i="4" a="1"/>
  <c r="AA135" i="4" s="1"/>
  <c r="AA136" i="4" a="1"/>
  <c r="AA136" i="4" s="1"/>
  <c r="AA137" i="4" a="1"/>
  <c r="AA137" i="4" s="1"/>
  <c r="AA138" i="4" a="1"/>
  <c r="AA138" i="4" s="1"/>
  <c r="AA139" i="4" a="1"/>
  <c r="AA139" i="4" s="1"/>
  <c r="AA140" i="4" a="1"/>
  <c r="AA140" i="4" s="1"/>
  <c r="AA141" i="4" a="1"/>
  <c r="AA141" i="4" s="1"/>
  <c r="AA142" i="4" a="1"/>
  <c r="AA142" i="4" s="1"/>
  <c r="AA143" i="4" a="1"/>
  <c r="AA143" i="4" s="1"/>
  <c r="AA144" i="4" a="1"/>
  <c r="AA144" i="4" s="1"/>
  <c r="AA145" i="4" a="1"/>
  <c r="AA145" i="4" s="1"/>
  <c r="AA146" i="4" a="1"/>
  <c r="AA146" i="4" s="1"/>
  <c r="AA147" i="4" a="1"/>
  <c r="AA147" i="4" s="1"/>
  <c r="AA148" i="4" a="1"/>
  <c r="AA148" i="4" s="1"/>
  <c r="AA149" i="4" a="1"/>
  <c r="AA149" i="4" s="1"/>
  <c r="AA150" i="4" a="1"/>
  <c r="AA150" i="4" s="1"/>
  <c r="AA151" i="4" a="1"/>
  <c r="AA151" i="4" s="1"/>
  <c r="AA152" i="4" a="1"/>
  <c r="AA152" i="4" s="1"/>
  <c r="AA153" i="4" a="1"/>
  <c r="AA153" i="4" s="1"/>
  <c r="AA154" i="4" a="1"/>
  <c r="AA154" i="4" s="1"/>
  <c r="AA155" i="4" a="1"/>
  <c r="AA155" i="4" s="1"/>
  <c r="AA156" i="4" a="1"/>
  <c r="AA156" i="4" s="1"/>
  <c r="AA157" i="4" a="1"/>
  <c r="AA157" i="4" s="1"/>
  <c r="AA158" i="4" a="1"/>
  <c r="AA158" i="4" s="1"/>
  <c r="AA159" i="4" a="1"/>
  <c r="AA159" i="4" s="1"/>
  <c r="AA160" i="4" a="1"/>
  <c r="AA160" i="4" s="1"/>
  <c r="AA161" i="4" a="1"/>
  <c r="AA161" i="4" s="1"/>
  <c r="AA162" i="4" a="1"/>
  <c r="AA162" i="4" s="1"/>
  <c r="AA163" i="4" a="1"/>
  <c r="AA163" i="4" s="1"/>
  <c r="AA164" i="4" a="1"/>
  <c r="AA164" i="4" s="1"/>
  <c r="AA165" i="4" a="1"/>
  <c r="AA165" i="4" s="1"/>
  <c r="AA166" i="4" a="1"/>
  <c r="AA166" i="4" s="1"/>
  <c r="AA167" i="4" a="1"/>
  <c r="AA167" i="4" s="1"/>
  <c r="AA168" i="4" a="1"/>
  <c r="AA168" i="4" s="1"/>
  <c r="AA169" i="4" a="1"/>
  <c r="AA169" i="4" s="1"/>
  <c r="AA170" i="4" a="1"/>
  <c r="AA170" i="4" s="1"/>
  <c r="AA171" i="4" a="1"/>
  <c r="AA171" i="4" s="1"/>
  <c r="AA172" i="4" a="1"/>
  <c r="AA172" i="4" s="1"/>
  <c r="AA173" i="4" a="1"/>
  <c r="AA173" i="4" s="1"/>
  <c r="AA174" i="4" a="1"/>
  <c r="AA174" i="4" s="1"/>
  <c r="AA175" i="4" a="1"/>
  <c r="AA175" i="4" s="1"/>
  <c r="AA176" i="4" a="1"/>
  <c r="AA176" i="4" s="1"/>
  <c r="AA177" i="4" a="1"/>
  <c r="AA177" i="4" s="1"/>
  <c r="AA178" i="4" a="1"/>
  <c r="AA178" i="4" s="1"/>
  <c r="AA179" i="4" a="1"/>
  <c r="AA179" i="4" s="1"/>
  <c r="AA180" i="4" a="1"/>
  <c r="AA180" i="4" s="1"/>
  <c r="AA181" i="4" a="1"/>
  <c r="AA181" i="4" s="1"/>
  <c r="AA182" i="4" a="1"/>
  <c r="AA182" i="4" s="1"/>
  <c r="AA183" i="4" a="1"/>
  <c r="AA183" i="4" s="1"/>
  <c r="AA184" i="4" a="1"/>
  <c r="AA184" i="4" s="1"/>
  <c r="AA185" i="4" a="1"/>
  <c r="AA185" i="4" s="1"/>
  <c r="AA186" i="4" a="1"/>
  <c r="AA186" i="4" s="1"/>
  <c r="AA187" i="4" a="1"/>
  <c r="AA187" i="4" s="1"/>
  <c r="AA188" i="4" a="1"/>
  <c r="AA188" i="4" s="1"/>
  <c r="AA189" i="4" a="1"/>
  <c r="AA189" i="4" s="1"/>
  <c r="AA190" i="4" a="1"/>
  <c r="AA190" i="4" s="1"/>
  <c r="AA191" i="4" a="1"/>
  <c r="AA191" i="4" s="1"/>
  <c r="AA192" i="4" a="1"/>
  <c r="AA192" i="4" s="1"/>
  <c r="AA193" i="4" a="1"/>
  <c r="AA193" i="4" s="1"/>
  <c r="AA194" i="4" a="1"/>
  <c r="AA194" i="4" s="1"/>
  <c r="AA195" i="4" a="1"/>
  <c r="AA195" i="4" s="1"/>
  <c r="AA196" i="4" a="1"/>
  <c r="AA196" i="4" s="1"/>
  <c r="AA197" i="4" a="1"/>
  <c r="AA197" i="4" s="1"/>
  <c r="AA198" i="4" a="1"/>
  <c r="AA198" i="4" s="1"/>
  <c r="AA199" i="4" a="1"/>
  <c r="AA199" i="4" s="1"/>
  <c r="AA200" i="4" a="1"/>
  <c r="AA200" i="4" s="1"/>
  <c r="AA201" i="4" a="1"/>
  <c r="AA201" i="4" s="1"/>
  <c r="AA202" i="4" a="1"/>
  <c r="AA202" i="4" s="1"/>
  <c r="AA203" i="4" a="1"/>
  <c r="AA203" i="4" s="1"/>
  <c r="AA204" i="4" a="1"/>
  <c r="AA204" i="4" s="1"/>
  <c r="AA205" i="4" a="1"/>
  <c r="AA205" i="4" s="1"/>
  <c r="AA206" i="4" a="1"/>
  <c r="AA206" i="4" s="1"/>
  <c r="AA207" i="4" a="1"/>
  <c r="AA207" i="4" s="1"/>
  <c r="AA208" i="4" a="1"/>
  <c r="AA208" i="4" s="1"/>
  <c r="AA209" i="4" a="1"/>
  <c r="AA209" i="4" s="1"/>
  <c r="AA210" i="4" a="1"/>
  <c r="AA210" i="4" s="1"/>
  <c r="AA211" i="4" a="1"/>
  <c r="AA211" i="4" s="1"/>
  <c r="AA212" i="4" a="1"/>
  <c r="AA212" i="4" s="1"/>
  <c r="AA213" i="4" a="1"/>
  <c r="AA213" i="4" s="1"/>
  <c r="AA214" i="4" a="1"/>
  <c r="AA214" i="4" s="1"/>
  <c r="AA215" i="4" a="1"/>
  <c r="AA215" i="4" s="1"/>
  <c r="AA216" i="4" a="1"/>
  <c r="AA216" i="4" s="1"/>
  <c r="AA217" i="4" a="1"/>
  <c r="AA217" i="4" s="1"/>
  <c r="AA218" i="4" a="1"/>
  <c r="AA218" i="4" s="1"/>
  <c r="AA219" i="4" a="1"/>
  <c r="AA219" i="4" s="1"/>
  <c r="AA220" i="4" a="1"/>
  <c r="AA220" i="4" s="1"/>
  <c r="AA221" i="4" a="1"/>
  <c r="AA221" i="4" s="1"/>
  <c r="AA222" i="4" a="1"/>
  <c r="AA222" i="4" s="1"/>
  <c r="AA223" i="4" a="1"/>
  <c r="AA223" i="4" s="1"/>
  <c r="AA224" i="4" a="1"/>
  <c r="AA224" i="4" s="1"/>
  <c r="AA225" i="4" a="1"/>
  <c r="AA225" i="4" s="1"/>
  <c r="AA226" i="4" a="1"/>
  <c r="AA226" i="4" s="1"/>
  <c r="AA227" i="4" a="1"/>
  <c r="AA227" i="4" s="1"/>
  <c r="AA228" i="4" a="1"/>
  <c r="AA228" i="4" s="1"/>
  <c r="AA229" i="4" a="1"/>
  <c r="AA229" i="4" s="1"/>
  <c r="AA230" i="4" a="1"/>
  <c r="AA230" i="4" s="1"/>
  <c r="AA231" i="4" a="1"/>
  <c r="AA231" i="4" s="1"/>
  <c r="AA232" i="4" a="1"/>
  <c r="AA232" i="4" s="1"/>
  <c r="AA233" i="4" a="1"/>
  <c r="AA233" i="4" s="1"/>
  <c r="AA234" i="4" a="1"/>
  <c r="AA234" i="4" s="1"/>
  <c r="AA235" i="4" a="1"/>
  <c r="AA235" i="4" s="1"/>
  <c r="AA236" i="4" a="1"/>
  <c r="AA236" i="4" s="1"/>
  <c r="AA237" i="4" a="1"/>
  <c r="AA237" i="4" s="1"/>
  <c r="AA238" i="4" a="1"/>
  <c r="AA238" i="4" s="1"/>
  <c r="AA239" i="4" a="1"/>
  <c r="AA239" i="4" s="1"/>
  <c r="AA240" i="4" a="1"/>
  <c r="AA240" i="4" s="1"/>
  <c r="AA241" i="4" a="1"/>
  <c r="AA241" i="4" s="1"/>
  <c r="AA242" i="4" a="1"/>
  <c r="AA242" i="4" s="1"/>
  <c r="AA243" i="4" a="1"/>
  <c r="AA243" i="4" s="1"/>
  <c r="AA244" i="4" a="1"/>
  <c r="AA244" i="4" s="1"/>
  <c r="AA245" i="4" a="1"/>
  <c r="AA245" i="4" s="1"/>
  <c r="AA246" i="4" a="1"/>
  <c r="AA246" i="4" s="1"/>
  <c r="AA247" i="4" a="1"/>
  <c r="AA247" i="4" s="1"/>
  <c r="AA248" i="4" a="1"/>
  <c r="AA248" i="4" s="1"/>
  <c r="AA249" i="4" a="1"/>
  <c r="AA249" i="4" s="1"/>
  <c r="AA250" i="4" a="1"/>
  <c r="AA250" i="4" s="1"/>
  <c r="AA251" i="4" a="1"/>
  <c r="AA251" i="4" s="1"/>
  <c r="AA252" i="4" a="1"/>
  <c r="AA252" i="4" s="1"/>
  <c r="AA253" i="4" a="1"/>
  <c r="AA253" i="4" s="1"/>
  <c r="AA254" i="4" a="1"/>
  <c r="AA254" i="4" s="1"/>
  <c r="AA255" i="4" a="1"/>
  <c r="AA255" i="4" s="1"/>
  <c r="AA256" i="4" a="1"/>
  <c r="AA256" i="4" s="1"/>
  <c r="AA257" i="4" a="1"/>
  <c r="AA257" i="4" s="1"/>
  <c r="AA258" i="4" a="1"/>
  <c r="AA258" i="4" s="1"/>
  <c r="AA259" i="4" a="1"/>
  <c r="AA259" i="4" s="1"/>
  <c r="AA260" i="4" a="1"/>
  <c r="AA260" i="4" s="1"/>
  <c r="AA261" i="4" a="1"/>
  <c r="AA261" i="4" s="1"/>
  <c r="AA262" i="4" a="1"/>
  <c r="AA262" i="4" s="1"/>
  <c r="AA263" i="4" a="1"/>
  <c r="AA263" i="4" s="1"/>
  <c r="AA264" i="4" a="1"/>
  <c r="AA264" i="4" s="1"/>
  <c r="AA265" i="4" a="1"/>
  <c r="AA265" i="4" s="1"/>
  <c r="AA266" i="4" a="1"/>
  <c r="AA266" i="4" s="1"/>
  <c r="AA267" i="4" a="1"/>
  <c r="AA267" i="4" s="1"/>
  <c r="AA268" i="4" a="1"/>
  <c r="AA268" i="4" s="1"/>
  <c r="AA269" i="4" a="1"/>
  <c r="AA269" i="4" s="1"/>
  <c r="AA270" i="4" a="1"/>
  <c r="AA270" i="4" s="1"/>
  <c r="AA271" i="4" a="1"/>
  <c r="AA271" i="4" s="1"/>
  <c r="AA272" i="4" a="1"/>
  <c r="AA272" i="4" s="1"/>
  <c r="AA273" i="4" a="1"/>
  <c r="AA273" i="4" s="1"/>
  <c r="AA274" i="4" a="1"/>
  <c r="AA274" i="4" s="1"/>
  <c r="AA275" i="4" a="1"/>
  <c r="AA275" i="4" s="1"/>
  <c r="AA276" i="4" a="1"/>
  <c r="AA276" i="4" s="1"/>
  <c r="AA277" i="4" a="1"/>
  <c r="AA277" i="4" s="1"/>
  <c r="AA278" i="4" a="1"/>
  <c r="AA278" i="4" s="1"/>
  <c r="AA279" i="4" a="1"/>
  <c r="AA279" i="4" s="1"/>
  <c r="AA280" i="4" a="1"/>
  <c r="AA280" i="4" s="1"/>
  <c r="AA281" i="4" a="1"/>
  <c r="AA281" i="4" s="1"/>
  <c r="AA282" i="4" a="1"/>
  <c r="AA282" i="4" s="1"/>
  <c r="AA283" i="4" a="1"/>
  <c r="AA283" i="4" s="1"/>
  <c r="AA284" i="4" a="1"/>
  <c r="AA284" i="4" s="1"/>
  <c r="AA285" i="4" a="1"/>
  <c r="AA285" i="4" s="1"/>
  <c r="AA286" i="4" a="1"/>
  <c r="AA286" i="4" s="1"/>
  <c r="AA287" i="4" a="1"/>
  <c r="AA287" i="4" s="1"/>
  <c r="AA288" i="4" a="1"/>
  <c r="AA288" i="4" s="1"/>
  <c r="AA289" i="4" a="1"/>
  <c r="AA289" i="4" s="1"/>
  <c r="AA290" i="4" a="1"/>
  <c r="AA290" i="4" s="1"/>
  <c r="AA291" i="4" a="1"/>
  <c r="AA291" i="4" s="1"/>
  <c r="AA292" i="4" a="1"/>
  <c r="AA292" i="4" s="1"/>
  <c r="AA293" i="4" a="1"/>
  <c r="AA293" i="4" s="1"/>
  <c r="AA294" i="4" a="1"/>
  <c r="AA294" i="4" s="1"/>
  <c r="AA295" i="4" a="1"/>
  <c r="AA295" i="4" s="1"/>
  <c r="AA296" i="4" a="1"/>
  <c r="AA296" i="4" s="1"/>
  <c r="AA297" i="4" a="1"/>
  <c r="AA297" i="4" s="1"/>
  <c r="AA298" i="4" a="1"/>
  <c r="AA298" i="4" s="1"/>
  <c r="AA299" i="4" a="1"/>
  <c r="AA299" i="4" s="1"/>
  <c r="AA300" i="4" a="1"/>
  <c r="AA300" i="4" s="1"/>
  <c r="AA301" i="4" a="1"/>
  <c r="AA301" i="4" s="1"/>
  <c r="AA302" i="4" a="1"/>
  <c r="AA302" i="4" s="1"/>
  <c r="AA303" i="4" a="1"/>
  <c r="AA303" i="4" s="1"/>
  <c r="AA304" i="4" a="1"/>
  <c r="AA304" i="4" s="1"/>
  <c r="AA305" i="4" a="1"/>
  <c r="AA305" i="4" s="1"/>
  <c r="AA306" i="4" a="1"/>
  <c r="AA306" i="4" s="1"/>
  <c r="AA307" i="4" a="1"/>
  <c r="AA307" i="4" s="1"/>
  <c r="AA308" i="4" a="1"/>
  <c r="AA308" i="4" s="1"/>
  <c r="AA309" i="4" a="1"/>
  <c r="AA309" i="4" s="1"/>
  <c r="AA310" i="4" a="1"/>
  <c r="AA310" i="4" s="1"/>
  <c r="AA311" i="4" a="1"/>
  <c r="AA311" i="4" s="1"/>
  <c r="AA312" i="4" a="1"/>
  <c r="AA312" i="4" s="1"/>
  <c r="AA313" i="4" a="1"/>
  <c r="AA313" i="4" s="1"/>
  <c r="AA314" i="4" a="1"/>
  <c r="AA314" i="4" s="1"/>
  <c r="AA315" i="4" a="1"/>
  <c r="AA315" i="4" s="1"/>
  <c r="AA316" i="4" a="1"/>
  <c r="AA316" i="4" s="1"/>
  <c r="AA317" i="4" a="1"/>
  <c r="AA317" i="4" s="1"/>
  <c r="AA318" i="4" a="1"/>
  <c r="AA318" i="4" s="1"/>
  <c r="AA319" i="4" a="1"/>
  <c r="AA319" i="4" s="1"/>
  <c r="AA320" i="4" a="1"/>
  <c r="AA320" i="4" s="1"/>
  <c r="AA321" i="4" a="1"/>
  <c r="AA321" i="4" s="1"/>
  <c r="AA322" i="4" a="1"/>
  <c r="AA322" i="4" s="1"/>
  <c r="AA323" i="4" a="1"/>
  <c r="AA323" i="4" s="1"/>
  <c r="AA324" i="4" a="1"/>
  <c r="AA324" i="4" s="1"/>
  <c r="AA325" i="4" a="1"/>
  <c r="AA325" i="4" s="1"/>
  <c r="AA326" i="4" a="1"/>
  <c r="AA326" i="4" s="1"/>
  <c r="AA327" i="4" a="1"/>
  <c r="AA327" i="4" s="1"/>
  <c r="AA328" i="4" a="1"/>
  <c r="AA328" i="4" s="1"/>
  <c r="AA329" i="4" a="1"/>
  <c r="AA329" i="4" s="1"/>
  <c r="AA330" i="4" a="1"/>
  <c r="AA330" i="4" s="1"/>
  <c r="AA331" i="4" a="1"/>
  <c r="AA331" i="4" s="1"/>
  <c r="AA332" i="4" a="1"/>
  <c r="AA332" i="4" s="1"/>
  <c r="AA333" i="4" a="1"/>
  <c r="AA333" i="4" s="1"/>
  <c r="AA334" i="4" a="1"/>
  <c r="AA334" i="4" s="1"/>
  <c r="AA335" i="4" a="1"/>
  <c r="AA335" i="4" s="1"/>
  <c r="AA336" i="4" a="1"/>
  <c r="AA336" i="4" s="1"/>
  <c r="AA337" i="4" a="1"/>
  <c r="AA337" i="4" s="1"/>
  <c r="AA338" i="4" a="1"/>
  <c r="AA338" i="4" s="1"/>
  <c r="AA339" i="4" a="1"/>
  <c r="AA339" i="4" s="1"/>
  <c r="AA340" i="4" a="1"/>
  <c r="AA340" i="4" s="1"/>
  <c r="AA341" i="4" a="1"/>
  <c r="AA341" i="4" s="1"/>
  <c r="AA342" i="4" a="1"/>
  <c r="AA342" i="4" s="1"/>
  <c r="AA343" i="4" a="1"/>
  <c r="AA343" i="4" s="1"/>
  <c r="AA344" i="4" a="1"/>
  <c r="AA344" i="4" s="1"/>
  <c r="AA345" i="4" a="1"/>
  <c r="AA345" i="4" s="1"/>
  <c r="AA346" i="4" a="1"/>
  <c r="AA346" i="4" s="1"/>
  <c r="AA347" i="4" a="1"/>
  <c r="AA347" i="4" s="1"/>
  <c r="AA348" i="4" a="1"/>
  <c r="AA348" i="4" s="1"/>
  <c r="AA349" i="4" a="1"/>
  <c r="AA349" i="4" s="1"/>
  <c r="AA350" i="4" a="1"/>
  <c r="AA350" i="4" s="1"/>
  <c r="AA351" i="4" a="1"/>
  <c r="AA351" i="4" s="1"/>
  <c r="AA352" i="4" a="1"/>
  <c r="AA352" i="4" s="1"/>
  <c r="AA353" i="4" a="1"/>
  <c r="AA353" i="4" s="1"/>
  <c r="AA354" i="4" a="1"/>
  <c r="AA354" i="4" s="1"/>
  <c r="AA355" i="4" a="1"/>
  <c r="AA355" i="4" s="1"/>
  <c r="AA356" i="4" a="1"/>
  <c r="AA356" i="4" s="1"/>
  <c r="AA357" i="4" a="1"/>
  <c r="AA357" i="4" s="1"/>
  <c r="AA358" i="4" a="1"/>
  <c r="AA358" i="4" s="1"/>
  <c r="AA359" i="4" a="1"/>
  <c r="AA359" i="4" s="1"/>
  <c r="AA360" i="4" a="1"/>
  <c r="AA360" i="4" s="1"/>
  <c r="AA361" i="4" a="1"/>
  <c r="AA361" i="4" s="1"/>
  <c r="AA362" i="4" a="1"/>
  <c r="AA362" i="4" s="1"/>
  <c r="AA363" i="4" a="1"/>
  <c r="AA363" i="4" s="1"/>
  <c r="AA364" i="4" a="1"/>
  <c r="AA364" i="4" s="1"/>
  <c r="AA365" i="4" a="1"/>
  <c r="AA365" i="4" s="1"/>
  <c r="AA366" i="4" a="1"/>
  <c r="AA366" i="4" s="1"/>
  <c r="AA367" i="4" a="1"/>
  <c r="AA367" i="4" s="1"/>
  <c r="AA368" i="4" a="1"/>
  <c r="AA368" i="4" s="1"/>
  <c r="AA369" i="4" a="1"/>
  <c r="AA369" i="4" s="1"/>
  <c r="AA370" i="4" a="1"/>
  <c r="AA370" i="4" s="1"/>
  <c r="AA371" i="4" a="1"/>
  <c r="AA371" i="4" s="1"/>
  <c r="AA372" i="4" a="1"/>
  <c r="AA372" i="4" s="1"/>
  <c r="AA373" i="4" a="1"/>
  <c r="AA373" i="4" s="1"/>
  <c r="AA374" i="4" a="1"/>
  <c r="AA374" i="4" s="1"/>
  <c r="AA375" i="4" a="1"/>
  <c r="AA375" i="4" s="1"/>
  <c r="AA376" i="4" a="1"/>
  <c r="AA376" i="4" s="1"/>
  <c r="AA377" i="4" a="1"/>
  <c r="AA377" i="4" s="1"/>
  <c r="AA378" i="4" a="1"/>
  <c r="AA378" i="4" s="1"/>
  <c r="AA379" i="4" a="1"/>
  <c r="AA379" i="4" s="1"/>
  <c r="AA380" i="4" a="1"/>
  <c r="AA380" i="4" s="1"/>
  <c r="AA381" i="4" a="1"/>
  <c r="AA381" i="4" s="1"/>
  <c r="AA382" i="4" a="1"/>
  <c r="AA382" i="4" s="1"/>
  <c r="AA383" i="4" a="1"/>
  <c r="AA383" i="4" s="1"/>
  <c r="AA384" i="4" a="1"/>
  <c r="AA384" i="4" s="1"/>
  <c r="AA385" i="4" a="1"/>
  <c r="AA385" i="4" s="1"/>
  <c r="AA386" i="4" a="1"/>
  <c r="AA386" i="4" s="1"/>
  <c r="AA387" i="4" a="1"/>
  <c r="AA387" i="4" s="1"/>
  <c r="AA388" i="4" a="1"/>
  <c r="AA388" i="4" s="1"/>
  <c r="AA389" i="4" a="1"/>
  <c r="AA389" i="4" s="1"/>
  <c r="AA390" i="4" a="1"/>
  <c r="AA390" i="4" s="1"/>
  <c r="AA391" i="4" a="1"/>
  <c r="AA391" i="4" s="1"/>
  <c r="AA392" i="4" a="1"/>
  <c r="AA392" i="4" s="1"/>
  <c r="AA393" i="4" a="1"/>
  <c r="AA393" i="4" s="1"/>
  <c r="AA394" i="4" a="1"/>
  <c r="AA394" i="4" s="1"/>
  <c r="AA395" i="4" a="1"/>
  <c r="AA395" i="4" s="1"/>
  <c r="AA396" i="4" a="1"/>
  <c r="AA396" i="4" s="1"/>
  <c r="AA397" i="4" a="1"/>
  <c r="AA397" i="4" s="1"/>
  <c r="AA398" i="4" a="1"/>
  <c r="AA398" i="4" s="1"/>
  <c r="AA399" i="4" a="1"/>
  <c r="AA399" i="4" s="1"/>
  <c r="AA400" i="4" a="1"/>
  <c r="AA400" i="4" s="1"/>
  <c r="AA401" i="4" a="1"/>
  <c r="AA401" i="4" s="1"/>
  <c r="AA402" i="4" a="1"/>
  <c r="AA402" i="4" s="1"/>
  <c r="AA403" i="4" a="1"/>
  <c r="AA403" i="4" s="1"/>
  <c r="AA404" i="4" a="1"/>
  <c r="AA404" i="4" s="1"/>
  <c r="AA405" i="4" a="1"/>
  <c r="AA405" i="4" s="1"/>
  <c r="AA406" i="4" a="1"/>
  <c r="AA406" i="4" s="1"/>
  <c r="AA407" i="4" a="1"/>
  <c r="AA407" i="4" s="1"/>
  <c r="AA408" i="4" a="1"/>
  <c r="AA408" i="4" s="1"/>
  <c r="AA409" i="4" a="1"/>
  <c r="AA409" i="4" s="1"/>
  <c r="AA410" i="4" a="1"/>
  <c r="AA410" i="4" s="1"/>
  <c r="AA411" i="4" a="1"/>
  <c r="AA411" i="4" s="1"/>
  <c r="AA412" i="4" a="1"/>
  <c r="AA412" i="4" s="1"/>
  <c r="AA413" i="4" a="1"/>
  <c r="AA413" i="4" s="1"/>
  <c r="AA414" i="4" a="1"/>
  <c r="AA414" i="4" s="1"/>
  <c r="AA415" i="4" a="1"/>
  <c r="AA415" i="4" s="1"/>
  <c r="AA416" i="4" a="1"/>
  <c r="AA416" i="4" s="1"/>
  <c r="AA417" i="4" a="1"/>
  <c r="AA417" i="4" s="1"/>
  <c r="AA418" i="4" a="1"/>
  <c r="AA418" i="4" s="1"/>
  <c r="AA419" i="4" a="1"/>
  <c r="AA419" i="4" s="1"/>
  <c r="AA420" i="4" a="1"/>
  <c r="AA420" i="4" s="1"/>
  <c r="AA421" i="4" a="1"/>
  <c r="AA421" i="4" s="1"/>
  <c r="AA422" i="4" a="1"/>
  <c r="AA422" i="4" s="1"/>
  <c r="AA423" i="4" a="1"/>
  <c r="AA423" i="4" s="1"/>
  <c r="AA424" i="4" a="1"/>
  <c r="AA424" i="4" s="1"/>
  <c r="AA425" i="4" a="1"/>
  <c r="AA425" i="4" s="1"/>
  <c r="AA426" i="4" a="1"/>
  <c r="AA426" i="4" s="1"/>
  <c r="AA427" i="4" a="1"/>
  <c r="AA427" i="4" s="1"/>
  <c r="AA428" i="4" a="1"/>
  <c r="AA428" i="4" s="1"/>
  <c r="AA429" i="4" a="1"/>
  <c r="AA429" i="4" s="1"/>
  <c r="AA430" i="4" a="1"/>
  <c r="AA430" i="4" s="1"/>
  <c r="AA431" i="4" a="1"/>
  <c r="AA431" i="4" s="1"/>
  <c r="AA432" i="4" a="1"/>
  <c r="AA432" i="4" s="1"/>
  <c r="AA433" i="4" a="1"/>
  <c r="AA433" i="4" s="1"/>
  <c r="AA434" i="4" a="1"/>
  <c r="AA434" i="4" s="1"/>
  <c r="AA435" i="4" a="1"/>
  <c r="AA435" i="4" s="1"/>
  <c r="AA436" i="4" a="1"/>
  <c r="AA436" i="4" s="1"/>
  <c r="AA437" i="4" a="1"/>
  <c r="AA437" i="4" s="1"/>
  <c r="AA438" i="4" a="1"/>
  <c r="AA438" i="4" s="1"/>
  <c r="AA439" i="4" a="1"/>
  <c r="AA439" i="4" s="1"/>
  <c r="AA440" i="4" a="1"/>
  <c r="AA440" i="4" s="1"/>
  <c r="AA441" i="4" a="1"/>
  <c r="AA441" i="4" s="1"/>
  <c r="AA442" i="4" a="1"/>
  <c r="AA442" i="4" s="1"/>
  <c r="AA443" i="4" a="1"/>
  <c r="AA443" i="4" s="1"/>
  <c r="AA444" i="4" a="1"/>
  <c r="AA444" i="4" s="1"/>
  <c r="AA445" i="4" a="1"/>
  <c r="AA445" i="4" s="1"/>
  <c r="AA446" i="4" a="1"/>
  <c r="AA446" i="4" s="1"/>
  <c r="AA447" i="4" a="1"/>
  <c r="AA447" i="4" s="1"/>
  <c r="AA448" i="4" a="1"/>
  <c r="AA448" i="4" s="1"/>
  <c r="AA449" i="4" a="1"/>
  <c r="AA449" i="4" s="1"/>
  <c r="AA450" i="4" a="1"/>
  <c r="AA450" i="4" s="1"/>
  <c r="AA451" i="4" a="1"/>
  <c r="AA451" i="4" s="1"/>
  <c r="AA452" i="4" a="1"/>
  <c r="AA452" i="4" s="1"/>
  <c r="AA453" i="4" a="1"/>
  <c r="AA453" i="4" s="1"/>
  <c r="AA454" i="4" a="1"/>
  <c r="AA454" i="4" s="1"/>
  <c r="AA455" i="4" a="1"/>
  <c r="AA455" i="4" s="1"/>
  <c r="AA456" i="4" a="1"/>
  <c r="AA456" i="4" s="1"/>
  <c r="AA457" i="4" a="1"/>
  <c r="AA457" i="4" s="1"/>
  <c r="AA458" i="4" a="1"/>
  <c r="AA458" i="4" s="1"/>
  <c r="AA459" i="4" a="1"/>
  <c r="AA459" i="4" s="1"/>
  <c r="AA460" i="4" a="1"/>
  <c r="AA460" i="4" s="1"/>
  <c r="AA461" i="4" a="1"/>
  <c r="AA461" i="4" s="1"/>
  <c r="AA462" i="4" a="1"/>
  <c r="AA462" i="4" s="1"/>
  <c r="AA463" i="4" a="1"/>
  <c r="AA463" i="4" s="1"/>
  <c r="AA464" i="4" a="1"/>
  <c r="AA464" i="4" s="1"/>
  <c r="AA465" i="4" a="1"/>
  <c r="AA465" i="4" s="1"/>
  <c r="AA466" i="4" a="1"/>
  <c r="AA466" i="4" s="1"/>
  <c r="AA467" i="4" a="1"/>
  <c r="AA467" i="4" s="1"/>
  <c r="AA468" i="4" a="1"/>
  <c r="AA468" i="4" s="1"/>
  <c r="AA469" i="4" a="1"/>
  <c r="AA469" i="4" s="1"/>
  <c r="AA470" i="4" a="1"/>
  <c r="AA470" i="4" s="1"/>
  <c r="AA471" i="4" a="1"/>
  <c r="AA471" i="4" s="1"/>
  <c r="AA472" i="4" a="1"/>
  <c r="AA472" i="4" s="1"/>
  <c r="AA473" i="4" a="1"/>
  <c r="AA473" i="4" s="1"/>
  <c r="AA474" i="4" a="1"/>
  <c r="AA474" i="4" s="1"/>
  <c r="AA475" i="4" a="1"/>
  <c r="AA475" i="4" s="1"/>
  <c r="AA476" i="4" a="1"/>
  <c r="AA476" i="4" s="1"/>
  <c r="AA477" i="4" a="1"/>
  <c r="AA477" i="4" s="1"/>
  <c r="AA478" i="4" a="1"/>
  <c r="AA478" i="4" s="1"/>
  <c r="AA479" i="4" a="1"/>
  <c r="AA479" i="4" s="1"/>
  <c r="AA480" i="4" a="1"/>
  <c r="AA480" i="4" s="1"/>
  <c r="AA481" i="4" a="1"/>
  <c r="AA481" i="4" s="1"/>
  <c r="AA482" i="4" a="1"/>
  <c r="AA482" i="4" s="1"/>
  <c r="AA483" i="4" a="1"/>
  <c r="AA483" i="4" s="1"/>
  <c r="AA484" i="4" a="1"/>
  <c r="AA484" i="4" s="1"/>
  <c r="AA485" i="4" a="1"/>
  <c r="AA485" i="4" s="1"/>
  <c r="AA486" i="4" a="1"/>
  <c r="AA486" i="4" s="1"/>
  <c r="AA487" i="4" a="1"/>
  <c r="AA487" i="4" s="1"/>
  <c r="AA488" i="4" a="1"/>
  <c r="AA488" i="4" s="1"/>
  <c r="AA489" i="4" a="1"/>
  <c r="AA489" i="4" s="1"/>
  <c r="AA490" i="4" a="1"/>
  <c r="AA490" i="4" s="1"/>
  <c r="AA491" i="4" a="1"/>
  <c r="AA491" i="4" s="1"/>
  <c r="AA492" i="4" a="1"/>
  <c r="AA492" i="4" s="1"/>
  <c r="AA493" i="4" a="1"/>
  <c r="AA493" i="4" s="1"/>
  <c r="AA494" i="4" a="1"/>
  <c r="AA494" i="4" s="1"/>
  <c r="AB2" i="4" a="1"/>
  <c r="AB2" i="4" s="1"/>
  <c r="AB3" i="4" a="1"/>
  <c r="AB3" i="4" s="1"/>
  <c r="AB4" i="4" a="1"/>
  <c r="AB4" i="4" s="1"/>
  <c r="AB5" i="4" a="1"/>
  <c r="AB5" i="4" s="1"/>
  <c r="AB6" i="4" a="1"/>
  <c r="AB6" i="4" s="1"/>
  <c r="AB7" i="4" a="1"/>
  <c r="AB7" i="4" s="1"/>
  <c r="AB8" i="4" a="1"/>
  <c r="AB8" i="4" s="1"/>
  <c r="AB9" i="4" a="1"/>
  <c r="AB9" i="4" s="1"/>
  <c r="AB10" i="4" a="1"/>
  <c r="AB10" i="4" s="1"/>
  <c r="AB11" i="4" a="1"/>
  <c r="AB11" i="4" s="1"/>
  <c r="AB12" i="4" a="1"/>
  <c r="AB12" i="4" s="1"/>
  <c r="AB13" i="4" a="1"/>
  <c r="AB13" i="4" s="1"/>
  <c r="AB14" i="4" a="1"/>
  <c r="AB14" i="4" s="1"/>
  <c r="AB15" i="4" a="1"/>
  <c r="AB15" i="4" s="1"/>
  <c r="AB16" i="4" a="1"/>
  <c r="AB16" i="4" s="1"/>
  <c r="AB17" i="4" a="1"/>
  <c r="AB17" i="4" s="1"/>
  <c r="AB18" i="4" a="1"/>
  <c r="AB18" i="4" s="1"/>
  <c r="AB19" i="4" a="1"/>
  <c r="AB19" i="4" s="1"/>
  <c r="AB20" i="4" a="1"/>
  <c r="AB20" i="4" s="1"/>
  <c r="AB21" i="4" a="1"/>
  <c r="AB21" i="4" s="1"/>
  <c r="AB22" i="4" a="1"/>
  <c r="AB22" i="4" s="1"/>
  <c r="AB23" i="4" a="1"/>
  <c r="AB23" i="4" s="1"/>
  <c r="AB24" i="4" a="1"/>
  <c r="AB24" i="4" s="1"/>
  <c r="AB25" i="4" a="1"/>
  <c r="AB25" i="4" s="1"/>
  <c r="AB26" i="4" a="1"/>
  <c r="AB26" i="4" s="1"/>
  <c r="AB27" i="4" a="1"/>
  <c r="AB27" i="4" s="1"/>
  <c r="AB28" i="4" a="1"/>
  <c r="AB28" i="4" s="1"/>
  <c r="AB29" i="4" a="1"/>
  <c r="AB29" i="4" s="1"/>
  <c r="AB30" i="4" a="1"/>
  <c r="AB30" i="4" s="1"/>
  <c r="AB31" i="4" a="1"/>
  <c r="AB31" i="4" s="1"/>
  <c r="AB32" i="4" a="1"/>
  <c r="AB32" i="4" s="1"/>
  <c r="AB33" i="4" a="1"/>
  <c r="AB33" i="4" s="1"/>
  <c r="AB34" i="4" a="1"/>
  <c r="AB34" i="4" s="1"/>
  <c r="AB35" i="4" a="1"/>
  <c r="AB35" i="4" s="1"/>
  <c r="AB36" i="4" a="1"/>
  <c r="AB36" i="4" s="1"/>
  <c r="AB37" i="4" a="1"/>
  <c r="AB37" i="4" s="1"/>
  <c r="AB38" i="4" a="1"/>
  <c r="AB38" i="4" s="1"/>
  <c r="AB39" i="4" a="1"/>
  <c r="AB39" i="4" s="1"/>
  <c r="AB40" i="4" a="1"/>
  <c r="AB40" i="4" s="1"/>
  <c r="AB41" i="4" a="1"/>
  <c r="AB41" i="4" s="1"/>
  <c r="AB42" i="4" a="1"/>
  <c r="AB42" i="4" s="1"/>
  <c r="AB43" i="4" a="1"/>
  <c r="AB43" i="4" s="1"/>
  <c r="AB44" i="4" a="1"/>
  <c r="AB44" i="4" s="1"/>
  <c r="AB45" i="4" a="1"/>
  <c r="AB45" i="4" s="1"/>
  <c r="AB46" i="4" a="1"/>
  <c r="AB46" i="4" s="1"/>
  <c r="AB47" i="4" a="1"/>
  <c r="AB47" i="4" s="1"/>
  <c r="AB48" i="4" a="1"/>
  <c r="AB48" i="4" s="1"/>
  <c r="AB49" i="4" a="1"/>
  <c r="AB49" i="4" s="1"/>
  <c r="AB50" i="4" a="1"/>
  <c r="AB50" i="4" s="1"/>
  <c r="AB51" i="4" a="1"/>
  <c r="AB51" i="4" s="1"/>
  <c r="AB52" i="4" a="1"/>
  <c r="AB52" i="4" s="1"/>
  <c r="AB53" i="4" a="1"/>
  <c r="AB53" i="4" s="1"/>
  <c r="AB54" i="4" a="1"/>
  <c r="AB54" i="4" s="1"/>
  <c r="AB55" i="4" a="1"/>
  <c r="AB55" i="4" s="1"/>
  <c r="AB56" i="4" a="1"/>
  <c r="AB56" i="4" s="1"/>
  <c r="AB57" i="4" a="1"/>
  <c r="AB57" i="4" s="1"/>
  <c r="AB58" i="4" a="1"/>
  <c r="AB58" i="4" s="1"/>
  <c r="AB59" i="4" a="1"/>
  <c r="AB59" i="4" s="1"/>
  <c r="AB60" i="4" a="1"/>
  <c r="AB60" i="4" s="1"/>
  <c r="AB61" i="4" a="1"/>
  <c r="AB61" i="4" s="1"/>
  <c r="AB62" i="4" a="1"/>
  <c r="AB62" i="4" s="1"/>
  <c r="AB63" i="4" a="1"/>
  <c r="AB63" i="4" s="1"/>
  <c r="AB64" i="4" a="1"/>
  <c r="AB64" i="4" s="1"/>
  <c r="AB65" i="4" a="1"/>
  <c r="AB65" i="4" s="1"/>
  <c r="AB66" i="4" a="1"/>
  <c r="AB66" i="4" s="1"/>
  <c r="AB67" i="4" a="1"/>
  <c r="AB67" i="4" s="1"/>
  <c r="AB68" i="4" a="1"/>
  <c r="AB68" i="4" s="1"/>
  <c r="AB69" i="4" a="1"/>
  <c r="AB69" i="4" s="1"/>
  <c r="AB70" i="4" a="1"/>
  <c r="AB70" i="4" s="1"/>
  <c r="AB71" i="4" a="1"/>
  <c r="AB71" i="4" s="1"/>
  <c r="AB72" i="4" a="1"/>
  <c r="AB72" i="4" s="1"/>
  <c r="AB73" i="4" a="1"/>
  <c r="AB73" i="4" s="1"/>
  <c r="AB74" i="4" a="1"/>
  <c r="AB74" i="4" s="1"/>
  <c r="AB75" i="4" a="1"/>
  <c r="AB75" i="4" s="1"/>
  <c r="AB76" i="4" a="1"/>
  <c r="AB76" i="4" s="1"/>
  <c r="AB77" i="4" a="1"/>
  <c r="AB77" i="4" s="1"/>
  <c r="AB78" i="4" a="1"/>
  <c r="AB78" i="4" s="1"/>
  <c r="AB79" i="4" a="1"/>
  <c r="AB79" i="4" s="1"/>
  <c r="AB80" i="4" a="1"/>
  <c r="AB80" i="4" s="1"/>
  <c r="AB81" i="4" a="1"/>
  <c r="AB81" i="4" s="1"/>
  <c r="AB82" i="4" a="1"/>
  <c r="AB82" i="4" s="1"/>
  <c r="AB83" i="4" a="1"/>
  <c r="AB83" i="4" s="1"/>
  <c r="AB84" i="4" a="1"/>
  <c r="AB84" i="4" s="1"/>
  <c r="AB85" i="4" a="1"/>
  <c r="AB85" i="4" s="1"/>
  <c r="AB86" i="4" a="1"/>
  <c r="AB86" i="4" s="1"/>
  <c r="AB87" i="4" a="1"/>
  <c r="AB87" i="4" s="1"/>
  <c r="AB88" i="4" a="1"/>
  <c r="AB88" i="4" s="1"/>
  <c r="AB89" i="4" a="1"/>
  <c r="AB89" i="4" s="1"/>
  <c r="AB90" i="4" a="1"/>
  <c r="AB90" i="4" s="1"/>
  <c r="AB91" i="4" a="1"/>
  <c r="AB91" i="4" s="1"/>
  <c r="AB92" i="4" a="1"/>
  <c r="AB92" i="4" s="1"/>
  <c r="AB93" i="4" a="1"/>
  <c r="AB93" i="4" s="1"/>
  <c r="AB94" i="4" a="1"/>
  <c r="AB94" i="4" s="1"/>
  <c r="AB95" i="4" a="1"/>
  <c r="AB95" i="4" s="1"/>
  <c r="AB96" i="4" a="1"/>
  <c r="AB96" i="4" s="1"/>
  <c r="AB97" i="4" a="1"/>
  <c r="AB97" i="4" s="1"/>
  <c r="AB98" i="4" a="1"/>
  <c r="AB98" i="4" s="1"/>
  <c r="AB99" i="4" a="1"/>
  <c r="AB99" i="4" s="1"/>
  <c r="AB100" i="4" a="1"/>
  <c r="AB100" i="4" s="1"/>
  <c r="AB101" i="4" a="1"/>
  <c r="AB101" i="4" s="1"/>
  <c r="AB102" i="4" a="1"/>
  <c r="AB102" i="4" s="1"/>
  <c r="AB103" i="4" a="1"/>
  <c r="AB103" i="4" s="1"/>
  <c r="AB104" i="4" a="1"/>
  <c r="AB104" i="4" s="1"/>
  <c r="AB105" i="4" a="1"/>
  <c r="AB105" i="4" s="1"/>
  <c r="AB106" i="4" a="1"/>
  <c r="AB106" i="4" s="1"/>
  <c r="AB107" i="4" a="1"/>
  <c r="AB107" i="4" s="1"/>
  <c r="AB108" i="4" a="1"/>
  <c r="AB108" i="4" s="1"/>
  <c r="AB109" i="4" a="1"/>
  <c r="AB109" i="4" s="1"/>
  <c r="AB110" i="4" a="1"/>
  <c r="AB110" i="4" s="1"/>
  <c r="AB111" i="4" a="1"/>
  <c r="AB111" i="4" s="1"/>
  <c r="AB112" i="4" a="1"/>
  <c r="AB112" i="4" s="1"/>
  <c r="AB113" i="4" a="1"/>
  <c r="AB113" i="4" s="1"/>
  <c r="AB114" i="4" a="1"/>
  <c r="AB114" i="4" s="1"/>
  <c r="AB115" i="4" a="1"/>
  <c r="AB115" i="4" s="1"/>
  <c r="AB116" i="4" a="1"/>
  <c r="AB116" i="4" s="1"/>
  <c r="AB117" i="4" a="1"/>
  <c r="AB117" i="4" s="1"/>
  <c r="AB118" i="4" a="1"/>
  <c r="AB118" i="4" s="1"/>
  <c r="AB119" i="4" a="1"/>
  <c r="AB119" i="4" s="1"/>
  <c r="AB120" i="4" a="1"/>
  <c r="AB120" i="4" s="1"/>
  <c r="AB121" i="4" a="1"/>
  <c r="AB121" i="4" s="1"/>
  <c r="AB122" i="4" a="1"/>
  <c r="AB122" i="4" s="1"/>
  <c r="AB123" i="4" a="1"/>
  <c r="AB123" i="4" s="1"/>
  <c r="AB124" i="4" a="1"/>
  <c r="AB124" i="4" s="1"/>
  <c r="AB125" i="4" a="1"/>
  <c r="AB125" i="4" s="1"/>
  <c r="AB126" i="4" a="1"/>
  <c r="AB126" i="4" s="1"/>
  <c r="AB127" i="4" a="1"/>
  <c r="AB127" i="4" s="1"/>
  <c r="AB128" i="4" a="1"/>
  <c r="AB128" i="4" s="1"/>
  <c r="AB129" i="4" a="1"/>
  <c r="AB129" i="4" s="1"/>
  <c r="AB130" i="4" a="1"/>
  <c r="AB130" i="4" s="1"/>
  <c r="AB131" i="4" a="1"/>
  <c r="AB131" i="4" s="1"/>
  <c r="AB132" i="4" a="1"/>
  <c r="AB132" i="4" s="1"/>
  <c r="AB133" i="4" a="1"/>
  <c r="AB133" i="4" s="1"/>
  <c r="AB134" i="4" a="1"/>
  <c r="AB134" i="4" s="1"/>
  <c r="AB135" i="4" a="1"/>
  <c r="AB135" i="4" s="1"/>
  <c r="AB136" i="4" a="1"/>
  <c r="AB136" i="4" s="1"/>
  <c r="AB137" i="4" a="1"/>
  <c r="AB137" i="4" s="1"/>
  <c r="AB138" i="4" a="1"/>
  <c r="AB138" i="4" s="1"/>
  <c r="AB139" i="4" a="1"/>
  <c r="AB139" i="4" s="1"/>
  <c r="AB140" i="4" a="1"/>
  <c r="AB140" i="4" s="1"/>
  <c r="AB141" i="4" a="1"/>
  <c r="AB141" i="4" s="1"/>
  <c r="AB142" i="4" a="1"/>
  <c r="AB142" i="4" s="1"/>
  <c r="AB143" i="4" a="1"/>
  <c r="AB143" i="4" s="1"/>
  <c r="AB144" i="4" a="1"/>
  <c r="AB144" i="4" s="1"/>
  <c r="AB145" i="4" a="1"/>
  <c r="AB145" i="4" s="1"/>
  <c r="AB146" i="4" a="1"/>
  <c r="AB146" i="4" s="1"/>
  <c r="AB147" i="4" a="1"/>
  <c r="AB147" i="4" s="1"/>
  <c r="AB148" i="4" a="1"/>
  <c r="AB148" i="4" s="1"/>
  <c r="AB149" i="4" a="1"/>
  <c r="AB149" i="4" s="1"/>
  <c r="AB150" i="4" a="1"/>
  <c r="AB150" i="4" s="1"/>
  <c r="AB151" i="4" a="1"/>
  <c r="AB151" i="4" s="1"/>
  <c r="AB152" i="4" a="1"/>
  <c r="AB152" i="4" s="1"/>
  <c r="AB153" i="4" a="1"/>
  <c r="AB153" i="4" s="1"/>
  <c r="AB154" i="4" a="1"/>
  <c r="AB154" i="4" s="1"/>
  <c r="AB155" i="4" a="1"/>
  <c r="AB155" i="4" s="1"/>
  <c r="AB156" i="4" a="1"/>
  <c r="AB156" i="4" s="1"/>
  <c r="AB157" i="4" a="1"/>
  <c r="AB157" i="4" s="1"/>
  <c r="AB158" i="4" a="1"/>
  <c r="AB158" i="4" s="1"/>
  <c r="AB159" i="4" a="1"/>
  <c r="AB159" i="4" s="1"/>
  <c r="AB160" i="4" a="1"/>
  <c r="AB160" i="4" s="1"/>
  <c r="AB161" i="4" a="1"/>
  <c r="AB161" i="4" s="1"/>
  <c r="AB162" i="4" a="1"/>
  <c r="AB162" i="4" s="1"/>
  <c r="AB163" i="4" a="1"/>
  <c r="AB163" i="4" s="1"/>
  <c r="AB164" i="4" a="1"/>
  <c r="AB164" i="4" s="1"/>
  <c r="AB165" i="4" a="1"/>
  <c r="AB165" i="4" s="1"/>
  <c r="AB166" i="4" a="1"/>
  <c r="AB166" i="4" s="1"/>
  <c r="AB167" i="4" a="1"/>
  <c r="AB167" i="4" s="1"/>
  <c r="AB168" i="4" a="1"/>
  <c r="AB168" i="4" s="1"/>
  <c r="AB169" i="4" a="1"/>
  <c r="AB169" i="4" s="1"/>
  <c r="AB170" i="4" a="1"/>
  <c r="AB170" i="4" s="1"/>
  <c r="AB171" i="4" a="1"/>
  <c r="AB171" i="4" s="1"/>
  <c r="AB172" i="4" a="1"/>
  <c r="AB172" i="4" s="1"/>
  <c r="AB173" i="4" a="1"/>
  <c r="AB173" i="4" s="1"/>
  <c r="AB174" i="4" a="1"/>
  <c r="AB174" i="4" s="1"/>
  <c r="AB175" i="4" a="1"/>
  <c r="AB175" i="4" s="1"/>
  <c r="AB176" i="4" a="1"/>
  <c r="AB176" i="4" s="1"/>
  <c r="AB177" i="4" a="1"/>
  <c r="AB177" i="4" s="1"/>
  <c r="AB178" i="4" a="1"/>
  <c r="AB178" i="4" s="1"/>
  <c r="AB179" i="4" a="1"/>
  <c r="AB179" i="4" s="1"/>
  <c r="AB180" i="4" a="1"/>
  <c r="AB180" i="4" s="1"/>
  <c r="AB181" i="4" a="1"/>
  <c r="AB181" i="4" s="1"/>
  <c r="AB182" i="4" a="1"/>
  <c r="AB182" i="4" s="1"/>
  <c r="AB183" i="4" a="1"/>
  <c r="AB183" i="4" s="1"/>
  <c r="AB184" i="4" a="1"/>
  <c r="AB184" i="4" s="1"/>
  <c r="AB185" i="4" a="1"/>
  <c r="AB185" i="4" s="1"/>
  <c r="AB186" i="4" a="1"/>
  <c r="AB186" i="4" s="1"/>
  <c r="AB187" i="4" a="1"/>
  <c r="AB187" i="4" s="1"/>
  <c r="AB188" i="4" a="1"/>
  <c r="AB188" i="4" s="1"/>
  <c r="AB189" i="4" a="1"/>
  <c r="AB189" i="4" s="1"/>
  <c r="AB190" i="4" a="1"/>
  <c r="AB190" i="4" s="1"/>
  <c r="AB191" i="4" a="1"/>
  <c r="AB191" i="4" s="1"/>
  <c r="AB192" i="4" a="1"/>
  <c r="AB192" i="4" s="1"/>
  <c r="AB193" i="4" a="1"/>
  <c r="AB193" i="4" s="1"/>
  <c r="AB194" i="4" a="1"/>
  <c r="AB194" i="4" s="1"/>
  <c r="AB195" i="4" a="1"/>
  <c r="AB195" i="4" s="1"/>
  <c r="AB196" i="4" a="1"/>
  <c r="AB196" i="4" s="1"/>
  <c r="AB197" i="4" a="1"/>
  <c r="AB197" i="4" s="1"/>
  <c r="AB198" i="4" a="1"/>
  <c r="AB198" i="4" s="1"/>
  <c r="AB199" i="4" a="1"/>
  <c r="AB199" i="4" s="1"/>
  <c r="AB200" i="4" a="1"/>
  <c r="AB200" i="4" s="1"/>
  <c r="AB201" i="4" a="1"/>
  <c r="AB201" i="4" s="1"/>
  <c r="AB202" i="4" a="1"/>
  <c r="AB202" i="4" s="1"/>
  <c r="AB203" i="4" a="1"/>
  <c r="AB203" i="4" s="1"/>
  <c r="AB204" i="4" a="1"/>
  <c r="AB204" i="4" s="1"/>
  <c r="AB205" i="4" a="1"/>
  <c r="AB205" i="4" s="1"/>
  <c r="AB206" i="4" a="1"/>
  <c r="AB206" i="4" s="1"/>
  <c r="AB207" i="4" a="1"/>
  <c r="AB207" i="4" s="1"/>
  <c r="AB208" i="4" a="1"/>
  <c r="AB208" i="4" s="1"/>
  <c r="AB209" i="4" a="1"/>
  <c r="AB209" i="4" s="1"/>
  <c r="AB210" i="4" a="1"/>
  <c r="AB210" i="4" s="1"/>
  <c r="AB211" i="4" a="1"/>
  <c r="AB211" i="4" s="1"/>
  <c r="AB212" i="4" a="1"/>
  <c r="AB212" i="4" s="1"/>
  <c r="AB213" i="4" a="1"/>
  <c r="AB213" i="4" s="1"/>
  <c r="AB214" i="4" a="1"/>
  <c r="AB214" i="4" s="1"/>
  <c r="AB215" i="4" a="1"/>
  <c r="AB215" i="4" s="1"/>
  <c r="AB216" i="4" a="1"/>
  <c r="AB216" i="4" s="1"/>
  <c r="AB217" i="4" a="1"/>
  <c r="AB217" i="4" s="1"/>
  <c r="AB218" i="4" a="1"/>
  <c r="AB218" i="4" s="1"/>
  <c r="AB219" i="4" a="1"/>
  <c r="AB219" i="4" s="1"/>
  <c r="AB220" i="4" a="1"/>
  <c r="AB220" i="4" s="1"/>
  <c r="AB221" i="4" a="1"/>
  <c r="AB221" i="4" s="1"/>
  <c r="AB222" i="4" a="1"/>
  <c r="AB222" i="4" s="1"/>
  <c r="AB223" i="4" a="1"/>
  <c r="AB223" i="4" s="1"/>
  <c r="AB224" i="4" a="1"/>
  <c r="AB224" i="4" s="1"/>
  <c r="AB225" i="4" a="1"/>
  <c r="AB225" i="4" s="1"/>
  <c r="AB226" i="4" a="1"/>
  <c r="AB226" i="4" s="1"/>
  <c r="AB227" i="4" a="1"/>
  <c r="AB227" i="4" s="1"/>
  <c r="AB228" i="4" a="1"/>
  <c r="AB228" i="4" s="1"/>
  <c r="AB229" i="4" a="1"/>
  <c r="AB229" i="4" s="1"/>
  <c r="AB230" i="4" a="1"/>
  <c r="AB230" i="4" s="1"/>
  <c r="AB231" i="4" a="1"/>
  <c r="AB231" i="4" s="1"/>
  <c r="AB232" i="4" a="1"/>
  <c r="AB232" i="4" s="1"/>
  <c r="AB233" i="4" a="1"/>
  <c r="AB233" i="4" s="1"/>
  <c r="AB234" i="4" a="1"/>
  <c r="AB234" i="4" s="1"/>
  <c r="AB235" i="4" a="1"/>
  <c r="AB235" i="4" s="1"/>
  <c r="AB236" i="4" a="1"/>
  <c r="AB236" i="4" s="1"/>
  <c r="AB237" i="4" a="1"/>
  <c r="AB237" i="4" s="1"/>
  <c r="AB238" i="4" a="1"/>
  <c r="AB238" i="4" s="1"/>
  <c r="AB239" i="4" a="1"/>
  <c r="AB239" i="4" s="1"/>
  <c r="AB240" i="4" a="1"/>
  <c r="AB240" i="4" s="1"/>
  <c r="AB241" i="4" a="1"/>
  <c r="AB241" i="4" s="1"/>
  <c r="AB242" i="4" a="1"/>
  <c r="AB242" i="4" s="1"/>
  <c r="AB243" i="4" a="1"/>
  <c r="AB243" i="4" s="1"/>
  <c r="AB244" i="4" a="1"/>
  <c r="AB244" i="4" s="1"/>
  <c r="AB245" i="4" a="1"/>
  <c r="AB245" i="4" s="1"/>
  <c r="AB246" i="4" a="1"/>
  <c r="AB246" i="4" s="1"/>
  <c r="AB247" i="4" a="1"/>
  <c r="AB247" i="4" s="1"/>
  <c r="AB248" i="4" a="1"/>
  <c r="AB248" i="4" s="1"/>
  <c r="AB249" i="4" a="1"/>
  <c r="AB249" i="4" s="1"/>
  <c r="AB250" i="4" a="1"/>
  <c r="AB250" i="4" s="1"/>
  <c r="AB251" i="4" a="1"/>
  <c r="AB251" i="4" s="1"/>
  <c r="AB252" i="4" a="1"/>
  <c r="AB252" i="4" s="1"/>
  <c r="AB253" i="4" a="1"/>
  <c r="AB253" i="4" s="1"/>
  <c r="AB254" i="4" a="1"/>
  <c r="AB254" i="4" s="1"/>
  <c r="AB255" i="4" a="1"/>
  <c r="AB255" i="4" s="1"/>
  <c r="AB256" i="4" a="1"/>
  <c r="AB256" i="4" s="1"/>
  <c r="AB257" i="4" a="1"/>
  <c r="AB257" i="4" s="1"/>
  <c r="AB258" i="4" a="1"/>
  <c r="AB258" i="4" s="1"/>
  <c r="AB259" i="4" a="1"/>
  <c r="AB259" i="4" s="1"/>
  <c r="AB260" i="4" a="1"/>
  <c r="AB260" i="4" s="1"/>
  <c r="AB261" i="4" a="1"/>
  <c r="AB261" i="4" s="1"/>
  <c r="AB262" i="4" a="1"/>
  <c r="AB262" i="4" s="1"/>
  <c r="AB263" i="4" a="1"/>
  <c r="AB263" i="4" s="1"/>
  <c r="AB264" i="4" a="1"/>
  <c r="AB264" i="4" s="1"/>
  <c r="AB265" i="4" a="1"/>
  <c r="AB265" i="4" s="1"/>
  <c r="AB266" i="4" a="1"/>
  <c r="AB266" i="4" s="1"/>
  <c r="AB267" i="4" a="1"/>
  <c r="AB267" i="4" s="1"/>
  <c r="AB268" i="4" a="1"/>
  <c r="AB268" i="4" s="1"/>
  <c r="AB269" i="4" a="1"/>
  <c r="AB269" i="4" s="1"/>
  <c r="AB270" i="4" a="1"/>
  <c r="AB270" i="4" s="1"/>
  <c r="AB271" i="4" a="1"/>
  <c r="AB271" i="4" s="1"/>
  <c r="AB272" i="4" a="1"/>
  <c r="AB272" i="4" s="1"/>
  <c r="AB273" i="4" a="1"/>
  <c r="AB273" i="4" s="1"/>
  <c r="AB274" i="4" a="1"/>
  <c r="AB274" i="4" s="1"/>
  <c r="AB275" i="4" a="1"/>
  <c r="AB275" i="4" s="1"/>
  <c r="AB276" i="4" a="1"/>
  <c r="AB276" i="4" s="1"/>
  <c r="AB277" i="4" a="1"/>
  <c r="AB277" i="4" s="1"/>
  <c r="AB278" i="4" a="1"/>
  <c r="AB278" i="4" s="1"/>
  <c r="AB279" i="4" a="1"/>
  <c r="AB279" i="4" s="1"/>
  <c r="AB280" i="4" a="1"/>
  <c r="AB280" i="4" s="1"/>
  <c r="AB281" i="4" a="1"/>
  <c r="AB281" i="4" s="1"/>
  <c r="AB282" i="4" a="1"/>
  <c r="AB282" i="4" s="1"/>
  <c r="AB283" i="4" a="1"/>
  <c r="AB283" i="4" s="1"/>
  <c r="AB284" i="4" a="1"/>
  <c r="AB284" i="4" s="1"/>
  <c r="AB285" i="4" a="1"/>
  <c r="AB285" i="4" s="1"/>
  <c r="AB286" i="4" a="1"/>
  <c r="AB286" i="4" s="1"/>
  <c r="AB287" i="4" a="1"/>
  <c r="AB287" i="4" s="1"/>
  <c r="AB288" i="4" a="1"/>
  <c r="AB288" i="4" s="1"/>
  <c r="AB289" i="4" a="1"/>
  <c r="AB289" i="4" s="1"/>
  <c r="AB290" i="4" a="1"/>
  <c r="AB290" i="4" s="1"/>
  <c r="AB291" i="4" a="1"/>
  <c r="AB291" i="4" s="1"/>
  <c r="AB292" i="4" a="1"/>
  <c r="AB292" i="4" s="1"/>
  <c r="AB293" i="4" a="1"/>
  <c r="AB293" i="4" s="1"/>
  <c r="AB294" i="4" a="1"/>
  <c r="AB294" i="4" s="1"/>
  <c r="AB295" i="4" a="1"/>
  <c r="AB295" i="4" s="1"/>
  <c r="AB296" i="4" a="1"/>
  <c r="AB296" i="4" s="1"/>
  <c r="AB297" i="4" a="1"/>
  <c r="AB297" i="4" s="1"/>
  <c r="AB298" i="4" a="1"/>
  <c r="AB298" i="4" s="1"/>
  <c r="AB299" i="4" a="1"/>
  <c r="AB299" i="4" s="1"/>
  <c r="AB300" i="4" a="1"/>
  <c r="AB300" i="4" s="1"/>
  <c r="AB301" i="4" a="1"/>
  <c r="AB301" i="4" s="1"/>
  <c r="AB302" i="4" a="1"/>
  <c r="AB302" i="4" s="1"/>
  <c r="AB303" i="4" a="1"/>
  <c r="AB303" i="4" s="1"/>
  <c r="AB304" i="4" a="1"/>
  <c r="AB304" i="4" s="1"/>
  <c r="AB305" i="4" a="1"/>
  <c r="AB305" i="4" s="1"/>
  <c r="AB306" i="4" a="1"/>
  <c r="AB306" i="4" s="1"/>
  <c r="AB307" i="4" a="1"/>
  <c r="AB307" i="4" s="1"/>
  <c r="AB308" i="4" a="1"/>
  <c r="AB308" i="4" s="1"/>
  <c r="AB309" i="4" a="1"/>
  <c r="AB309" i="4" s="1"/>
  <c r="AB310" i="4" a="1"/>
  <c r="AB310" i="4" s="1"/>
  <c r="AB311" i="4" a="1"/>
  <c r="AB311" i="4" s="1"/>
  <c r="AB312" i="4" a="1"/>
  <c r="AB312" i="4" s="1"/>
  <c r="AB313" i="4" a="1"/>
  <c r="AB313" i="4" s="1"/>
  <c r="AB314" i="4" a="1"/>
  <c r="AB314" i="4" s="1"/>
  <c r="AB315" i="4" a="1"/>
  <c r="AB315" i="4" s="1"/>
  <c r="AB316" i="4" a="1"/>
  <c r="AB316" i="4" s="1"/>
  <c r="AB317" i="4" a="1"/>
  <c r="AB317" i="4" s="1"/>
  <c r="AB318" i="4" a="1"/>
  <c r="AB318" i="4" s="1"/>
  <c r="AB319" i="4" a="1"/>
  <c r="AB319" i="4" s="1"/>
  <c r="AB320" i="4" a="1"/>
  <c r="AB320" i="4" s="1"/>
  <c r="AB321" i="4" a="1"/>
  <c r="AB321" i="4" s="1"/>
  <c r="AB322" i="4" a="1"/>
  <c r="AB322" i="4" s="1"/>
  <c r="AB323" i="4" a="1"/>
  <c r="AB323" i="4" s="1"/>
  <c r="AB324" i="4" a="1"/>
  <c r="AB324" i="4" s="1"/>
  <c r="AB325" i="4" a="1"/>
  <c r="AB325" i="4" s="1"/>
  <c r="AB326" i="4" a="1"/>
  <c r="AB326" i="4" s="1"/>
  <c r="AB327" i="4" a="1"/>
  <c r="AB327" i="4" s="1"/>
  <c r="AB328" i="4" a="1"/>
  <c r="AB328" i="4" s="1"/>
  <c r="AB329" i="4" a="1"/>
  <c r="AB329" i="4" s="1"/>
  <c r="AB330" i="4" a="1"/>
  <c r="AB330" i="4" s="1"/>
  <c r="AB331" i="4" a="1"/>
  <c r="AB331" i="4" s="1"/>
  <c r="AB332" i="4" a="1"/>
  <c r="AB332" i="4" s="1"/>
  <c r="AB333" i="4" a="1"/>
  <c r="AB333" i="4" s="1"/>
  <c r="AB334" i="4" a="1"/>
  <c r="AB334" i="4" s="1"/>
  <c r="AB335" i="4" a="1"/>
  <c r="AB335" i="4" s="1"/>
  <c r="AB336" i="4" a="1"/>
  <c r="AB336" i="4" s="1"/>
  <c r="AB337" i="4" a="1"/>
  <c r="AB337" i="4" s="1"/>
  <c r="AB338" i="4" a="1"/>
  <c r="AB338" i="4" s="1"/>
  <c r="AB339" i="4" a="1"/>
  <c r="AB339" i="4" s="1"/>
  <c r="AB340" i="4" a="1"/>
  <c r="AB340" i="4" s="1"/>
  <c r="AB341" i="4" a="1"/>
  <c r="AB341" i="4" s="1"/>
  <c r="AB342" i="4" a="1"/>
  <c r="AB342" i="4" s="1"/>
  <c r="AB343" i="4" a="1"/>
  <c r="AB343" i="4" s="1"/>
  <c r="AB344" i="4" a="1"/>
  <c r="AB344" i="4" s="1"/>
  <c r="AB345" i="4" a="1"/>
  <c r="AB345" i="4" s="1"/>
  <c r="AB346" i="4" a="1"/>
  <c r="AB346" i="4" s="1"/>
  <c r="AB347" i="4" a="1"/>
  <c r="AB347" i="4" s="1"/>
  <c r="AB348" i="4" a="1"/>
  <c r="AB348" i="4" s="1"/>
  <c r="AB349" i="4" a="1"/>
  <c r="AB349" i="4" s="1"/>
  <c r="AB350" i="4" a="1"/>
  <c r="AB350" i="4" s="1"/>
  <c r="AB351" i="4" a="1"/>
  <c r="AB351" i="4" s="1"/>
  <c r="AB352" i="4" a="1"/>
  <c r="AB352" i="4" s="1"/>
  <c r="AB353" i="4" a="1"/>
  <c r="AB353" i="4" s="1"/>
  <c r="AB354" i="4" a="1"/>
  <c r="AB354" i="4" s="1"/>
  <c r="AB355" i="4" a="1"/>
  <c r="AB355" i="4" s="1"/>
  <c r="AB356" i="4" a="1"/>
  <c r="AB356" i="4" s="1"/>
  <c r="AB357" i="4" a="1"/>
  <c r="AB357" i="4" s="1"/>
  <c r="AB358" i="4" a="1"/>
  <c r="AB358" i="4" s="1"/>
  <c r="AB359" i="4" a="1"/>
  <c r="AB359" i="4" s="1"/>
  <c r="AB360" i="4" a="1"/>
  <c r="AB360" i="4" s="1"/>
  <c r="AB361" i="4" a="1"/>
  <c r="AB361" i="4" s="1"/>
  <c r="AB362" i="4" a="1"/>
  <c r="AB362" i="4" s="1"/>
  <c r="AB363" i="4" a="1"/>
  <c r="AB363" i="4" s="1"/>
  <c r="AB364" i="4" a="1"/>
  <c r="AB364" i="4" s="1"/>
  <c r="AB365" i="4" a="1"/>
  <c r="AB365" i="4" s="1"/>
  <c r="AB366" i="4" a="1"/>
  <c r="AB366" i="4" s="1"/>
  <c r="AB367" i="4" a="1"/>
  <c r="AB367" i="4" s="1"/>
  <c r="AB368" i="4" a="1"/>
  <c r="AB368" i="4" s="1"/>
  <c r="AB369" i="4" a="1"/>
  <c r="AB369" i="4" s="1"/>
  <c r="AB370" i="4" a="1"/>
  <c r="AB370" i="4" s="1"/>
  <c r="AB371" i="4" a="1"/>
  <c r="AB371" i="4" s="1"/>
  <c r="AB372" i="4" a="1"/>
  <c r="AB372" i="4" s="1"/>
  <c r="AB373" i="4" a="1"/>
  <c r="AB373" i="4" s="1"/>
  <c r="AB374" i="4" a="1"/>
  <c r="AB374" i="4" s="1"/>
  <c r="AB375" i="4" a="1"/>
  <c r="AB375" i="4" s="1"/>
  <c r="AB376" i="4" a="1"/>
  <c r="AB376" i="4" s="1"/>
  <c r="AB377" i="4" a="1"/>
  <c r="AB377" i="4" s="1"/>
  <c r="AB378" i="4" a="1"/>
  <c r="AB378" i="4" s="1"/>
  <c r="AB379" i="4" a="1"/>
  <c r="AB379" i="4" s="1"/>
  <c r="AB380" i="4" a="1"/>
  <c r="AB380" i="4" s="1"/>
  <c r="AB381" i="4" a="1"/>
  <c r="AB381" i="4" s="1"/>
  <c r="AB382" i="4" a="1"/>
  <c r="AB382" i="4" s="1"/>
  <c r="AB383" i="4" a="1"/>
  <c r="AB383" i="4" s="1"/>
  <c r="AB384" i="4" a="1"/>
  <c r="AB384" i="4" s="1"/>
  <c r="AB385" i="4" a="1"/>
  <c r="AB385" i="4" s="1"/>
  <c r="AB386" i="4" a="1"/>
  <c r="AB386" i="4" s="1"/>
  <c r="AB387" i="4" a="1"/>
  <c r="AB387" i="4" s="1"/>
  <c r="AB388" i="4" a="1"/>
  <c r="AB388" i="4" s="1"/>
  <c r="AB389" i="4" a="1"/>
  <c r="AB389" i="4" s="1"/>
  <c r="AB390" i="4" a="1"/>
  <c r="AB390" i="4" s="1"/>
  <c r="AB391" i="4" a="1"/>
  <c r="AB391" i="4" s="1"/>
  <c r="AB392" i="4" a="1"/>
  <c r="AB392" i="4" s="1"/>
  <c r="AB393" i="4" a="1"/>
  <c r="AB393" i="4" s="1"/>
  <c r="AB394" i="4" a="1"/>
  <c r="AB394" i="4" s="1"/>
  <c r="AB395" i="4" a="1"/>
  <c r="AB395" i="4" s="1"/>
  <c r="AB396" i="4" a="1"/>
  <c r="AB396" i="4" s="1"/>
  <c r="AB397" i="4" a="1"/>
  <c r="AB397" i="4" s="1"/>
  <c r="AB398" i="4" a="1"/>
  <c r="AB398" i="4" s="1"/>
  <c r="AB399" i="4" a="1"/>
  <c r="AB399" i="4" s="1"/>
  <c r="AB400" i="4" a="1"/>
  <c r="AB400" i="4" s="1"/>
  <c r="AB401" i="4" a="1"/>
  <c r="AB401" i="4" s="1"/>
  <c r="AB402" i="4" a="1"/>
  <c r="AB402" i="4" s="1"/>
  <c r="AB403" i="4" a="1"/>
  <c r="AB403" i="4" s="1"/>
  <c r="AB404" i="4" a="1"/>
  <c r="AB404" i="4" s="1"/>
  <c r="AB405" i="4" a="1"/>
  <c r="AB405" i="4" s="1"/>
  <c r="AB406" i="4" a="1"/>
  <c r="AB406" i="4" s="1"/>
  <c r="AB407" i="4" a="1"/>
  <c r="AB407" i="4" s="1"/>
  <c r="AB408" i="4" a="1"/>
  <c r="AB408" i="4" s="1"/>
  <c r="AB409" i="4" a="1"/>
  <c r="AB409" i="4" s="1"/>
  <c r="AB410" i="4" a="1"/>
  <c r="AB410" i="4" s="1"/>
  <c r="AB411" i="4" a="1"/>
  <c r="AB411" i="4" s="1"/>
  <c r="AB412" i="4" a="1"/>
  <c r="AB412" i="4" s="1"/>
  <c r="AB413" i="4" a="1"/>
  <c r="AB413" i="4" s="1"/>
  <c r="AB414" i="4" a="1"/>
  <c r="AB414" i="4" s="1"/>
  <c r="AB415" i="4" a="1"/>
  <c r="AB415" i="4" s="1"/>
  <c r="AB416" i="4" a="1"/>
  <c r="AB416" i="4" s="1"/>
  <c r="AB417" i="4" a="1"/>
  <c r="AB417" i="4" s="1"/>
  <c r="AB418" i="4" a="1"/>
  <c r="AB418" i="4" s="1"/>
  <c r="AB419" i="4" a="1"/>
  <c r="AB419" i="4" s="1"/>
  <c r="AB420" i="4" a="1"/>
  <c r="AB420" i="4" s="1"/>
  <c r="AB421" i="4" a="1"/>
  <c r="AB421" i="4" s="1"/>
  <c r="AB422" i="4" a="1"/>
  <c r="AB422" i="4" s="1"/>
  <c r="AB423" i="4" a="1"/>
  <c r="AB423" i="4" s="1"/>
  <c r="AB424" i="4" a="1"/>
  <c r="AB424" i="4" s="1"/>
  <c r="AB425" i="4" a="1"/>
  <c r="AB425" i="4" s="1"/>
  <c r="AB426" i="4" a="1"/>
  <c r="AB426" i="4" s="1"/>
  <c r="AB427" i="4" a="1"/>
  <c r="AB427" i="4" s="1"/>
  <c r="AB428" i="4" a="1"/>
  <c r="AB428" i="4" s="1"/>
  <c r="AB429" i="4" a="1"/>
  <c r="AB429" i="4" s="1"/>
  <c r="AB430" i="4" a="1"/>
  <c r="AB430" i="4" s="1"/>
  <c r="AB431" i="4" a="1"/>
  <c r="AB431" i="4" s="1"/>
  <c r="AB432" i="4" a="1"/>
  <c r="AB432" i="4" s="1"/>
  <c r="AB433" i="4" a="1"/>
  <c r="AB433" i="4" s="1"/>
  <c r="AB434" i="4" a="1"/>
  <c r="AB434" i="4" s="1"/>
  <c r="AB435" i="4" a="1"/>
  <c r="AB435" i="4" s="1"/>
  <c r="AB436" i="4" a="1"/>
  <c r="AB436" i="4" s="1"/>
  <c r="AB437" i="4" a="1"/>
  <c r="AB437" i="4" s="1"/>
  <c r="AB438" i="4" a="1"/>
  <c r="AB438" i="4" s="1"/>
  <c r="AB439" i="4" a="1"/>
  <c r="AB439" i="4" s="1"/>
  <c r="AB440" i="4" a="1"/>
  <c r="AB440" i="4" s="1"/>
  <c r="AB441" i="4" a="1"/>
  <c r="AB441" i="4" s="1"/>
  <c r="AB442" i="4" a="1"/>
  <c r="AB442" i="4" s="1"/>
  <c r="AB443" i="4" a="1"/>
  <c r="AB443" i="4" s="1"/>
  <c r="AB444" i="4" a="1"/>
  <c r="AB444" i="4" s="1"/>
  <c r="AB445" i="4" a="1"/>
  <c r="AB445" i="4" s="1"/>
  <c r="AB446" i="4" a="1"/>
  <c r="AB446" i="4" s="1"/>
  <c r="AB447" i="4" a="1"/>
  <c r="AB447" i="4" s="1"/>
  <c r="AB448" i="4" a="1"/>
  <c r="AB448" i="4" s="1"/>
  <c r="AB449" i="4" a="1"/>
  <c r="AB449" i="4" s="1"/>
  <c r="AB450" i="4" a="1"/>
  <c r="AB450" i="4" s="1"/>
  <c r="AB451" i="4" a="1"/>
  <c r="AB451" i="4" s="1"/>
  <c r="AB452" i="4" a="1"/>
  <c r="AB452" i="4" s="1"/>
  <c r="AB453" i="4" a="1"/>
  <c r="AB453" i="4" s="1"/>
  <c r="AB454" i="4" a="1"/>
  <c r="AB454" i="4" s="1"/>
  <c r="AB455" i="4" a="1"/>
  <c r="AB455" i="4" s="1"/>
  <c r="AB456" i="4" a="1"/>
  <c r="AB456" i="4" s="1"/>
  <c r="AB457" i="4" a="1"/>
  <c r="AB457" i="4" s="1"/>
  <c r="AB458" i="4" a="1"/>
  <c r="AB458" i="4" s="1"/>
  <c r="AB459" i="4" a="1"/>
  <c r="AB459" i="4" s="1"/>
  <c r="AB460" i="4" a="1"/>
  <c r="AB460" i="4" s="1"/>
  <c r="AB461" i="4" a="1"/>
  <c r="AB461" i="4" s="1"/>
  <c r="AB462" i="4" a="1"/>
  <c r="AB462" i="4" s="1"/>
  <c r="AB463" i="4" a="1"/>
  <c r="AB463" i="4" s="1"/>
  <c r="AB464" i="4" a="1"/>
  <c r="AB464" i="4" s="1"/>
  <c r="AB465" i="4" a="1"/>
  <c r="AB465" i="4" s="1"/>
  <c r="AB466" i="4" a="1"/>
  <c r="AB466" i="4" s="1"/>
  <c r="AB467" i="4" a="1"/>
  <c r="AB467" i="4" s="1"/>
  <c r="AB468" i="4" a="1"/>
  <c r="AB468" i="4" s="1"/>
  <c r="AB469" i="4" a="1"/>
  <c r="AB469" i="4" s="1"/>
  <c r="AB470" i="4" a="1"/>
  <c r="AB470" i="4" s="1"/>
  <c r="AB471" i="4" a="1"/>
  <c r="AB471" i="4" s="1"/>
  <c r="AB472" i="4" a="1"/>
  <c r="AB472" i="4" s="1"/>
  <c r="AB473" i="4" a="1"/>
  <c r="AB473" i="4" s="1"/>
  <c r="AB474" i="4" a="1"/>
  <c r="AB474" i="4" s="1"/>
  <c r="AB475" i="4" a="1"/>
  <c r="AB475" i="4" s="1"/>
  <c r="AB476" i="4" a="1"/>
  <c r="AB476" i="4" s="1"/>
  <c r="AB477" i="4" a="1"/>
  <c r="AB477" i="4" s="1"/>
  <c r="AB478" i="4" a="1"/>
  <c r="AB478" i="4" s="1"/>
  <c r="AB479" i="4" a="1"/>
  <c r="AB479" i="4" s="1"/>
  <c r="AB480" i="4" a="1"/>
  <c r="AB480" i="4" s="1"/>
  <c r="AB481" i="4" a="1"/>
  <c r="AB481" i="4" s="1"/>
  <c r="AB482" i="4" a="1"/>
  <c r="AB482" i="4" s="1"/>
  <c r="AB483" i="4" a="1"/>
  <c r="AB483" i="4" s="1"/>
  <c r="AB484" i="4" a="1"/>
  <c r="AB484" i="4" s="1"/>
  <c r="AB485" i="4" a="1"/>
  <c r="AB485" i="4" s="1"/>
  <c r="AB486" i="4" a="1"/>
  <c r="AB486" i="4" s="1"/>
  <c r="AB487" i="4" a="1"/>
  <c r="AB487" i="4" s="1"/>
  <c r="AB488" i="4" a="1"/>
  <c r="AB488" i="4" s="1"/>
  <c r="AB489" i="4" a="1"/>
  <c r="AB489" i="4" s="1"/>
  <c r="AB490" i="4" a="1"/>
  <c r="AB490" i="4" s="1"/>
  <c r="AB491" i="4" a="1"/>
  <c r="AB491" i="4" s="1"/>
  <c r="AB492" i="4" a="1"/>
  <c r="AB492" i="4" s="1"/>
  <c r="AB493" i="4" a="1"/>
  <c r="AB493" i="4" s="1"/>
  <c r="AB494" i="4" a="1"/>
  <c r="AB494" i="4" s="1"/>
  <c r="J5" i="4" l="1"/>
  <c r="E26" i="4"/>
  <c r="E27" i="4"/>
  <c r="C22" i="4"/>
  <c r="E28" i="4" s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K5" i="4" l="1"/>
  <c r="J2" i="4" s="1"/>
  <c r="Y579" i="1" a="1"/>
  <c r="Y579" i="1" s="1"/>
  <c r="X579" i="1" a="1"/>
  <c r="X579" i="1" s="1"/>
  <c r="W579" i="1" a="1"/>
  <c r="W579" i="1" s="1"/>
  <c r="V579" i="1" a="1"/>
  <c r="V579" i="1" s="1"/>
  <c r="U579" i="1" a="1"/>
  <c r="U579" i="1" s="1"/>
  <c r="T579" i="1" a="1"/>
  <c r="T579" i="1" s="1"/>
  <c r="S579" i="1"/>
  <c r="Y578" i="1" a="1"/>
  <c r="Y578" i="1" s="1"/>
  <c r="X578" i="1" a="1"/>
  <c r="X578" i="1" s="1"/>
  <c r="W578" i="1" a="1"/>
  <c r="W578" i="1" s="1"/>
  <c r="V578" i="1" a="1"/>
  <c r="V578" i="1" s="1"/>
  <c r="U578" i="1" a="1"/>
  <c r="U578" i="1" s="1"/>
  <c r="T578" i="1" a="1"/>
  <c r="T578" i="1" s="1"/>
  <c r="S578" i="1"/>
  <c r="Y577" i="1" a="1"/>
  <c r="Y577" i="1" s="1"/>
  <c r="X577" i="1" a="1"/>
  <c r="X577" i="1" s="1"/>
  <c r="W577" i="1" a="1"/>
  <c r="W577" i="1" s="1"/>
  <c r="V577" i="1" a="1"/>
  <c r="V577" i="1" s="1"/>
  <c r="U577" i="1" a="1"/>
  <c r="U577" i="1" s="1"/>
  <c r="T577" i="1" a="1"/>
  <c r="T577" i="1" s="1"/>
  <c r="S577" i="1"/>
  <c r="Y576" i="1" a="1"/>
  <c r="Y576" i="1" s="1"/>
  <c r="X576" i="1" a="1"/>
  <c r="X576" i="1" s="1"/>
  <c r="W576" i="1" a="1"/>
  <c r="W576" i="1" s="1"/>
  <c r="V576" i="1" a="1"/>
  <c r="V576" i="1" s="1"/>
  <c r="U576" i="1" a="1"/>
  <c r="U576" i="1" s="1"/>
  <c r="T576" i="1" a="1"/>
  <c r="T576" i="1" s="1"/>
  <c r="S576" i="1"/>
  <c r="Y575" i="1" a="1"/>
  <c r="Y575" i="1" s="1"/>
  <c r="X575" i="1" a="1"/>
  <c r="X575" i="1" s="1"/>
  <c r="W575" i="1" a="1"/>
  <c r="W575" i="1" s="1"/>
  <c r="V575" i="1" a="1"/>
  <c r="V575" i="1" s="1"/>
  <c r="U575" i="1" a="1"/>
  <c r="U575" i="1" s="1"/>
  <c r="T575" i="1" a="1"/>
  <c r="T575" i="1" s="1"/>
  <c r="S575" i="1"/>
  <c r="Y574" i="1" a="1"/>
  <c r="Y574" i="1" s="1"/>
  <c r="X574" i="1" a="1"/>
  <c r="X574" i="1" s="1"/>
  <c r="W574" i="1" a="1"/>
  <c r="W574" i="1" s="1"/>
  <c r="V574" i="1" a="1"/>
  <c r="V574" i="1" s="1"/>
  <c r="U574" i="1" a="1"/>
  <c r="U574" i="1" s="1"/>
  <c r="T574" i="1" a="1"/>
  <c r="T574" i="1" s="1"/>
  <c r="S574" i="1"/>
  <c r="Y573" i="1" a="1"/>
  <c r="Y573" i="1" s="1"/>
  <c r="X573" i="1" a="1"/>
  <c r="X573" i="1" s="1"/>
  <c r="W573" i="1" a="1"/>
  <c r="W573" i="1" s="1"/>
  <c r="V573" i="1" a="1"/>
  <c r="V573" i="1" s="1"/>
  <c r="U573" i="1" a="1"/>
  <c r="U573" i="1" s="1"/>
  <c r="T573" i="1" a="1"/>
  <c r="T573" i="1" s="1"/>
  <c r="S573" i="1"/>
  <c r="Y572" i="1" a="1"/>
  <c r="Y572" i="1" s="1"/>
  <c r="X572" i="1" a="1"/>
  <c r="X572" i="1" s="1"/>
  <c r="W572" i="1" a="1"/>
  <c r="W572" i="1" s="1"/>
  <c r="V572" i="1" a="1"/>
  <c r="V572" i="1" s="1"/>
  <c r="U572" i="1" a="1"/>
  <c r="U572" i="1" s="1"/>
  <c r="T572" i="1" a="1"/>
  <c r="T572" i="1" s="1"/>
  <c r="S572" i="1"/>
  <c r="Y571" i="1" a="1"/>
  <c r="Y571" i="1" s="1"/>
  <c r="X571" i="1" a="1"/>
  <c r="X571" i="1" s="1"/>
  <c r="W571" i="1" a="1"/>
  <c r="W571" i="1" s="1"/>
  <c r="V571" i="1" a="1"/>
  <c r="V571" i="1" s="1"/>
  <c r="U571" i="1" a="1"/>
  <c r="U571" i="1" s="1"/>
  <c r="T571" i="1" a="1"/>
  <c r="T571" i="1" s="1"/>
  <c r="S571" i="1"/>
  <c r="Y570" i="1" a="1"/>
  <c r="Y570" i="1" s="1"/>
  <c r="X570" i="1" a="1"/>
  <c r="X570" i="1" s="1"/>
  <c r="W570" i="1" a="1"/>
  <c r="W570" i="1" s="1"/>
  <c r="V570" i="1" a="1"/>
  <c r="V570" i="1" s="1"/>
  <c r="U570" i="1" a="1"/>
  <c r="U570" i="1" s="1"/>
  <c r="T570" i="1" a="1"/>
  <c r="T570" i="1" s="1"/>
  <c r="S570" i="1"/>
  <c r="Y569" i="1" a="1"/>
  <c r="Y569" i="1" s="1"/>
  <c r="X569" i="1" a="1"/>
  <c r="X569" i="1" s="1"/>
  <c r="W569" i="1" a="1"/>
  <c r="W569" i="1" s="1"/>
  <c r="V569" i="1" a="1"/>
  <c r="V569" i="1" s="1"/>
  <c r="U569" i="1" a="1"/>
  <c r="U569" i="1" s="1"/>
  <c r="T569" i="1" a="1"/>
  <c r="T569" i="1" s="1"/>
  <c r="S569" i="1"/>
  <c r="Y568" i="1" a="1"/>
  <c r="Y568" i="1" s="1"/>
  <c r="X568" i="1" a="1"/>
  <c r="X568" i="1" s="1"/>
  <c r="W568" i="1" a="1"/>
  <c r="W568" i="1" s="1"/>
  <c r="V568" i="1" a="1"/>
  <c r="V568" i="1" s="1"/>
  <c r="U568" i="1" a="1"/>
  <c r="U568" i="1" s="1"/>
  <c r="T568" i="1" a="1"/>
  <c r="T568" i="1" s="1"/>
  <c r="S568" i="1"/>
  <c r="Y567" i="1" a="1"/>
  <c r="Y567" i="1" s="1"/>
  <c r="X567" i="1" a="1"/>
  <c r="X567" i="1" s="1"/>
  <c r="W567" i="1" a="1"/>
  <c r="W567" i="1" s="1"/>
  <c r="V567" i="1" a="1"/>
  <c r="V567" i="1" s="1"/>
  <c r="U567" i="1" a="1"/>
  <c r="U567" i="1" s="1"/>
  <c r="T567" i="1" a="1"/>
  <c r="T567" i="1" s="1"/>
  <c r="S567" i="1"/>
  <c r="Y566" i="1" a="1"/>
  <c r="Y566" i="1" s="1"/>
  <c r="X566" i="1" a="1"/>
  <c r="X566" i="1" s="1"/>
  <c r="W566" i="1" a="1"/>
  <c r="W566" i="1" s="1"/>
  <c r="V566" i="1" a="1"/>
  <c r="V566" i="1" s="1"/>
  <c r="U566" i="1" a="1"/>
  <c r="U566" i="1" s="1"/>
  <c r="T566" i="1" a="1"/>
  <c r="T566" i="1" s="1"/>
  <c r="S566" i="1"/>
  <c r="Y565" i="1" a="1"/>
  <c r="Y565" i="1" s="1"/>
  <c r="X565" i="1" a="1"/>
  <c r="X565" i="1" s="1"/>
  <c r="W565" i="1" a="1"/>
  <c r="W565" i="1" s="1"/>
  <c r="V565" i="1" a="1"/>
  <c r="V565" i="1" s="1"/>
  <c r="U565" i="1" a="1"/>
  <c r="U565" i="1" s="1"/>
  <c r="T565" i="1" a="1"/>
  <c r="T565" i="1" s="1"/>
  <c r="S565" i="1"/>
  <c r="Y564" i="1" a="1"/>
  <c r="Y564" i="1" s="1"/>
  <c r="X564" i="1" a="1"/>
  <c r="X564" i="1" s="1"/>
  <c r="W564" i="1" a="1"/>
  <c r="W564" i="1" s="1"/>
  <c r="V564" i="1" a="1"/>
  <c r="V564" i="1" s="1"/>
  <c r="U564" i="1" a="1"/>
  <c r="U564" i="1" s="1"/>
  <c r="T564" i="1" a="1"/>
  <c r="T564" i="1" s="1"/>
  <c r="S564" i="1"/>
  <c r="Y563" i="1" a="1"/>
  <c r="Y563" i="1" s="1"/>
  <c r="X563" i="1" a="1"/>
  <c r="X563" i="1" s="1"/>
  <c r="W563" i="1" a="1"/>
  <c r="W563" i="1" s="1"/>
  <c r="V563" i="1" a="1"/>
  <c r="V563" i="1" s="1"/>
  <c r="U563" i="1" a="1"/>
  <c r="U563" i="1" s="1"/>
  <c r="T563" i="1" a="1"/>
  <c r="T563" i="1" s="1"/>
  <c r="S563" i="1"/>
  <c r="Y562" i="1" a="1"/>
  <c r="Y562" i="1" s="1"/>
  <c r="X562" i="1" a="1"/>
  <c r="X562" i="1" s="1"/>
  <c r="W562" i="1" a="1"/>
  <c r="W562" i="1" s="1"/>
  <c r="V562" i="1" a="1"/>
  <c r="V562" i="1" s="1"/>
  <c r="U562" i="1" a="1"/>
  <c r="U562" i="1" s="1"/>
  <c r="T562" i="1" a="1"/>
  <c r="T562" i="1" s="1"/>
  <c r="S562" i="1"/>
  <c r="Y561" i="1" a="1"/>
  <c r="Y561" i="1" s="1"/>
  <c r="X561" i="1" a="1"/>
  <c r="X561" i="1" s="1"/>
  <c r="W561" i="1" a="1"/>
  <c r="W561" i="1" s="1"/>
  <c r="V561" i="1" a="1"/>
  <c r="V561" i="1" s="1"/>
  <c r="U561" i="1" a="1"/>
  <c r="U561" i="1" s="1"/>
  <c r="T561" i="1" a="1"/>
  <c r="T561" i="1" s="1"/>
  <c r="S561" i="1"/>
  <c r="Y560" i="1" a="1"/>
  <c r="Y560" i="1" s="1"/>
  <c r="X560" i="1" a="1"/>
  <c r="X560" i="1" s="1"/>
  <c r="W560" i="1" a="1"/>
  <c r="W560" i="1" s="1"/>
  <c r="V560" i="1" a="1"/>
  <c r="V560" i="1" s="1"/>
  <c r="U560" i="1" a="1"/>
  <c r="U560" i="1" s="1"/>
  <c r="T560" i="1" a="1"/>
  <c r="T560" i="1" s="1"/>
  <c r="S560" i="1"/>
  <c r="Y559" i="1" a="1"/>
  <c r="Y559" i="1" s="1"/>
  <c r="X559" i="1" a="1"/>
  <c r="X559" i="1" s="1"/>
  <c r="W559" i="1" a="1"/>
  <c r="W559" i="1" s="1"/>
  <c r="V559" i="1" a="1"/>
  <c r="V559" i="1" s="1"/>
  <c r="U559" i="1" a="1"/>
  <c r="U559" i="1" s="1"/>
  <c r="T559" i="1" a="1"/>
  <c r="T559" i="1" s="1"/>
  <c r="S559" i="1"/>
  <c r="Y558" i="1" a="1"/>
  <c r="Y558" i="1" s="1"/>
  <c r="X558" i="1" a="1"/>
  <c r="X558" i="1" s="1"/>
  <c r="W558" i="1" a="1"/>
  <c r="W558" i="1" s="1"/>
  <c r="V558" i="1" a="1"/>
  <c r="V558" i="1" s="1"/>
  <c r="U558" i="1" a="1"/>
  <c r="U558" i="1" s="1"/>
  <c r="T558" i="1" a="1"/>
  <c r="T558" i="1" s="1"/>
  <c r="S558" i="1"/>
  <c r="Y557" i="1" a="1"/>
  <c r="Y557" i="1" s="1"/>
  <c r="X557" i="1" a="1"/>
  <c r="X557" i="1" s="1"/>
  <c r="W557" i="1" a="1"/>
  <c r="W557" i="1" s="1"/>
  <c r="V557" i="1" a="1"/>
  <c r="V557" i="1" s="1"/>
  <c r="U557" i="1" a="1"/>
  <c r="U557" i="1" s="1"/>
  <c r="T557" i="1" a="1"/>
  <c r="T557" i="1" s="1"/>
  <c r="S557" i="1"/>
  <c r="Y556" i="1" a="1"/>
  <c r="Y556" i="1" s="1"/>
  <c r="X556" i="1" a="1"/>
  <c r="X556" i="1" s="1"/>
  <c r="W556" i="1" a="1"/>
  <c r="W556" i="1" s="1"/>
  <c r="V556" i="1" a="1"/>
  <c r="V556" i="1" s="1"/>
  <c r="U556" i="1" a="1"/>
  <c r="U556" i="1" s="1"/>
  <c r="T556" i="1" a="1"/>
  <c r="T556" i="1" s="1"/>
  <c r="S556" i="1"/>
  <c r="Y555" i="1" a="1"/>
  <c r="Y555" i="1" s="1"/>
  <c r="X555" i="1" a="1"/>
  <c r="X555" i="1" s="1"/>
  <c r="W555" i="1" a="1"/>
  <c r="W555" i="1" s="1"/>
  <c r="V555" i="1" a="1"/>
  <c r="V555" i="1" s="1"/>
  <c r="U555" i="1" a="1"/>
  <c r="U555" i="1" s="1"/>
  <c r="T555" i="1" a="1"/>
  <c r="T555" i="1" s="1"/>
  <c r="S555" i="1"/>
  <c r="Y554" i="1" a="1"/>
  <c r="Y554" i="1" s="1"/>
  <c r="X554" i="1" a="1"/>
  <c r="X554" i="1" s="1"/>
  <c r="W554" i="1" a="1"/>
  <c r="W554" i="1" s="1"/>
  <c r="V554" i="1" a="1"/>
  <c r="V554" i="1" s="1"/>
  <c r="U554" i="1" a="1"/>
  <c r="U554" i="1" s="1"/>
  <c r="T554" i="1" a="1"/>
  <c r="T554" i="1" s="1"/>
  <c r="S554" i="1"/>
  <c r="Y553" i="1" a="1"/>
  <c r="Y553" i="1" s="1"/>
  <c r="X553" i="1" a="1"/>
  <c r="X553" i="1" s="1"/>
  <c r="W553" i="1" a="1"/>
  <c r="W553" i="1" s="1"/>
  <c r="V553" i="1" a="1"/>
  <c r="V553" i="1" s="1"/>
  <c r="U553" i="1" a="1"/>
  <c r="U553" i="1" s="1"/>
  <c r="T553" i="1" a="1"/>
  <c r="T553" i="1" s="1"/>
  <c r="S553" i="1"/>
  <c r="Y552" i="1" a="1"/>
  <c r="Y552" i="1" s="1"/>
  <c r="X552" i="1" a="1"/>
  <c r="X552" i="1" s="1"/>
  <c r="W552" i="1" a="1"/>
  <c r="W552" i="1" s="1"/>
  <c r="V552" i="1" a="1"/>
  <c r="V552" i="1" s="1"/>
  <c r="U552" i="1" a="1"/>
  <c r="U552" i="1" s="1"/>
  <c r="T552" i="1" a="1"/>
  <c r="T552" i="1" s="1"/>
  <c r="S552" i="1"/>
  <c r="Y545" i="1" a="1"/>
  <c r="Y545" i="1" s="1"/>
  <c r="X545" i="1" a="1"/>
  <c r="X545" i="1" s="1"/>
  <c r="W545" i="1" a="1"/>
  <c r="W545" i="1" s="1"/>
  <c r="V545" i="1" a="1"/>
  <c r="V545" i="1" s="1"/>
  <c r="U545" i="1" a="1"/>
  <c r="U545" i="1" s="1"/>
  <c r="T545" i="1" a="1"/>
  <c r="T545" i="1" s="1"/>
  <c r="S545" i="1"/>
  <c r="Y551" i="1" a="1"/>
  <c r="Y551" i="1" s="1"/>
  <c r="X551" i="1" a="1"/>
  <c r="X551" i="1" s="1"/>
  <c r="W551" i="1" a="1"/>
  <c r="W551" i="1" s="1"/>
  <c r="V551" i="1" a="1"/>
  <c r="V551" i="1" s="1"/>
  <c r="U551" i="1" a="1"/>
  <c r="U551" i="1" s="1"/>
  <c r="T551" i="1" a="1"/>
  <c r="T551" i="1" s="1"/>
  <c r="S551" i="1"/>
  <c r="Y550" i="1" a="1"/>
  <c r="Y550" i="1" s="1"/>
  <c r="X550" i="1" a="1"/>
  <c r="X550" i="1" s="1"/>
  <c r="W550" i="1" a="1"/>
  <c r="W550" i="1" s="1"/>
  <c r="V550" i="1" a="1"/>
  <c r="V550" i="1" s="1"/>
  <c r="U550" i="1" a="1"/>
  <c r="U550" i="1" s="1"/>
  <c r="T550" i="1" a="1"/>
  <c r="T550" i="1" s="1"/>
  <c r="S550" i="1"/>
  <c r="Y549" i="1" a="1"/>
  <c r="Y549" i="1" s="1"/>
  <c r="X549" i="1" a="1"/>
  <c r="X549" i="1" s="1"/>
  <c r="W549" i="1" a="1"/>
  <c r="W549" i="1" s="1"/>
  <c r="V549" i="1" a="1"/>
  <c r="V549" i="1" s="1"/>
  <c r="U549" i="1" a="1"/>
  <c r="U549" i="1" s="1"/>
  <c r="T549" i="1" a="1"/>
  <c r="T549" i="1" s="1"/>
  <c r="S549" i="1"/>
  <c r="Y548" i="1" a="1"/>
  <c r="Y548" i="1" s="1"/>
  <c r="X548" i="1" a="1"/>
  <c r="X548" i="1" s="1"/>
  <c r="W548" i="1" a="1"/>
  <c r="W548" i="1" s="1"/>
  <c r="V548" i="1" a="1"/>
  <c r="V548" i="1" s="1"/>
  <c r="U548" i="1" a="1"/>
  <c r="U548" i="1" s="1"/>
  <c r="T548" i="1" a="1"/>
  <c r="T548" i="1" s="1"/>
  <c r="S548" i="1"/>
  <c r="S546" i="1"/>
  <c r="S547" i="1"/>
  <c r="Y547" i="1" a="1"/>
  <c r="Y547" i="1" s="1"/>
  <c r="X547" i="1" a="1"/>
  <c r="X547" i="1" s="1"/>
  <c r="W547" i="1" a="1"/>
  <c r="W547" i="1" s="1"/>
  <c r="V547" i="1" a="1"/>
  <c r="V547" i="1" s="1"/>
  <c r="U547" i="1" a="1"/>
  <c r="U547" i="1" s="1"/>
  <c r="T547" i="1" a="1"/>
  <c r="T547" i="1" s="1"/>
  <c r="Y546" i="1" a="1"/>
  <c r="Y546" i="1" s="1"/>
  <c r="X546" i="1" a="1"/>
  <c r="X546" i="1" s="1"/>
  <c r="W546" i="1" a="1"/>
  <c r="W546" i="1" s="1"/>
  <c r="V546" i="1" a="1"/>
  <c r="V546" i="1" s="1"/>
  <c r="U546" i="1" a="1"/>
  <c r="U546" i="1" s="1"/>
  <c r="T546" i="1" a="1"/>
  <c r="T546" i="1" s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Z574" i="1" l="1"/>
  <c r="Z579" i="1"/>
  <c r="Z576" i="1"/>
  <c r="Z577" i="1"/>
  <c r="Z573" i="1"/>
  <c r="Z575" i="1"/>
  <c r="Z578" i="1"/>
  <c r="Z568" i="1"/>
  <c r="Z572" i="1"/>
  <c r="Z569" i="1"/>
  <c r="Z566" i="1"/>
  <c r="Z570" i="1"/>
  <c r="Z571" i="1"/>
  <c r="Z567" i="1"/>
  <c r="Z562" i="1"/>
  <c r="Z565" i="1"/>
  <c r="Z563" i="1"/>
  <c r="Z560" i="1"/>
  <c r="Z559" i="1"/>
  <c r="Z561" i="1"/>
  <c r="Z564" i="1"/>
  <c r="Z558" i="1"/>
  <c r="Z555" i="1"/>
  <c r="Z553" i="1"/>
  <c r="Z556" i="1"/>
  <c r="Z554" i="1"/>
  <c r="Z552" i="1"/>
  <c r="Z557" i="1"/>
  <c r="Z545" i="1"/>
  <c r="Z551" i="1"/>
  <c r="Z550" i="1"/>
  <c r="Z549" i="1"/>
  <c r="Z548" i="1"/>
  <c r="Z547" i="1"/>
  <c r="Z546" i="1"/>
  <c r="Y544" i="1" a="1"/>
  <c r="Y544" i="1" s="1"/>
  <c r="X544" i="1" a="1"/>
  <c r="X544" i="1" s="1"/>
  <c r="W544" i="1" a="1"/>
  <c r="W544" i="1" s="1"/>
  <c r="V544" i="1" a="1"/>
  <c r="V544" i="1" s="1"/>
  <c r="U544" i="1" a="1"/>
  <c r="U544" i="1" s="1"/>
  <c r="T544" i="1" a="1"/>
  <c r="T544" i="1" s="1"/>
  <c r="Y543" i="1" a="1"/>
  <c r="Y543" i="1" s="1"/>
  <c r="X543" i="1" a="1"/>
  <c r="X543" i="1" s="1"/>
  <c r="W543" i="1" a="1"/>
  <c r="W543" i="1" s="1"/>
  <c r="V543" i="1" a="1"/>
  <c r="V543" i="1" s="1"/>
  <c r="U543" i="1" a="1"/>
  <c r="U543" i="1" s="1"/>
  <c r="T543" i="1" a="1"/>
  <c r="T543" i="1" s="1"/>
  <c r="Y542" i="1" a="1"/>
  <c r="Y542" i="1" s="1"/>
  <c r="X542" i="1" a="1"/>
  <c r="X542" i="1" s="1"/>
  <c r="W542" i="1" a="1"/>
  <c r="W542" i="1" s="1"/>
  <c r="V542" i="1" a="1"/>
  <c r="V542" i="1" s="1"/>
  <c r="U542" i="1" a="1"/>
  <c r="U542" i="1" s="1"/>
  <c r="T542" i="1" a="1"/>
  <c r="T542" i="1" s="1"/>
  <c r="Y541" i="1" a="1"/>
  <c r="Y541" i="1" s="1"/>
  <c r="X541" i="1" a="1"/>
  <c r="X541" i="1" s="1"/>
  <c r="W541" i="1" a="1"/>
  <c r="W541" i="1" s="1"/>
  <c r="V541" i="1" a="1"/>
  <c r="V541" i="1" s="1"/>
  <c r="U541" i="1" a="1"/>
  <c r="U541" i="1" s="1"/>
  <c r="T541" i="1" a="1"/>
  <c r="T541" i="1" s="1"/>
  <c r="Y540" i="1" a="1"/>
  <c r="Y540" i="1" s="1"/>
  <c r="X540" i="1" a="1"/>
  <c r="X540" i="1" s="1"/>
  <c r="W540" i="1" a="1"/>
  <c r="W540" i="1" s="1"/>
  <c r="V540" i="1" a="1"/>
  <c r="V540" i="1" s="1"/>
  <c r="U540" i="1" a="1"/>
  <c r="U540" i="1" s="1"/>
  <c r="T540" i="1" a="1"/>
  <c r="T540" i="1" s="1"/>
  <c r="Y539" i="1" a="1"/>
  <c r="Y539" i="1" s="1"/>
  <c r="X539" i="1" a="1"/>
  <c r="X539" i="1" s="1"/>
  <c r="W539" i="1" a="1"/>
  <c r="W539" i="1" s="1"/>
  <c r="V539" i="1" a="1"/>
  <c r="V539" i="1" s="1"/>
  <c r="U539" i="1" a="1"/>
  <c r="U539" i="1" s="1"/>
  <c r="T539" i="1" a="1"/>
  <c r="T539" i="1" s="1"/>
  <c r="Y538" i="1" a="1"/>
  <c r="Y538" i="1" s="1"/>
  <c r="X538" i="1" a="1"/>
  <c r="X538" i="1" s="1"/>
  <c r="W538" i="1" a="1"/>
  <c r="W538" i="1" s="1"/>
  <c r="V538" i="1" a="1"/>
  <c r="V538" i="1" s="1"/>
  <c r="U538" i="1" a="1"/>
  <c r="U538" i="1" s="1"/>
  <c r="T538" i="1" a="1"/>
  <c r="T538" i="1" s="1"/>
  <c r="Y537" i="1" a="1"/>
  <c r="Y537" i="1" s="1"/>
  <c r="X537" i="1" a="1"/>
  <c r="X537" i="1" s="1"/>
  <c r="W537" i="1" a="1"/>
  <c r="W537" i="1" s="1"/>
  <c r="V537" i="1" a="1"/>
  <c r="V537" i="1" s="1"/>
  <c r="U537" i="1" a="1"/>
  <c r="U537" i="1" s="1"/>
  <c r="T537" i="1" a="1"/>
  <c r="T537" i="1" s="1"/>
  <c r="Y536" i="1" a="1"/>
  <c r="Y536" i="1" s="1"/>
  <c r="X536" i="1" a="1"/>
  <c r="X536" i="1" s="1"/>
  <c r="W536" i="1" a="1"/>
  <c r="W536" i="1" s="1"/>
  <c r="V536" i="1" a="1"/>
  <c r="V536" i="1" s="1"/>
  <c r="U536" i="1" a="1"/>
  <c r="U536" i="1" s="1"/>
  <c r="T536" i="1" a="1"/>
  <c r="T536" i="1" s="1"/>
  <c r="Y535" i="1" a="1"/>
  <c r="Y535" i="1" s="1"/>
  <c r="X535" i="1" a="1"/>
  <c r="X535" i="1" s="1"/>
  <c r="W535" i="1" a="1"/>
  <c r="W535" i="1" s="1"/>
  <c r="V535" i="1" a="1"/>
  <c r="V535" i="1" s="1"/>
  <c r="U535" i="1" a="1"/>
  <c r="U535" i="1" s="1"/>
  <c r="T535" i="1" a="1"/>
  <c r="T535" i="1" s="1"/>
  <c r="Y534" i="1" a="1"/>
  <c r="Y534" i="1" s="1"/>
  <c r="X534" i="1" a="1"/>
  <c r="X534" i="1" s="1"/>
  <c r="W534" i="1" a="1"/>
  <c r="W534" i="1" s="1"/>
  <c r="V534" i="1" a="1"/>
  <c r="V534" i="1" s="1"/>
  <c r="U534" i="1" a="1"/>
  <c r="U534" i="1" s="1"/>
  <c r="T534" i="1" a="1"/>
  <c r="T534" i="1" s="1"/>
  <c r="Y533" i="1" a="1"/>
  <c r="Y533" i="1" s="1"/>
  <c r="X533" i="1" a="1"/>
  <c r="X533" i="1" s="1"/>
  <c r="W533" i="1" a="1"/>
  <c r="W533" i="1" s="1"/>
  <c r="V533" i="1" a="1"/>
  <c r="V533" i="1" s="1"/>
  <c r="U533" i="1" a="1"/>
  <c r="U533" i="1" s="1"/>
  <c r="T533" i="1" a="1"/>
  <c r="T533" i="1" s="1"/>
  <c r="Y532" i="1" a="1"/>
  <c r="Y532" i="1" s="1"/>
  <c r="X532" i="1" a="1"/>
  <c r="X532" i="1" s="1"/>
  <c r="W532" i="1" a="1"/>
  <c r="W532" i="1" s="1"/>
  <c r="V532" i="1" a="1"/>
  <c r="V532" i="1" s="1"/>
  <c r="U532" i="1" a="1"/>
  <c r="U532" i="1" s="1"/>
  <c r="T532" i="1" a="1"/>
  <c r="T532" i="1" s="1"/>
  <c r="Y531" i="1" a="1"/>
  <c r="Y531" i="1" s="1"/>
  <c r="X531" i="1" a="1"/>
  <c r="X531" i="1" s="1"/>
  <c r="W531" i="1" a="1"/>
  <c r="W531" i="1" s="1"/>
  <c r="V531" i="1" a="1"/>
  <c r="V531" i="1" s="1"/>
  <c r="U531" i="1" a="1"/>
  <c r="U531" i="1" s="1"/>
  <c r="T531" i="1" a="1"/>
  <c r="T531" i="1" s="1"/>
  <c r="Y530" i="1" a="1"/>
  <c r="Y530" i="1" s="1"/>
  <c r="X530" i="1" a="1"/>
  <c r="X530" i="1" s="1"/>
  <c r="W530" i="1" a="1"/>
  <c r="W530" i="1" s="1"/>
  <c r="V530" i="1" a="1"/>
  <c r="V530" i="1" s="1"/>
  <c r="U530" i="1" a="1"/>
  <c r="U530" i="1" s="1"/>
  <c r="T530" i="1" a="1"/>
  <c r="T530" i="1" s="1"/>
  <c r="Y529" i="1" a="1"/>
  <c r="Y529" i="1" s="1"/>
  <c r="X529" i="1" a="1"/>
  <c r="X529" i="1" s="1"/>
  <c r="W529" i="1" a="1"/>
  <c r="W529" i="1" s="1"/>
  <c r="V529" i="1" a="1"/>
  <c r="V529" i="1" s="1"/>
  <c r="U529" i="1" a="1"/>
  <c r="U529" i="1" s="1"/>
  <c r="T529" i="1" a="1"/>
  <c r="T529" i="1" s="1"/>
  <c r="Y528" i="1" a="1"/>
  <c r="Y528" i="1" s="1"/>
  <c r="X528" i="1" a="1"/>
  <c r="X528" i="1" s="1"/>
  <c r="W528" i="1" a="1"/>
  <c r="W528" i="1" s="1"/>
  <c r="V528" i="1" a="1"/>
  <c r="V528" i="1" s="1"/>
  <c r="U528" i="1" a="1"/>
  <c r="U528" i="1" s="1"/>
  <c r="T528" i="1" a="1"/>
  <c r="T528" i="1" s="1"/>
  <c r="Y527" i="1" a="1"/>
  <c r="Y527" i="1" s="1"/>
  <c r="X527" i="1" a="1"/>
  <c r="X527" i="1" s="1"/>
  <c r="W527" i="1" a="1"/>
  <c r="W527" i="1" s="1"/>
  <c r="V527" i="1" a="1"/>
  <c r="V527" i="1" s="1"/>
  <c r="U527" i="1" a="1"/>
  <c r="U527" i="1" s="1"/>
  <c r="T527" i="1" a="1"/>
  <c r="T527" i="1" s="1"/>
  <c r="Y526" i="1" a="1"/>
  <c r="Y526" i="1" s="1"/>
  <c r="X526" i="1" a="1"/>
  <c r="X526" i="1" s="1"/>
  <c r="W526" i="1" a="1"/>
  <c r="W526" i="1" s="1"/>
  <c r="V526" i="1" a="1"/>
  <c r="V526" i="1" s="1"/>
  <c r="U526" i="1" a="1"/>
  <c r="U526" i="1" s="1"/>
  <c r="T526" i="1" a="1"/>
  <c r="T526" i="1" s="1"/>
  <c r="Y525" i="1" a="1"/>
  <c r="Y525" i="1" s="1"/>
  <c r="X525" i="1" a="1"/>
  <c r="X525" i="1" s="1"/>
  <c r="W525" i="1" a="1"/>
  <c r="W525" i="1" s="1"/>
  <c r="V525" i="1" a="1"/>
  <c r="V525" i="1" s="1"/>
  <c r="U525" i="1" a="1"/>
  <c r="U525" i="1" s="1"/>
  <c r="T525" i="1" a="1"/>
  <c r="T525" i="1" s="1"/>
  <c r="Y524" i="1" a="1"/>
  <c r="Y524" i="1" s="1"/>
  <c r="X524" i="1" a="1"/>
  <c r="X524" i="1" s="1"/>
  <c r="W524" i="1" a="1"/>
  <c r="W524" i="1" s="1"/>
  <c r="V524" i="1" a="1"/>
  <c r="V524" i="1" s="1"/>
  <c r="U524" i="1" a="1"/>
  <c r="U524" i="1" s="1"/>
  <c r="T524" i="1" a="1"/>
  <c r="T524" i="1" s="1"/>
  <c r="Y523" i="1" a="1"/>
  <c r="Y523" i="1" s="1"/>
  <c r="X523" i="1" a="1"/>
  <c r="X523" i="1" s="1"/>
  <c r="W523" i="1" a="1"/>
  <c r="W523" i="1" s="1"/>
  <c r="V523" i="1" a="1"/>
  <c r="V523" i="1" s="1"/>
  <c r="U523" i="1" a="1"/>
  <c r="U523" i="1" s="1"/>
  <c r="T523" i="1" a="1"/>
  <c r="T523" i="1" s="1"/>
  <c r="Y522" i="1" a="1"/>
  <c r="Y522" i="1" s="1"/>
  <c r="X522" i="1" a="1"/>
  <c r="X522" i="1" s="1"/>
  <c r="W522" i="1" a="1"/>
  <c r="W522" i="1" s="1"/>
  <c r="V522" i="1" a="1"/>
  <c r="V522" i="1" s="1"/>
  <c r="U522" i="1" a="1"/>
  <c r="U522" i="1" s="1"/>
  <c r="T522" i="1" a="1"/>
  <c r="T522" i="1" s="1"/>
  <c r="Y521" i="1" a="1"/>
  <c r="Y521" i="1" s="1"/>
  <c r="X521" i="1" a="1"/>
  <c r="X521" i="1" s="1"/>
  <c r="W521" i="1" a="1"/>
  <c r="W521" i="1" s="1"/>
  <c r="V521" i="1" a="1"/>
  <c r="V521" i="1" s="1"/>
  <c r="U521" i="1" a="1"/>
  <c r="U521" i="1" s="1"/>
  <c r="T521" i="1" a="1"/>
  <c r="T521" i="1" s="1"/>
  <c r="Y520" i="1" a="1"/>
  <c r="Y520" i="1" s="1"/>
  <c r="X520" i="1" a="1"/>
  <c r="X520" i="1" s="1"/>
  <c r="W520" i="1" a="1"/>
  <c r="W520" i="1" s="1"/>
  <c r="V520" i="1" a="1"/>
  <c r="V520" i="1" s="1"/>
  <c r="U520" i="1" a="1"/>
  <c r="U520" i="1" s="1"/>
  <c r="T520" i="1" a="1"/>
  <c r="T520" i="1" s="1"/>
  <c r="Y519" i="1" a="1"/>
  <c r="Y519" i="1" s="1"/>
  <c r="X519" i="1" a="1"/>
  <c r="X519" i="1" s="1"/>
  <c r="W519" i="1" a="1"/>
  <c r="W519" i="1" s="1"/>
  <c r="V519" i="1" a="1"/>
  <c r="V519" i="1" s="1"/>
  <c r="U519" i="1" a="1"/>
  <c r="U519" i="1" s="1"/>
  <c r="T519" i="1" a="1"/>
  <c r="T519" i="1" s="1"/>
  <c r="Y518" i="1" a="1"/>
  <c r="Y518" i="1" s="1"/>
  <c r="X518" i="1" a="1"/>
  <c r="X518" i="1" s="1"/>
  <c r="W518" i="1" a="1"/>
  <c r="W518" i="1" s="1"/>
  <c r="V518" i="1" a="1"/>
  <c r="V518" i="1" s="1"/>
  <c r="U518" i="1" a="1"/>
  <c r="U518" i="1" s="1"/>
  <c r="T518" i="1" a="1"/>
  <c r="T518" i="1" s="1"/>
  <c r="Y517" i="1" a="1"/>
  <c r="Y517" i="1" s="1"/>
  <c r="X517" i="1" a="1"/>
  <c r="X517" i="1" s="1"/>
  <c r="W517" i="1" a="1"/>
  <c r="W517" i="1" s="1"/>
  <c r="V517" i="1" a="1"/>
  <c r="V517" i="1" s="1"/>
  <c r="U517" i="1" a="1"/>
  <c r="U517" i="1" s="1"/>
  <c r="T517" i="1" a="1"/>
  <c r="T517" i="1" s="1"/>
  <c r="Y516" i="1" a="1"/>
  <c r="Y516" i="1" s="1"/>
  <c r="X516" i="1" a="1"/>
  <c r="X516" i="1" s="1"/>
  <c r="W516" i="1" a="1"/>
  <c r="W516" i="1" s="1"/>
  <c r="V516" i="1" a="1"/>
  <c r="V516" i="1" s="1"/>
  <c r="U516" i="1" a="1"/>
  <c r="U516" i="1" s="1"/>
  <c r="T516" i="1" a="1"/>
  <c r="T516" i="1" s="1"/>
  <c r="Y515" i="1" a="1"/>
  <c r="Y515" i="1" s="1"/>
  <c r="X515" i="1" a="1"/>
  <c r="X515" i="1" s="1"/>
  <c r="W515" i="1" a="1"/>
  <c r="W515" i="1" s="1"/>
  <c r="V515" i="1" a="1"/>
  <c r="V515" i="1" s="1"/>
  <c r="U515" i="1" a="1"/>
  <c r="U515" i="1" s="1"/>
  <c r="T515" i="1" a="1"/>
  <c r="T515" i="1" s="1"/>
  <c r="Y514" i="1" a="1"/>
  <c r="Y514" i="1" s="1"/>
  <c r="X514" i="1" a="1"/>
  <c r="X514" i="1" s="1"/>
  <c r="W514" i="1" a="1"/>
  <c r="W514" i="1" s="1"/>
  <c r="V514" i="1" a="1"/>
  <c r="V514" i="1" s="1"/>
  <c r="U514" i="1" a="1"/>
  <c r="U514" i="1" s="1"/>
  <c r="T514" i="1" a="1"/>
  <c r="T514" i="1" s="1"/>
  <c r="Y513" i="1" a="1"/>
  <c r="Y513" i="1" s="1"/>
  <c r="X513" i="1" a="1"/>
  <c r="X513" i="1" s="1"/>
  <c r="W513" i="1" a="1"/>
  <c r="W513" i="1" s="1"/>
  <c r="V513" i="1" a="1"/>
  <c r="V513" i="1" s="1"/>
  <c r="U513" i="1" a="1"/>
  <c r="U513" i="1" s="1"/>
  <c r="T513" i="1" a="1"/>
  <c r="T513" i="1" s="1"/>
  <c r="Y512" i="1" a="1"/>
  <c r="Y512" i="1" s="1"/>
  <c r="X512" i="1" a="1"/>
  <c r="X512" i="1" s="1"/>
  <c r="W512" i="1" a="1"/>
  <c r="W512" i="1" s="1"/>
  <c r="V512" i="1" a="1"/>
  <c r="V512" i="1" s="1"/>
  <c r="U512" i="1" a="1"/>
  <c r="U512" i="1" s="1"/>
  <c r="T512" i="1" a="1"/>
  <c r="T512" i="1" s="1"/>
  <c r="Y511" i="1" a="1"/>
  <c r="Y511" i="1" s="1"/>
  <c r="X511" i="1" a="1"/>
  <c r="X511" i="1" s="1"/>
  <c r="W511" i="1" a="1"/>
  <c r="W511" i="1" s="1"/>
  <c r="V511" i="1" a="1"/>
  <c r="V511" i="1" s="1"/>
  <c r="U511" i="1" a="1"/>
  <c r="U511" i="1" s="1"/>
  <c r="T511" i="1" a="1"/>
  <c r="T511" i="1" s="1"/>
  <c r="Y510" i="1" a="1"/>
  <c r="Y510" i="1" s="1"/>
  <c r="X510" i="1" a="1"/>
  <c r="X510" i="1" s="1"/>
  <c r="W510" i="1" a="1"/>
  <c r="W510" i="1" s="1"/>
  <c r="V510" i="1" a="1"/>
  <c r="V510" i="1" s="1"/>
  <c r="U510" i="1" a="1"/>
  <c r="U510" i="1" s="1"/>
  <c r="T510" i="1" a="1"/>
  <c r="T510" i="1" s="1"/>
  <c r="Y509" i="1" a="1"/>
  <c r="Y509" i="1" s="1"/>
  <c r="X509" i="1" a="1"/>
  <c r="X509" i="1" s="1"/>
  <c r="W509" i="1" a="1"/>
  <c r="W509" i="1" s="1"/>
  <c r="V509" i="1" a="1"/>
  <c r="V509" i="1" s="1"/>
  <c r="U509" i="1" a="1"/>
  <c r="U509" i="1" s="1"/>
  <c r="T509" i="1" a="1"/>
  <c r="T509" i="1" s="1"/>
  <c r="Y508" i="1" a="1"/>
  <c r="Y508" i="1" s="1"/>
  <c r="X508" i="1" a="1"/>
  <c r="X508" i="1" s="1"/>
  <c r="W508" i="1" a="1"/>
  <c r="W508" i="1" s="1"/>
  <c r="V508" i="1" a="1"/>
  <c r="V508" i="1" s="1"/>
  <c r="U508" i="1" a="1"/>
  <c r="U508" i="1" s="1"/>
  <c r="T508" i="1" a="1"/>
  <c r="T508" i="1" s="1"/>
  <c r="Y507" i="1" a="1"/>
  <c r="Y507" i="1" s="1"/>
  <c r="X507" i="1" a="1"/>
  <c r="X507" i="1" s="1"/>
  <c r="W507" i="1" a="1"/>
  <c r="W507" i="1" s="1"/>
  <c r="V507" i="1" a="1"/>
  <c r="V507" i="1" s="1"/>
  <c r="U507" i="1" a="1"/>
  <c r="U507" i="1" s="1"/>
  <c r="T507" i="1" a="1"/>
  <c r="T507" i="1" s="1"/>
  <c r="Y506" i="1" a="1"/>
  <c r="Y506" i="1" s="1"/>
  <c r="X506" i="1" a="1"/>
  <c r="X506" i="1" s="1"/>
  <c r="W506" i="1" a="1"/>
  <c r="W506" i="1" s="1"/>
  <c r="V506" i="1" a="1"/>
  <c r="V506" i="1" s="1"/>
  <c r="U506" i="1" a="1"/>
  <c r="U506" i="1" s="1"/>
  <c r="T506" i="1" a="1"/>
  <c r="T506" i="1" s="1"/>
  <c r="Y505" i="1" a="1"/>
  <c r="Y505" i="1" s="1"/>
  <c r="X505" i="1" a="1"/>
  <c r="X505" i="1" s="1"/>
  <c r="W505" i="1" a="1"/>
  <c r="W505" i="1" s="1"/>
  <c r="V505" i="1" a="1"/>
  <c r="V505" i="1" s="1"/>
  <c r="U505" i="1" a="1"/>
  <c r="U505" i="1" s="1"/>
  <c r="T505" i="1" a="1"/>
  <c r="T505" i="1" s="1"/>
  <c r="Y504" i="1" a="1"/>
  <c r="Y504" i="1" s="1"/>
  <c r="X504" i="1" a="1"/>
  <c r="X504" i="1" s="1"/>
  <c r="W504" i="1" a="1"/>
  <c r="W504" i="1" s="1"/>
  <c r="V504" i="1" a="1"/>
  <c r="V504" i="1" s="1"/>
  <c r="U504" i="1" a="1"/>
  <c r="U504" i="1" s="1"/>
  <c r="T504" i="1" a="1"/>
  <c r="T504" i="1" s="1"/>
  <c r="Y503" i="1" a="1"/>
  <c r="Y503" i="1" s="1"/>
  <c r="X503" i="1" a="1"/>
  <c r="X503" i="1" s="1"/>
  <c r="W503" i="1" a="1"/>
  <c r="W503" i="1" s="1"/>
  <c r="V503" i="1" a="1"/>
  <c r="V503" i="1" s="1"/>
  <c r="U503" i="1" a="1"/>
  <c r="U503" i="1" s="1"/>
  <c r="T503" i="1" a="1"/>
  <c r="T503" i="1" s="1"/>
  <c r="Y502" i="1" a="1"/>
  <c r="Y502" i="1" s="1"/>
  <c r="X502" i="1" a="1"/>
  <c r="X502" i="1" s="1"/>
  <c r="W502" i="1" a="1"/>
  <c r="W502" i="1" s="1"/>
  <c r="V502" i="1" a="1"/>
  <c r="V502" i="1" s="1"/>
  <c r="U502" i="1" a="1"/>
  <c r="U502" i="1" s="1"/>
  <c r="T502" i="1" a="1"/>
  <c r="T502" i="1" s="1"/>
  <c r="Y501" i="1" a="1"/>
  <c r="Y501" i="1" s="1"/>
  <c r="X501" i="1" a="1"/>
  <c r="X501" i="1" s="1"/>
  <c r="W501" i="1" a="1"/>
  <c r="W501" i="1" s="1"/>
  <c r="V501" i="1" a="1"/>
  <c r="V501" i="1" s="1"/>
  <c r="U501" i="1" a="1"/>
  <c r="U501" i="1" s="1"/>
  <c r="T501" i="1" a="1"/>
  <c r="T501" i="1" s="1"/>
  <c r="Y500" i="1" a="1"/>
  <c r="Y500" i="1" s="1"/>
  <c r="X500" i="1" a="1"/>
  <c r="X500" i="1" s="1"/>
  <c r="W500" i="1" a="1"/>
  <c r="W500" i="1" s="1"/>
  <c r="V500" i="1" a="1"/>
  <c r="V500" i="1" s="1"/>
  <c r="U500" i="1" a="1"/>
  <c r="U500" i="1" s="1"/>
  <c r="T500" i="1" a="1"/>
  <c r="T500" i="1" s="1"/>
  <c r="Y499" i="1" a="1"/>
  <c r="Y499" i="1" s="1"/>
  <c r="X499" i="1" a="1"/>
  <c r="X499" i="1" s="1"/>
  <c r="W499" i="1" a="1"/>
  <c r="W499" i="1" s="1"/>
  <c r="V499" i="1" a="1"/>
  <c r="V499" i="1" s="1"/>
  <c r="U499" i="1" a="1"/>
  <c r="U499" i="1" s="1"/>
  <c r="T499" i="1" a="1"/>
  <c r="T499" i="1" s="1"/>
  <c r="Y498" i="1" a="1"/>
  <c r="Y498" i="1" s="1"/>
  <c r="X498" i="1" a="1"/>
  <c r="X498" i="1" s="1"/>
  <c r="W498" i="1" a="1"/>
  <c r="W498" i="1" s="1"/>
  <c r="V498" i="1" a="1"/>
  <c r="V498" i="1" s="1"/>
  <c r="U498" i="1" a="1"/>
  <c r="U498" i="1" s="1"/>
  <c r="T498" i="1" a="1"/>
  <c r="T498" i="1" s="1"/>
  <c r="Y497" i="1" a="1"/>
  <c r="Y497" i="1" s="1"/>
  <c r="X497" i="1" a="1"/>
  <c r="X497" i="1" s="1"/>
  <c r="W497" i="1" a="1"/>
  <c r="W497" i="1" s="1"/>
  <c r="V497" i="1" a="1"/>
  <c r="V497" i="1" s="1"/>
  <c r="U497" i="1" a="1"/>
  <c r="U497" i="1" s="1"/>
  <c r="T497" i="1" a="1"/>
  <c r="T497" i="1" s="1"/>
  <c r="Y496" i="1" a="1"/>
  <c r="Y496" i="1" s="1"/>
  <c r="X496" i="1" a="1"/>
  <c r="X496" i="1" s="1"/>
  <c r="W496" i="1" a="1"/>
  <c r="W496" i="1" s="1"/>
  <c r="V496" i="1" a="1"/>
  <c r="V496" i="1" s="1"/>
  <c r="U496" i="1" a="1"/>
  <c r="U496" i="1" s="1"/>
  <c r="T496" i="1" a="1"/>
  <c r="T496" i="1" s="1"/>
  <c r="Y495" i="1" a="1"/>
  <c r="Y495" i="1" s="1"/>
  <c r="X495" i="1" a="1"/>
  <c r="X495" i="1" s="1"/>
  <c r="W495" i="1" a="1"/>
  <c r="W495" i="1" s="1"/>
  <c r="V495" i="1" a="1"/>
  <c r="V495" i="1" s="1"/>
  <c r="U495" i="1" a="1"/>
  <c r="U495" i="1" s="1"/>
  <c r="T495" i="1" a="1"/>
  <c r="T495" i="1" s="1"/>
  <c r="Y494" i="1" a="1"/>
  <c r="Y494" i="1" s="1"/>
  <c r="X494" i="1" a="1"/>
  <c r="X494" i="1" s="1"/>
  <c r="W494" i="1" a="1"/>
  <c r="W494" i="1" s="1"/>
  <c r="V494" i="1" a="1"/>
  <c r="V494" i="1" s="1"/>
  <c r="U494" i="1" a="1"/>
  <c r="U494" i="1" s="1"/>
  <c r="T494" i="1" a="1"/>
  <c r="T494" i="1" s="1"/>
  <c r="Y493" i="1" a="1"/>
  <c r="Y493" i="1" s="1"/>
  <c r="X493" i="1" a="1"/>
  <c r="X493" i="1" s="1"/>
  <c r="W493" i="1" a="1"/>
  <c r="W493" i="1" s="1"/>
  <c r="V493" i="1" a="1"/>
  <c r="V493" i="1" s="1"/>
  <c r="U493" i="1" a="1"/>
  <c r="U493" i="1" s="1"/>
  <c r="T493" i="1" a="1"/>
  <c r="T493" i="1" s="1"/>
  <c r="Y492" i="1" a="1"/>
  <c r="Y492" i="1" s="1"/>
  <c r="X492" i="1" a="1"/>
  <c r="X492" i="1" s="1"/>
  <c r="W492" i="1" a="1"/>
  <c r="W492" i="1" s="1"/>
  <c r="V492" i="1" a="1"/>
  <c r="V492" i="1" s="1"/>
  <c r="U492" i="1" a="1"/>
  <c r="U492" i="1" s="1"/>
  <c r="T492" i="1" a="1"/>
  <c r="T492" i="1" s="1"/>
  <c r="Y491" i="1" a="1"/>
  <c r="Y491" i="1" s="1"/>
  <c r="X491" i="1" a="1"/>
  <c r="X491" i="1" s="1"/>
  <c r="W491" i="1" a="1"/>
  <c r="W491" i="1" s="1"/>
  <c r="V491" i="1" a="1"/>
  <c r="V491" i="1" s="1"/>
  <c r="U491" i="1" a="1"/>
  <c r="U491" i="1" s="1"/>
  <c r="T491" i="1" a="1"/>
  <c r="T491" i="1" s="1"/>
  <c r="Y490" i="1" a="1"/>
  <c r="Y490" i="1" s="1"/>
  <c r="X490" i="1" a="1"/>
  <c r="X490" i="1" s="1"/>
  <c r="W490" i="1" a="1"/>
  <c r="W490" i="1" s="1"/>
  <c r="V490" i="1" a="1"/>
  <c r="V490" i="1" s="1"/>
  <c r="U490" i="1" a="1"/>
  <c r="U490" i="1" s="1"/>
  <c r="T490" i="1" a="1"/>
  <c r="T490" i="1" s="1"/>
  <c r="Y489" i="1" a="1"/>
  <c r="Y489" i="1" s="1"/>
  <c r="X489" i="1" a="1"/>
  <c r="X489" i="1" s="1"/>
  <c r="W489" i="1" a="1"/>
  <c r="W489" i="1" s="1"/>
  <c r="V489" i="1" a="1"/>
  <c r="V489" i="1" s="1"/>
  <c r="U489" i="1" a="1"/>
  <c r="U489" i="1" s="1"/>
  <c r="T489" i="1" a="1"/>
  <c r="T489" i="1" s="1"/>
  <c r="Y488" i="1" a="1"/>
  <c r="Y488" i="1" s="1"/>
  <c r="X488" i="1" a="1"/>
  <c r="X488" i="1" s="1"/>
  <c r="W488" i="1" a="1"/>
  <c r="W488" i="1" s="1"/>
  <c r="V488" i="1" a="1"/>
  <c r="V488" i="1" s="1"/>
  <c r="U488" i="1" a="1"/>
  <c r="U488" i="1" s="1"/>
  <c r="T488" i="1" a="1"/>
  <c r="T488" i="1" s="1"/>
  <c r="Y487" i="1" a="1"/>
  <c r="Y487" i="1" s="1"/>
  <c r="X487" i="1" a="1"/>
  <c r="X487" i="1" s="1"/>
  <c r="W487" i="1" a="1"/>
  <c r="W487" i="1" s="1"/>
  <c r="V487" i="1" a="1"/>
  <c r="V487" i="1" s="1"/>
  <c r="U487" i="1" a="1"/>
  <c r="U487" i="1" s="1"/>
  <c r="T487" i="1" a="1"/>
  <c r="T487" i="1" s="1"/>
  <c r="Y486" i="1" a="1"/>
  <c r="Y486" i="1" s="1"/>
  <c r="X486" i="1" a="1"/>
  <c r="X486" i="1" s="1"/>
  <c r="W486" i="1" a="1"/>
  <c r="W486" i="1" s="1"/>
  <c r="V486" i="1" a="1"/>
  <c r="V486" i="1" s="1"/>
  <c r="U486" i="1" a="1"/>
  <c r="U486" i="1" s="1"/>
  <c r="T486" i="1" a="1"/>
  <c r="T486" i="1" s="1"/>
  <c r="Y485" i="1" a="1"/>
  <c r="Y485" i="1" s="1"/>
  <c r="X485" i="1" a="1"/>
  <c r="X485" i="1" s="1"/>
  <c r="W485" i="1" a="1"/>
  <c r="W485" i="1" s="1"/>
  <c r="V485" i="1" a="1"/>
  <c r="V485" i="1" s="1"/>
  <c r="U485" i="1" a="1"/>
  <c r="U485" i="1" s="1"/>
  <c r="T485" i="1" a="1"/>
  <c r="T485" i="1" s="1"/>
  <c r="Y484" i="1" a="1"/>
  <c r="Y484" i="1" s="1"/>
  <c r="X484" i="1" a="1"/>
  <c r="X484" i="1" s="1"/>
  <c r="W484" i="1" a="1"/>
  <c r="W484" i="1" s="1"/>
  <c r="V484" i="1" a="1"/>
  <c r="V484" i="1" s="1"/>
  <c r="U484" i="1" a="1"/>
  <c r="U484" i="1" s="1"/>
  <c r="T484" i="1" a="1"/>
  <c r="T484" i="1" s="1"/>
  <c r="Y483" i="1" a="1"/>
  <c r="Y483" i="1" s="1"/>
  <c r="X483" i="1" a="1"/>
  <c r="X483" i="1" s="1"/>
  <c r="W483" i="1" a="1"/>
  <c r="W483" i="1" s="1"/>
  <c r="V483" i="1" a="1"/>
  <c r="V483" i="1" s="1"/>
  <c r="U483" i="1" a="1"/>
  <c r="U483" i="1" s="1"/>
  <c r="T483" i="1" a="1"/>
  <c r="T483" i="1" s="1"/>
  <c r="Y482" i="1" a="1"/>
  <c r="Y482" i="1" s="1"/>
  <c r="X482" i="1" a="1"/>
  <c r="X482" i="1" s="1"/>
  <c r="W482" i="1" a="1"/>
  <c r="W482" i="1" s="1"/>
  <c r="V482" i="1" a="1"/>
  <c r="V482" i="1" s="1"/>
  <c r="U482" i="1" a="1"/>
  <c r="U482" i="1" s="1"/>
  <c r="T482" i="1" a="1"/>
  <c r="T482" i="1" s="1"/>
  <c r="Y481" i="1" a="1"/>
  <c r="Y481" i="1" s="1"/>
  <c r="X481" i="1" a="1"/>
  <c r="X481" i="1" s="1"/>
  <c r="W481" i="1" a="1"/>
  <c r="W481" i="1" s="1"/>
  <c r="V481" i="1" a="1"/>
  <c r="V481" i="1" s="1"/>
  <c r="U481" i="1" a="1"/>
  <c r="U481" i="1" s="1"/>
  <c r="T481" i="1" a="1"/>
  <c r="T481" i="1" s="1"/>
  <c r="Y480" i="1" a="1"/>
  <c r="Y480" i="1" s="1"/>
  <c r="X480" i="1" a="1"/>
  <c r="X480" i="1" s="1"/>
  <c r="W480" i="1" a="1"/>
  <c r="W480" i="1" s="1"/>
  <c r="V480" i="1" a="1"/>
  <c r="V480" i="1" s="1"/>
  <c r="U480" i="1" a="1"/>
  <c r="U480" i="1" s="1"/>
  <c r="T480" i="1" a="1"/>
  <c r="T480" i="1" s="1"/>
  <c r="Y479" i="1" a="1"/>
  <c r="Y479" i="1" s="1"/>
  <c r="X479" i="1" a="1"/>
  <c r="X479" i="1" s="1"/>
  <c r="W479" i="1" a="1"/>
  <c r="W479" i="1" s="1"/>
  <c r="V479" i="1" a="1"/>
  <c r="V479" i="1" s="1"/>
  <c r="U479" i="1" a="1"/>
  <c r="U479" i="1" s="1"/>
  <c r="T479" i="1" a="1"/>
  <c r="T479" i="1" s="1"/>
  <c r="Y478" i="1" a="1"/>
  <c r="Y478" i="1" s="1"/>
  <c r="X478" i="1" a="1"/>
  <c r="X478" i="1" s="1"/>
  <c r="W478" i="1" a="1"/>
  <c r="W478" i="1" s="1"/>
  <c r="V478" i="1" a="1"/>
  <c r="V478" i="1" s="1"/>
  <c r="U478" i="1" a="1"/>
  <c r="U478" i="1" s="1"/>
  <c r="T478" i="1" a="1"/>
  <c r="T478" i="1" s="1"/>
  <c r="Y477" i="1" a="1"/>
  <c r="Y477" i="1" s="1"/>
  <c r="X477" i="1" a="1"/>
  <c r="X477" i="1" s="1"/>
  <c r="W477" i="1" a="1"/>
  <c r="W477" i="1" s="1"/>
  <c r="V477" i="1" a="1"/>
  <c r="V477" i="1" s="1"/>
  <c r="U477" i="1" a="1"/>
  <c r="U477" i="1" s="1"/>
  <c r="T477" i="1" a="1"/>
  <c r="T477" i="1" s="1"/>
  <c r="Y476" i="1" a="1"/>
  <c r="Y476" i="1" s="1"/>
  <c r="X476" i="1" a="1"/>
  <c r="X476" i="1" s="1"/>
  <c r="W476" i="1" a="1"/>
  <c r="W476" i="1" s="1"/>
  <c r="V476" i="1" a="1"/>
  <c r="V476" i="1" s="1"/>
  <c r="U476" i="1" a="1"/>
  <c r="U476" i="1" s="1"/>
  <c r="T476" i="1" a="1"/>
  <c r="T476" i="1" s="1"/>
  <c r="Y475" i="1" a="1"/>
  <c r="Y475" i="1" s="1"/>
  <c r="X475" i="1" a="1"/>
  <c r="X475" i="1" s="1"/>
  <c r="W475" i="1" a="1"/>
  <c r="W475" i="1" s="1"/>
  <c r="V475" i="1" a="1"/>
  <c r="V475" i="1" s="1"/>
  <c r="U475" i="1" a="1"/>
  <c r="U475" i="1" s="1"/>
  <c r="T475" i="1" a="1"/>
  <c r="T475" i="1" s="1"/>
  <c r="Y474" i="1" a="1"/>
  <c r="Y474" i="1" s="1"/>
  <c r="X474" i="1" a="1"/>
  <c r="X474" i="1" s="1"/>
  <c r="W474" i="1" a="1"/>
  <c r="W474" i="1" s="1"/>
  <c r="V474" i="1" a="1"/>
  <c r="V474" i="1" s="1"/>
  <c r="U474" i="1" a="1"/>
  <c r="U474" i="1" s="1"/>
  <c r="T474" i="1" a="1"/>
  <c r="T474" i="1" s="1"/>
  <c r="Y473" i="1" a="1"/>
  <c r="Y473" i="1" s="1"/>
  <c r="X473" i="1" a="1"/>
  <c r="X473" i="1" s="1"/>
  <c r="W473" i="1" a="1"/>
  <c r="W473" i="1" s="1"/>
  <c r="V473" i="1" a="1"/>
  <c r="V473" i="1" s="1"/>
  <c r="U473" i="1" a="1"/>
  <c r="U473" i="1" s="1"/>
  <c r="T473" i="1" a="1"/>
  <c r="T473" i="1" s="1"/>
  <c r="Y472" i="1" a="1"/>
  <c r="Y472" i="1" s="1"/>
  <c r="X472" i="1" a="1"/>
  <c r="X472" i="1" s="1"/>
  <c r="W472" i="1" a="1"/>
  <c r="W472" i="1" s="1"/>
  <c r="V472" i="1" a="1"/>
  <c r="V472" i="1" s="1"/>
  <c r="U472" i="1" a="1"/>
  <c r="U472" i="1" s="1"/>
  <c r="T472" i="1" a="1"/>
  <c r="T472" i="1" s="1"/>
  <c r="Y471" i="1" a="1"/>
  <c r="Y471" i="1" s="1"/>
  <c r="X471" i="1" a="1"/>
  <c r="X471" i="1" s="1"/>
  <c r="W471" i="1" a="1"/>
  <c r="W471" i="1" s="1"/>
  <c r="V471" i="1" a="1"/>
  <c r="V471" i="1" s="1"/>
  <c r="U471" i="1" a="1"/>
  <c r="U471" i="1" s="1"/>
  <c r="T471" i="1" a="1"/>
  <c r="T471" i="1" s="1"/>
  <c r="Y470" i="1" a="1"/>
  <c r="Y470" i="1" s="1"/>
  <c r="X470" i="1" a="1"/>
  <c r="X470" i="1" s="1"/>
  <c r="W470" i="1" a="1"/>
  <c r="W470" i="1" s="1"/>
  <c r="V470" i="1" a="1"/>
  <c r="V470" i="1" s="1"/>
  <c r="U470" i="1" a="1"/>
  <c r="U470" i="1" s="1"/>
  <c r="T470" i="1" a="1"/>
  <c r="T470" i="1" s="1"/>
  <c r="Y469" i="1" a="1"/>
  <c r="Y469" i="1" s="1"/>
  <c r="X469" i="1" a="1"/>
  <c r="X469" i="1" s="1"/>
  <c r="W469" i="1" a="1"/>
  <c r="W469" i="1" s="1"/>
  <c r="V469" i="1" a="1"/>
  <c r="V469" i="1" s="1"/>
  <c r="U469" i="1" a="1"/>
  <c r="U469" i="1" s="1"/>
  <c r="T469" i="1" a="1"/>
  <c r="T469" i="1" s="1"/>
  <c r="Y468" i="1" a="1"/>
  <c r="Y468" i="1" s="1"/>
  <c r="X468" i="1" a="1"/>
  <c r="X468" i="1" s="1"/>
  <c r="W468" i="1" a="1"/>
  <c r="W468" i="1" s="1"/>
  <c r="V468" i="1" a="1"/>
  <c r="V468" i="1" s="1"/>
  <c r="U468" i="1" a="1"/>
  <c r="U468" i="1" s="1"/>
  <c r="T468" i="1" a="1"/>
  <c r="T468" i="1" s="1"/>
  <c r="Y467" i="1" a="1"/>
  <c r="Y467" i="1" s="1"/>
  <c r="X467" i="1" a="1"/>
  <c r="X467" i="1" s="1"/>
  <c r="W467" i="1" a="1"/>
  <c r="W467" i="1" s="1"/>
  <c r="V467" i="1" a="1"/>
  <c r="V467" i="1" s="1"/>
  <c r="U467" i="1" a="1"/>
  <c r="U467" i="1" s="1"/>
  <c r="T467" i="1" a="1"/>
  <c r="T467" i="1" s="1"/>
  <c r="Y466" i="1" a="1"/>
  <c r="Y466" i="1" s="1"/>
  <c r="X466" i="1" a="1"/>
  <c r="X466" i="1" s="1"/>
  <c r="W466" i="1" a="1"/>
  <c r="W466" i="1" s="1"/>
  <c r="V466" i="1" a="1"/>
  <c r="V466" i="1" s="1"/>
  <c r="U466" i="1" a="1"/>
  <c r="U466" i="1" s="1"/>
  <c r="T466" i="1" a="1"/>
  <c r="T466" i="1" s="1"/>
  <c r="Y465" i="1" a="1"/>
  <c r="Y465" i="1" s="1"/>
  <c r="X465" i="1" a="1"/>
  <c r="X465" i="1" s="1"/>
  <c r="W465" i="1" a="1"/>
  <c r="W465" i="1" s="1"/>
  <c r="V465" i="1" a="1"/>
  <c r="V465" i="1" s="1"/>
  <c r="U465" i="1" a="1"/>
  <c r="U465" i="1" s="1"/>
  <c r="T465" i="1" a="1"/>
  <c r="T465" i="1" s="1"/>
  <c r="Y464" i="1" a="1"/>
  <c r="Y464" i="1" s="1"/>
  <c r="X464" i="1" a="1"/>
  <c r="X464" i="1" s="1"/>
  <c r="W464" i="1" a="1"/>
  <c r="W464" i="1" s="1"/>
  <c r="V464" i="1" a="1"/>
  <c r="V464" i="1" s="1"/>
  <c r="U464" i="1" a="1"/>
  <c r="U464" i="1" s="1"/>
  <c r="T464" i="1" a="1"/>
  <c r="T464" i="1" s="1"/>
  <c r="Y463" i="1" a="1"/>
  <c r="Y463" i="1" s="1"/>
  <c r="X463" i="1" a="1"/>
  <c r="X463" i="1" s="1"/>
  <c r="W463" i="1" a="1"/>
  <c r="W463" i="1" s="1"/>
  <c r="V463" i="1" a="1"/>
  <c r="V463" i="1" s="1"/>
  <c r="U463" i="1" a="1"/>
  <c r="U463" i="1" s="1"/>
  <c r="T463" i="1" a="1"/>
  <c r="T463" i="1" s="1"/>
  <c r="Y462" i="1" a="1"/>
  <c r="Y462" i="1" s="1"/>
  <c r="X462" i="1" a="1"/>
  <c r="X462" i="1" s="1"/>
  <c r="W462" i="1" a="1"/>
  <c r="W462" i="1" s="1"/>
  <c r="V462" i="1" a="1"/>
  <c r="V462" i="1" s="1"/>
  <c r="U462" i="1" a="1"/>
  <c r="U462" i="1" s="1"/>
  <c r="T462" i="1" a="1"/>
  <c r="T462" i="1" s="1"/>
  <c r="Y461" i="1" a="1"/>
  <c r="Y461" i="1" s="1"/>
  <c r="X461" i="1" a="1"/>
  <c r="X461" i="1" s="1"/>
  <c r="W461" i="1" a="1"/>
  <c r="W461" i="1" s="1"/>
  <c r="V461" i="1" a="1"/>
  <c r="V461" i="1" s="1"/>
  <c r="U461" i="1" a="1"/>
  <c r="U461" i="1" s="1"/>
  <c r="T461" i="1" a="1"/>
  <c r="T461" i="1" s="1"/>
  <c r="Y460" i="1" a="1"/>
  <c r="Y460" i="1" s="1"/>
  <c r="X460" i="1" a="1"/>
  <c r="X460" i="1" s="1"/>
  <c r="W460" i="1" a="1"/>
  <c r="W460" i="1" s="1"/>
  <c r="V460" i="1" a="1"/>
  <c r="V460" i="1" s="1"/>
  <c r="U460" i="1" a="1"/>
  <c r="U460" i="1" s="1"/>
  <c r="T460" i="1" a="1"/>
  <c r="T460" i="1" s="1"/>
  <c r="Y459" i="1" a="1"/>
  <c r="Y459" i="1" s="1"/>
  <c r="X459" i="1" a="1"/>
  <c r="X459" i="1" s="1"/>
  <c r="W459" i="1" a="1"/>
  <c r="W459" i="1" s="1"/>
  <c r="V459" i="1" a="1"/>
  <c r="V459" i="1" s="1"/>
  <c r="U459" i="1" a="1"/>
  <c r="U459" i="1" s="1"/>
  <c r="T459" i="1" a="1"/>
  <c r="T459" i="1" s="1"/>
  <c r="Y458" i="1" a="1"/>
  <c r="Y458" i="1" s="1"/>
  <c r="X458" i="1" a="1"/>
  <c r="X458" i="1" s="1"/>
  <c r="W458" i="1" a="1"/>
  <c r="W458" i="1" s="1"/>
  <c r="V458" i="1" a="1"/>
  <c r="V458" i="1" s="1"/>
  <c r="U458" i="1" a="1"/>
  <c r="U458" i="1" s="1"/>
  <c r="T458" i="1" a="1"/>
  <c r="T458" i="1" s="1"/>
  <c r="Y457" i="1" a="1"/>
  <c r="Y457" i="1" s="1"/>
  <c r="X457" i="1" a="1"/>
  <c r="X457" i="1" s="1"/>
  <c r="W457" i="1" a="1"/>
  <c r="W457" i="1" s="1"/>
  <c r="V457" i="1" a="1"/>
  <c r="V457" i="1" s="1"/>
  <c r="U457" i="1" a="1"/>
  <c r="U457" i="1" s="1"/>
  <c r="T457" i="1" a="1"/>
  <c r="T457" i="1" s="1"/>
  <c r="Y456" i="1" a="1"/>
  <c r="Y456" i="1" s="1"/>
  <c r="X456" i="1" a="1"/>
  <c r="X456" i="1" s="1"/>
  <c r="W456" i="1" a="1"/>
  <c r="W456" i="1" s="1"/>
  <c r="V456" i="1" a="1"/>
  <c r="V456" i="1" s="1"/>
  <c r="U456" i="1" a="1"/>
  <c r="U456" i="1" s="1"/>
  <c r="T456" i="1" a="1"/>
  <c r="T456" i="1" s="1"/>
  <c r="Y455" i="1" a="1"/>
  <c r="Y455" i="1" s="1"/>
  <c r="X455" i="1" a="1"/>
  <c r="X455" i="1" s="1"/>
  <c r="W455" i="1" a="1"/>
  <c r="W455" i="1" s="1"/>
  <c r="V455" i="1" a="1"/>
  <c r="V455" i="1" s="1"/>
  <c r="U455" i="1" a="1"/>
  <c r="U455" i="1" s="1"/>
  <c r="T455" i="1" a="1"/>
  <c r="T455" i="1" s="1"/>
  <c r="Y454" i="1" a="1"/>
  <c r="Y454" i="1" s="1"/>
  <c r="X454" i="1" a="1"/>
  <c r="X454" i="1" s="1"/>
  <c r="W454" i="1" a="1"/>
  <c r="W454" i="1" s="1"/>
  <c r="V454" i="1" a="1"/>
  <c r="V454" i="1" s="1"/>
  <c r="U454" i="1" a="1"/>
  <c r="U454" i="1" s="1"/>
  <c r="T454" i="1" a="1"/>
  <c r="T454" i="1" s="1"/>
  <c r="Y453" i="1" a="1"/>
  <c r="Y453" i="1" s="1"/>
  <c r="X453" i="1" a="1"/>
  <c r="X453" i="1" s="1"/>
  <c r="W453" i="1" a="1"/>
  <c r="W453" i="1" s="1"/>
  <c r="V453" i="1" a="1"/>
  <c r="V453" i="1" s="1"/>
  <c r="U453" i="1" a="1"/>
  <c r="U453" i="1" s="1"/>
  <c r="T453" i="1" a="1"/>
  <c r="T453" i="1" s="1"/>
  <c r="Y452" i="1" a="1"/>
  <c r="Y452" i="1" s="1"/>
  <c r="X452" i="1" a="1"/>
  <c r="X452" i="1" s="1"/>
  <c r="W452" i="1" a="1"/>
  <c r="W452" i="1" s="1"/>
  <c r="V452" i="1" a="1"/>
  <c r="V452" i="1" s="1"/>
  <c r="U452" i="1" a="1"/>
  <c r="U452" i="1" s="1"/>
  <c r="T452" i="1" a="1"/>
  <c r="T452" i="1" s="1"/>
  <c r="Y451" i="1" a="1"/>
  <c r="Y451" i="1" s="1"/>
  <c r="X451" i="1" a="1"/>
  <c r="X451" i="1" s="1"/>
  <c r="W451" i="1" a="1"/>
  <c r="W451" i="1" s="1"/>
  <c r="V451" i="1" a="1"/>
  <c r="V451" i="1" s="1"/>
  <c r="U451" i="1" a="1"/>
  <c r="U451" i="1" s="1"/>
  <c r="T451" i="1" a="1"/>
  <c r="T451" i="1" s="1"/>
  <c r="Y450" i="1" a="1"/>
  <c r="Y450" i="1" s="1"/>
  <c r="X450" i="1" a="1"/>
  <c r="X450" i="1" s="1"/>
  <c r="W450" i="1" a="1"/>
  <c r="W450" i="1" s="1"/>
  <c r="V450" i="1" a="1"/>
  <c r="V450" i="1" s="1"/>
  <c r="U450" i="1" a="1"/>
  <c r="U450" i="1" s="1"/>
  <c r="T450" i="1" a="1"/>
  <c r="T450" i="1" s="1"/>
  <c r="Y449" i="1" a="1"/>
  <c r="Y449" i="1" s="1"/>
  <c r="X449" i="1" a="1"/>
  <c r="X449" i="1" s="1"/>
  <c r="W449" i="1" a="1"/>
  <c r="W449" i="1" s="1"/>
  <c r="V449" i="1" a="1"/>
  <c r="V449" i="1" s="1"/>
  <c r="U449" i="1" a="1"/>
  <c r="U449" i="1" s="1"/>
  <c r="T449" i="1" a="1"/>
  <c r="T449" i="1" s="1"/>
  <c r="Y448" i="1" a="1"/>
  <c r="Y448" i="1" s="1"/>
  <c r="X448" i="1" a="1"/>
  <c r="X448" i="1" s="1"/>
  <c r="W448" i="1" a="1"/>
  <c r="W448" i="1" s="1"/>
  <c r="V448" i="1" a="1"/>
  <c r="V448" i="1" s="1"/>
  <c r="U448" i="1" a="1"/>
  <c r="U448" i="1" s="1"/>
  <c r="T448" i="1" a="1"/>
  <c r="T448" i="1" s="1"/>
  <c r="Y447" i="1" a="1"/>
  <c r="Y447" i="1" s="1"/>
  <c r="X447" i="1" a="1"/>
  <c r="X447" i="1" s="1"/>
  <c r="W447" i="1" a="1"/>
  <c r="W447" i="1" s="1"/>
  <c r="V447" i="1" a="1"/>
  <c r="V447" i="1" s="1"/>
  <c r="U447" i="1" a="1"/>
  <c r="U447" i="1" s="1"/>
  <c r="T447" i="1" a="1"/>
  <c r="T447" i="1" s="1"/>
  <c r="Y446" i="1" a="1"/>
  <c r="Y446" i="1" s="1"/>
  <c r="X446" i="1" a="1"/>
  <c r="X446" i="1" s="1"/>
  <c r="W446" i="1" a="1"/>
  <c r="W446" i="1" s="1"/>
  <c r="V446" i="1" a="1"/>
  <c r="V446" i="1" s="1"/>
  <c r="U446" i="1" a="1"/>
  <c r="U446" i="1" s="1"/>
  <c r="T446" i="1" a="1"/>
  <c r="T446" i="1" s="1"/>
  <c r="Y445" i="1" a="1"/>
  <c r="Y445" i="1" s="1"/>
  <c r="X445" i="1" a="1"/>
  <c r="X445" i="1" s="1"/>
  <c r="W445" i="1" a="1"/>
  <c r="W445" i="1" s="1"/>
  <c r="V445" i="1" a="1"/>
  <c r="V445" i="1" s="1"/>
  <c r="U445" i="1" a="1"/>
  <c r="U445" i="1" s="1"/>
  <c r="T445" i="1" a="1"/>
  <c r="T445" i="1" s="1"/>
  <c r="Y444" i="1" a="1"/>
  <c r="Y444" i="1" s="1"/>
  <c r="X444" i="1" a="1"/>
  <c r="X444" i="1" s="1"/>
  <c r="W444" i="1" a="1"/>
  <c r="W444" i="1" s="1"/>
  <c r="V444" i="1" a="1"/>
  <c r="V444" i="1" s="1"/>
  <c r="U444" i="1" a="1"/>
  <c r="U444" i="1" s="1"/>
  <c r="T444" i="1" a="1"/>
  <c r="T444" i="1" s="1"/>
  <c r="Y443" i="1" a="1"/>
  <c r="Y443" i="1" s="1"/>
  <c r="X443" i="1" a="1"/>
  <c r="X443" i="1" s="1"/>
  <c r="W443" i="1" a="1"/>
  <c r="W443" i="1" s="1"/>
  <c r="V443" i="1" a="1"/>
  <c r="V443" i="1" s="1"/>
  <c r="U443" i="1" a="1"/>
  <c r="U443" i="1" s="1"/>
  <c r="T443" i="1" a="1"/>
  <c r="T443" i="1" s="1"/>
  <c r="Y442" i="1" a="1"/>
  <c r="Y442" i="1" s="1"/>
  <c r="X442" i="1" a="1"/>
  <c r="X442" i="1" s="1"/>
  <c r="W442" i="1" a="1"/>
  <c r="W442" i="1" s="1"/>
  <c r="V442" i="1" a="1"/>
  <c r="V442" i="1" s="1"/>
  <c r="U442" i="1" a="1"/>
  <c r="U442" i="1" s="1"/>
  <c r="T442" i="1" a="1"/>
  <c r="T442" i="1" s="1"/>
  <c r="Y441" i="1" a="1"/>
  <c r="Y441" i="1" s="1"/>
  <c r="X441" i="1" a="1"/>
  <c r="X441" i="1" s="1"/>
  <c r="W441" i="1" a="1"/>
  <c r="W441" i="1" s="1"/>
  <c r="V441" i="1" a="1"/>
  <c r="V441" i="1" s="1"/>
  <c r="U441" i="1" a="1"/>
  <c r="U441" i="1" s="1"/>
  <c r="T441" i="1" a="1"/>
  <c r="T441" i="1" s="1"/>
  <c r="Y440" i="1" a="1"/>
  <c r="Y440" i="1" s="1"/>
  <c r="X440" i="1" a="1"/>
  <c r="X440" i="1" s="1"/>
  <c r="W440" i="1" a="1"/>
  <c r="W440" i="1" s="1"/>
  <c r="V440" i="1" a="1"/>
  <c r="V440" i="1" s="1"/>
  <c r="U440" i="1" a="1"/>
  <c r="U440" i="1" s="1"/>
  <c r="T440" i="1" a="1"/>
  <c r="T440" i="1" s="1"/>
  <c r="Y439" i="1" a="1"/>
  <c r="Y439" i="1" s="1"/>
  <c r="X439" i="1" a="1"/>
  <c r="X439" i="1" s="1"/>
  <c r="W439" i="1" a="1"/>
  <c r="W439" i="1" s="1"/>
  <c r="V439" i="1" a="1"/>
  <c r="V439" i="1" s="1"/>
  <c r="U439" i="1" a="1"/>
  <c r="U439" i="1" s="1"/>
  <c r="T439" i="1" a="1"/>
  <c r="T439" i="1" s="1"/>
  <c r="Y438" i="1" a="1"/>
  <c r="Y438" i="1" s="1"/>
  <c r="X438" i="1" a="1"/>
  <c r="X438" i="1" s="1"/>
  <c r="W438" i="1" a="1"/>
  <c r="W438" i="1" s="1"/>
  <c r="V438" i="1" a="1"/>
  <c r="V438" i="1" s="1"/>
  <c r="U438" i="1" a="1"/>
  <c r="U438" i="1" s="1"/>
  <c r="T438" i="1" a="1"/>
  <c r="T438" i="1" s="1"/>
  <c r="Y437" i="1" a="1"/>
  <c r="Y437" i="1" s="1"/>
  <c r="X437" i="1" a="1"/>
  <c r="X437" i="1" s="1"/>
  <c r="W437" i="1" a="1"/>
  <c r="W437" i="1" s="1"/>
  <c r="V437" i="1" a="1"/>
  <c r="V437" i="1" s="1"/>
  <c r="U437" i="1" a="1"/>
  <c r="U437" i="1" s="1"/>
  <c r="T437" i="1" a="1"/>
  <c r="T437" i="1" s="1"/>
  <c r="Y436" i="1" a="1"/>
  <c r="Y436" i="1" s="1"/>
  <c r="X436" i="1" a="1"/>
  <c r="X436" i="1" s="1"/>
  <c r="W436" i="1" a="1"/>
  <c r="W436" i="1" s="1"/>
  <c r="V436" i="1" a="1"/>
  <c r="V436" i="1" s="1"/>
  <c r="U436" i="1" a="1"/>
  <c r="U436" i="1" s="1"/>
  <c r="T436" i="1" a="1"/>
  <c r="T436" i="1" s="1"/>
  <c r="Y435" i="1" a="1"/>
  <c r="Y435" i="1" s="1"/>
  <c r="X435" i="1" a="1"/>
  <c r="X435" i="1" s="1"/>
  <c r="W435" i="1" a="1"/>
  <c r="W435" i="1" s="1"/>
  <c r="V435" i="1" a="1"/>
  <c r="V435" i="1" s="1"/>
  <c r="U435" i="1" a="1"/>
  <c r="U435" i="1" s="1"/>
  <c r="T435" i="1" a="1"/>
  <c r="T435" i="1" s="1"/>
  <c r="Y434" i="1" a="1"/>
  <c r="Y434" i="1" s="1"/>
  <c r="X434" i="1" a="1"/>
  <c r="X434" i="1" s="1"/>
  <c r="W434" i="1" a="1"/>
  <c r="W434" i="1" s="1"/>
  <c r="V434" i="1" a="1"/>
  <c r="V434" i="1" s="1"/>
  <c r="U434" i="1" a="1"/>
  <c r="U434" i="1" s="1"/>
  <c r="T434" i="1" a="1"/>
  <c r="T434" i="1" s="1"/>
  <c r="Y433" i="1" a="1"/>
  <c r="Y433" i="1" s="1"/>
  <c r="X433" i="1" a="1"/>
  <c r="X433" i="1" s="1"/>
  <c r="W433" i="1" a="1"/>
  <c r="W433" i="1" s="1"/>
  <c r="V433" i="1" a="1"/>
  <c r="V433" i="1" s="1"/>
  <c r="U433" i="1" a="1"/>
  <c r="U433" i="1" s="1"/>
  <c r="T433" i="1" a="1"/>
  <c r="T433" i="1" s="1"/>
  <c r="Y432" i="1" a="1"/>
  <c r="Y432" i="1" s="1"/>
  <c r="X432" i="1" a="1"/>
  <c r="X432" i="1" s="1"/>
  <c r="W432" i="1" a="1"/>
  <c r="W432" i="1" s="1"/>
  <c r="V432" i="1" a="1"/>
  <c r="V432" i="1" s="1"/>
  <c r="U432" i="1" a="1"/>
  <c r="U432" i="1" s="1"/>
  <c r="T432" i="1" a="1"/>
  <c r="T432" i="1" s="1"/>
  <c r="Y431" i="1" a="1"/>
  <c r="Y431" i="1" s="1"/>
  <c r="X431" i="1" a="1"/>
  <c r="X431" i="1" s="1"/>
  <c r="W431" i="1" a="1"/>
  <c r="W431" i="1" s="1"/>
  <c r="V431" i="1" a="1"/>
  <c r="V431" i="1" s="1"/>
  <c r="U431" i="1" a="1"/>
  <c r="U431" i="1" s="1"/>
  <c r="T431" i="1" a="1"/>
  <c r="T431" i="1" s="1"/>
  <c r="Y430" i="1" a="1"/>
  <c r="Y430" i="1" s="1"/>
  <c r="X430" i="1" a="1"/>
  <c r="X430" i="1" s="1"/>
  <c r="W430" i="1" a="1"/>
  <c r="W430" i="1" s="1"/>
  <c r="V430" i="1" a="1"/>
  <c r="V430" i="1" s="1"/>
  <c r="U430" i="1" a="1"/>
  <c r="U430" i="1" s="1"/>
  <c r="T430" i="1" a="1"/>
  <c r="T430" i="1" s="1"/>
  <c r="Y429" i="1" a="1"/>
  <c r="Y429" i="1" s="1"/>
  <c r="X429" i="1" a="1"/>
  <c r="X429" i="1" s="1"/>
  <c r="W429" i="1" a="1"/>
  <c r="W429" i="1" s="1"/>
  <c r="V429" i="1" a="1"/>
  <c r="V429" i="1" s="1"/>
  <c r="U429" i="1" a="1"/>
  <c r="U429" i="1" s="1"/>
  <c r="T429" i="1" a="1"/>
  <c r="T429" i="1" s="1"/>
  <c r="Y428" i="1" a="1"/>
  <c r="Y428" i="1" s="1"/>
  <c r="X428" i="1" a="1"/>
  <c r="X428" i="1" s="1"/>
  <c r="W428" i="1" a="1"/>
  <c r="W428" i="1" s="1"/>
  <c r="V428" i="1" a="1"/>
  <c r="V428" i="1" s="1"/>
  <c r="U428" i="1" a="1"/>
  <c r="U428" i="1" s="1"/>
  <c r="T428" i="1" a="1"/>
  <c r="T428" i="1" s="1"/>
  <c r="Y427" i="1" a="1"/>
  <c r="Y427" i="1" s="1"/>
  <c r="X427" i="1" a="1"/>
  <c r="X427" i="1" s="1"/>
  <c r="W427" i="1" a="1"/>
  <c r="W427" i="1" s="1"/>
  <c r="V427" i="1" a="1"/>
  <c r="V427" i="1" s="1"/>
  <c r="U427" i="1" a="1"/>
  <c r="U427" i="1" s="1"/>
  <c r="T427" i="1" a="1"/>
  <c r="T427" i="1" s="1"/>
  <c r="Y426" i="1" a="1"/>
  <c r="Y426" i="1" s="1"/>
  <c r="X426" i="1" a="1"/>
  <c r="X426" i="1" s="1"/>
  <c r="W426" i="1" a="1"/>
  <c r="W426" i="1" s="1"/>
  <c r="V426" i="1" a="1"/>
  <c r="V426" i="1" s="1"/>
  <c r="U426" i="1" a="1"/>
  <c r="U426" i="1" s="1"/>
  <c r="T426" i="1" a="1"/>
  <c r="T426" i="1" s="1"/>
  <c r="Y425" i="1" a="1"/>
  <c r="Y425" i="1" s="1"/>
  <c r="X425" i="1" a="1"/>
  <c r="X425" i="1" s="1"/>
  <c r="W425" i="1" a="1"/>
  <c r="W425" i="1" s="1"/>
  <c r="V425" i="1" a="1"/>
  <c r="V425" i="1" s="1"/>
  <c r="U425" i="1" a="1"/>
  <c r="U425" i="1" s="1"/>
  <c r="T425" i="1" a="1"/>
  <c r="T425" i="1" s="1"/>
  <c r="Y424" i="1" a="1"/>
  <c r="Y424" i="1" s="1"/>
  <c r="X424" i="1" a="1"/>
  <c r="X424" i="1" s="1"/>
  <c r="W424" i="1" a="1"/>
  <c r="W424" i="1" s="1"/>
  <c r="V424" i="1" a="1"/>
  <c r="V424" i="1" s="1"/>
  <c r="U424" i="1" a="1"/>
  <c r="U424" i="1" s="1"/>
  <c r="T424" i="1" a="1"/>
  <c r="T424" i="1" s="1"/>
  <c r="Y423" i="1" a="1"/>
  <c r="Y423" i="1" s="1"/>
  <c r="X423" i="1" a="1"/>
  <c r="X423" i="1" s="1"/>
  <c r="W423" i="1" a="1"/>
  <c r="W423" i="1" s="1"/>
  <c r="V423" i="1" a="1"/>
  <c r="V423" i="1" s="1"/>
  <c r="U423" i="1" a="1"/>
  <c r="U423" i="1" s="1"/>
  <c r="T423" i="1" a="1"/>
  <c r="T423" i="1" s="1"/>
  <c r="Y422" i="1" a="1"/>
  <c r="Y422" i="1" s="1"/>
  <c r="X422" i="1" a="1"/>
  <c r="X422" i="1" s="1"/>
  <c r="W422" i="1" a="1"/>
  <c r="W422" i="1" s="1"/>
  <c r="V422" i="1" a="1"/>
  <c r="V422" i="1" s="1"/>
  <c r="U422" i="1" a="1"/>
  <c r="U422" i="1" s="1"/>
  <c r="T422" i="1" a="1"/>
  <c r="T422" i="1" s="1"/>
  <c r="Y421" i="1" a="1"/>
  <c r="Y421" i="1" s="1"/>
  <c r="X421" i="1" a="1"/>
  <c r="X421" i="1" s="1"/>
  <c r="W421" i="1" a="1"/>
  <c r="W421" i="1" s="1"/>
  <c r="V421" i="1" a="1"/>
  <c r="V421" i="1" s="1"/>
  <c r="U421" i="1" a="1"/>
  <c r="U421" i="1" s="1"/>
  <c r="T421" i="1" a="1"/>
  <c r="T421" i="1" s="1"/>
  <c r="Y420" i="1" a="1"/>
  <c r="Y420" i="1" s="1"/>
  <c r="X420" i="1" a="1"/>
  <c r="X420" i="1" s="1"/>
  <c r="W420" i="1" a="1"/>
  <c r="W420" i="1" s="1"/>
  <c r="V420" i="1" a="1"/>
  <c r="V420" i="1" s="1"/>
  <c r="U420" i="1" a="1"/>
  <c r="U420" i="1" s="1"/>
  <c r="T420" i="1" a="1"/>
  <c r="T420" i="1" s="1"/>
  <c r="Y419" i="1" a="1"/>
  <c r="Y419" i="1" s="1"/>
  <c r="X419" i="1" a="1"/>
  <c r="X419" i="1" s="1"/>
  <c r="W419" i="1" a="1"/>
  <c r="W419" i="1" s="1"/>
  <c r="V419" i="1" a="1"/>
  <c r="V419" i="1" s="1"/>
  <c r="U419" i="1" a="1"/>
  <c r="U419" i="1" s="1"/>
  <c r="T419" i="1" a="1"/>
  <c r="T419" i="1" s="1"/>
  <c r="Y418" i="1" a="1"/>
  <c r="Y418" i="1" s="1"/>
  <c r="X418" i="1" a="1"/>
  <c r="X418" i="1" s="1"/>
  <c r="W418" i="1" a="1"/>
  <c r="W418" i="1" s="1"/>
  <c r="V418" i="1" a="1"/>
  <c r="V418" i="1" s="1"/>
  <c r="U418" i="1" a="1"/>
  <c r="U418" i="1" s="1"/>
  <c r="T418" i="1" a="1"/>
  <c r="T418" i="1" s="1"/>
  <c r="Y417" i="1" a="1"/>
  <c r="Y417" i="1" s="1"/>
  <c r="X417" i="1" a="1"/>
  <c r="X417" i="1" s="1"/>
  <c r="W417" i="1" a="1"/>
  <c r="W417" i="1" s="1"/>
  <c r="V417" i="1" a="1"/>
  <c r="V417" i="1" s="1"/>
  <c r="U417" i="1" a="1"/>
  <c r="U417" i="1" s="1"/>
  <c r="T417" i="1" a="1"/>
  <c r="T417" i="1" s="1"/>
  <c r="Y416" i="1" a="1"/>
  <c r="Y416" i="1" s="1"/>
  <c r="X416" i="1" a="1"/>
  <c r="X416" i="1" s="1"/>
  <c r="W416" i="1" a="1"/>
  <c r="W416" i="1" s="1"/>
  <c r="V416" i="1" a="1"/>
  <c r="V416" i="1" s="1"/>
  <c r="U416" i="1" a="1"/>
  <c r="U416" i="1" s="1"/>
  <c r="T416" i="1" a="1"/>
  <c r="T416" i="1" s="1"/>
  <c r="Y415" i="1" a="1"/>
  <c r="Y415" i="1" s="1"/>
  <c r="X415" i="1" a="1"/>
  <c r="X415" i="1" s="1"/>
  <c r="W415" i="1" a="1"/>
  <c r="W415" i="1" s="1"/>
  <c r="V415" i="1" a="1"/>
  <c r="V415" i="1" s="1"/>
  <c r="U415" i="1" a="1"/>
  <c r="U415" i="1" s="1"/>
  <c r="T415" i="1" a="1"/>
  <c r="T415" i="1" s="1"/>
  <c r="Y414" i="1" a="1"/>
  <c r="Y414" i="1" s="1"/>
  <c r="X414" i="1" a="1"/>
  <c r="X414" i="1" s="1"/>
  <c r="W414" i="1" a="1"/>
  <c r="W414" i="1" s="1"/>
  <c r="V414" i="1" a="1"/>
  <c r="V414" i="1" s="1"/>
  <c r="U414" i="1" a="1"/>
  <c r="U414" i="1" s="1"/>
  <c r="T414" i="1" a="1"/>
  <c r="T414" i="1" s="1"/>
  <c r="Y413" i="1" a="1"/>
  <c r="Y413" i="1" s="1"/>
  <c r="X413" i="1" a="1"/>
  <c r="X413" i="1" s="1"/>
  <c r="W413" i="1" a="1"/>
  <c r="W413" i="1" s="1"/>
  <c r="V413" i="1" a="1"/>
  <c r="V413" i="1" s="1"/>
  <c r="U413" i="1" a="1"/>
  <c r="U413" i="1" s="1"/>
  <c r="T413" i="1" a="1"/>
  <c r="T413" i="1" s="1"/>
  <c r="Y412" i="1" a="1"/>
  <c r="Y412" i="1" s="1"/>
  <c r="X412" i="1" a="1"/>
  <c r="X412" i="1" s="1"/>
  <c r="W412" i="1" a="1"/>
  <c r="W412" i="1" s="1"/>
  <c r="V412" i="1" a="1"/>
  <c r="V412" i="1" s="1"/>
  <c r="U412" i="1" a="1"/>
  <c r="U412" i="1" s="1"/>
  <c r="T412" i="1" a="1"/>
  <c r="T412" i="1" s="1"/>
  <c r="Y411" i="1" a="1"/>
  <c r="Y411" i="1" s="1"/>
  <c r="X411" i="1" a="1"/>
  <c r="X411" i="1" s="1"/>
  <c r="W411" i="1" a="1"/>
  <c r="W411" i="1" s="1"/>
  <c r="V411" i="1" a="1"/>
  <c r="V411" i="1" s="1"/>
  <c r="U411" i="1" a="1"/>
  <c r="U411" i="1" s="1"/>
  <c r="T411" i="1" a="1"/>
  <c r="T411" i="1" s="1"/>
  <c r="Y410" i="1" a="1"/>
  <c r="Y410" i="1" s="1"/>
  <c r="X410" i="1" a="1"/>
  <c r="X410" i="1" s="1"/>
  <c r="W410" i="1" a="1"/>
  <c r="W410" i="1" s="1"/>
  <c r="V410" i="1" a="1"/>
  <c r="V410" i="1" s="1"/>
  <c r="U410" i="1" a="1"/>
  <c r="U410" i="1" s="1"/>
  <c r="T410" i="1" a="1"/>
  <c r="T410" i="1" s="1"/>
  <c r="Y409" i="1" a="1"/>
  <c r="Y409" i="1" s="1"/>
  <c r="X409" i="1" a="1"/>
  <c r="X409" i="1" s="1"/>
  <c r="W409" i="1" a="1"/>
  <c r="W409" i="1" s="1"/>
  <c r="V409" i="1" a="1"/>
  <c r="V409" i="1" s="1"/>
  <c r="U409" i="1" a="1"/>
  <c r="U409" i="1" s="1"/>
  <c r="T409" i="1" a="1"/>
  <c r="T409" i="1" s="1"/>
  <c r="Y408" i="1" a="1"/>
  <c r="Y408" i="1" s="1"/>
  <c r="X408" i="1" a="1"/>
  <c r="X408" i="1" s="1"/>
  <c r="W408" i="1" a="1"/>
  <c r="W408" i="1" s="1"/>
  <c r="V408" i="1" a="1"/>
  <c r="V408" i="1" s="1"/>
  <c r="U408" i="1" a="1"/>
  <c r="U408" i="1" s="1"/>
  <c r="T408" i="1" a="1"/>
  <c r="T408" i="1" s="1"/>
  <c r="Y407" i="1" a="1"/>
  <c r="Y407" i="1" s="1"/>
  <c r="X407" i="1" a="1"/>
  <c r="X407" i="1" s="1"/>
  <c r="W407" i="1" a="1"/>
  <c r="W407" i="1" s="1"/>
  <c r="V407" i="1" a="1"/>
  <c r="V407" i="1" s="1"/>
  <c r="U407" i="1" a="1"/>
  <c r="U407" i="1" s="1"/>
  <c r="T407" i="1" a="1"/>
  <c r="T407" i="1" s="1"/>
  <c r="Y406" i="1" a="1"/>
  <c r="Y406" i="1" s="1"/>
  <c r="X406" i="1" a="1"/>
  <c r="X406" i="1" s="1"/>
  <c r="W406" i="1" a="1"/>
  <c r="W406" i="1" s="1"/>
  <c r="V406" i="1" a="1"/>
  <c r="V406" i="1" s="1"/>
  <c r="U406" i="1" a="1"/>
  <c r="U406" i="1" s="1"/>
  <c r="T406" i="1" a="1"/>
  <c r="T406" i="1" s="1"/>
  <c r="Y405" i="1" a="1"/>
  <c r="Y405" i="1" s="1"/>
  <c r="X405" i="1" a="1"/>
  <c r="X405" i="1" s="1"/>
  <c r="W405" i="1" a="1"/>
  <c r="W405" i="1" s="1"/>
  <c r="V405" i="1" a="1"/>
  <c r="V405" i="1" s="1"/>
  <c r="U405" i="1" a="1"/>
  <c r="U405" i="1" s="1"/>
  <c r="T405" i="1" a="1"/>
  <c r="T405" i="1" s="1"/>
  <c r="Y404" i="1" a="1"/>
  <c r="Y404" i="1" s="1"/>
  <c r="X404" i="1" a="1"/>
  <c r="X404" i="1" s="1"/>
  <c r="W404" i="1" a="1"/>
  <c r="W404" i="1" s="1"/>
  <c r="V404" i="1" a="1"/>
  <c r="V404" i="1" s="1"/>
  <c r="U404" i="1" a="1"/>
  <c r="U404" i="1" s="1"/>
  <c r="T404" i="1" a="1"/>
  <c r="T404" i="1" s="1"/>
  <c r="Y403" i="1" a="1"/>
  <c r="Y403" i="1" s="1"/>
  <c r="X403" i="1" a="1"/>
  <c r="X403" i="1" s="1"/>
  <c r="W403" i="1" a="1"/>
  <c r="W403" i="1" s="1"/>
  <c r="V403" i="1" a="1"/>
  <c r="V403" i="1" s="1"/>
  <c r="U403" i="1" a="1"/>
  <c r="U403" i="1" s="1"/>
  <c r="T403" i="1" a="1"/>
  <c r="T403" i="1" s="1"/>
  <c r="Y402" i="1" a="1"/>
  <c r="Y402" i="1" s="1"/>
  <c r="X402" i="1" a="1"/>
  <c r="X402" i="1" s="1"/>
  <c r="W402" i="1" a="1"/>
  <c r="W402" i="1" s="1"/>
  <c r="V402" i="1" a="1"/>
  <c r="V402" i="1" s="1"/>
  <c r="U402" i="1" a="1"/>
  <c r="U402" i="1" s="1"/>
  <c r="T402" i="1" a="1"/>
  <c r="T402" i="1" s="1"/>
  <c r="Y401" i="1" a="1"/>
  <c r="Y401" i="1" s="1"/>
  <c r="X401" i="1" a="1"/>
  <c r="X401" i="1" s="1"/>
  <c r="W401" i="1" a="1"/>
  <c r="W401" i="1" s="1"/>
  <c r="V401" i="1" a="1"/>
  <c r="V401" i="1" s="1"/>
  <c r="U401" i="1" a="1"/>
  <c r="U401" i="1" s="1"/>
  <c r="T401" i="1" a="1"/>
  <c r="T401" i="1" s="1"/>
  <c r="Y400" i="1" a="1"/>
  <c r="Y400" i="1" s="1"/>
  <c r="X400" i="1" a="1"/>
  <c r="X400" i="1" s="1"/>
  <c r="W400" i="1" a="1"/>
  <c r="W400" i="1" s="1"/>
  <c r="V400" i="1" a="1"/>
  <c r="V400" i="1" s="1"/>
  <c r="U400" i="1" a="1"/>
  <c r="U400" i="1" s="1"/>
  <c r="T400" i="1" a="1"/>
  <c r="T400" i="1" s="1"/>
  <c r="Y399" i="1" a="1"/>
  <c r="Y399" i="1" s="1"/>
  <c r="X399" i="1" a="1"/>
  <c r="X399" i="1" s="1"/>
  <c r="W399" i="1" a="1"/>
  <c r="W399" i="1" s="1"/>
  <c r="V399" i="1" a="1"/>
  <c r="V399" i="1" s="1"/>
  <c r="U399" i="1" a="1"/>
  <c r="U399" i="1" s="1"/>
  <c r="T399" i="1" a="1"/>
  <c r="T399" i="1" s="1"/>
  <c r="Y398" i="1" a="1"/>
  <c r="Y398" i="1" s="1"/>
  <c r="X398" i="1" a="1"/>
  <c r="X398" i="1" s="1"/>
  <c r="W398" i="1" a="1"/>
  <c r="W398" i="1" s="1"/>
  <c r="V398" i="1" a="1"/>
  <c r="V398" i="1" s="1"/>
  <c r="U398" i="1" a="1"/>
  <c r="U398" i="1" s="1"/>
  <c r="T398" i="1" a="1"/>
  <c r="T398" i="1" s="1"/>
  <c r="Y397" i="1" a="1"/>
  <c r="Y397" i="1" s="1"/>
  <c r="X397" i="1" a="1"/>
  <c r="X397" i="1" s="1"/>
  <c r="W397" i="1" a="1"/>
  <c r="W397" i="1" s="1"/>
  <c r="V397" i="1" a="1"/>
  <c r="V397" i="1" s="1"/>
  <c r="U397" i="1" a="1"/>
  <c r="U397" i="1" s="1"/>
  <c r="T397" i="1" a="1"/>
  <c r="T397" i="1" s="1"/>
  <c r="Y396" i="1" a="1"/>
  <c r="Y396" i="1" s="1"/>
  <c r="X396" i="1" a="1"/>
  <c r="X396" i="1" s="1"/>
  <c r="W396" i="1" a="1"/>
  <c r="W396" i="1" s="1"/>
  <c r="V396" i="1" a="1"/>
  <c r="V396" i="1" s="1"/>
  <c r="U396" i="1" a="1"/>
  <c r="U396" i="1" s="1"/>
  <c r="T396" i="1" a="1"/>
  <c r="T396" i="1" s="1"/>
  <c r="Y395" i="1" a="1"/>
  <c r="Y395" i="1" s="1"/>
  <c r="X395" i="1" a="1"/>
  <c r="X395" i="1" s="1"/>
  <c r="W395" i="1" a="1"/>
  <c r="W395" i="1" s="1"/>
  <c r="V395" i="1" a="1"/>
  <c r="V395" i="1" s="1"/>
  <c r="U395" i="1" a="1"/>
  <c r="U395" i="1" s="1"/>
  <c r="T395" i="1" a="1"/>
  <c r="T395" i="1" s="1"/>
  <c r="Y394" i="1" a="1"/>
  <c r="Y394" i="1" s="1"/>
  <c r="X394" i="1" a="1"/>
  <c r="X394" i="1" s="1"/>
  <c r="W394" i="1" a="1"/>
  <c r="W394" i="1" s="1"/>
  <c r="V394" i="1" a="1"/>
  <c r="V394" i="1" s="1"/>
  <c r="U394" i="1" a="1"/>
  <c r="U394" i="1" s="1"/>
  <c r="T394" i="1" a="1"/>
  <c r="T394" i="1" s="1"/>
  <c r="Y393" i="1" a="1"/>
  <c r="Y393" i="1" s="1"/>
  <c r="X393" i="1" a="1"/>
  <c r="X393" i="1" s="1"/>
  <c r="W393" i="1" a="1"/>
  <c r="W393" i="1" s="1"/>
  <c r="V393" i="1" a="1"/>
  <c r="V393" i="1" s="1"/>
  <c r="U393" i="1" a="1"/>
  <c r="U393" i="1" s="1"/>
  <c r="T393" i="1" a="1"/>
  <c r="T393" i="1" s="1"/>
  <c r="Y392" i="1" a="1"/>
  <c r="Y392" i="1" s="1"/>
  <c r="X392" i="1" a="1"/>
  <c r="X392" i="1" s="1"/>
  <c r="W392" i="1" a="1"/>
  <c r="W392" i="1" s="1"/>
  <c r="V392" i="1" a="1"/>
  <c r="V392" i="1" s="1"/>
  <c r="U392" i="1" a="1"/>
  <c r="U392" i="1" s="1"/>
  <c r="T392" i="1" a="1"/>
  <c r="T392" i="1" s="1"/>
  <c r="Y391" i="1" a="1"/>
  <c r="Y391" i="1" s="1"/>
  <c r="X391" i="1" a="1"/>
  <c r="X391" i="1" s="1"/>
  <c r="W391" i="1" a="1"/>
  <c r="W391" i="1" s="1"/>
  <c r="V391" i="1" a="1"/>
  <c r="V391" i="1" s="1"/>
  <c r="U391" i="1" a="1"/>
  <c r="U391" i="1" s="1"/>
  <c r="T391" i="1" a="1"/>
  <c r="T391" i="1" s="1"/>
  <c r="Y390" i="1" a="1"/>
  <c r="Y390" i="1" s="1"/>
  <c r="X390" i="1" a="1"/>
  <c r="X390" i="1" s="1"/>
  <c r="W390" i="1" a="1"/>
  <c r="W390" i="1" s="1"/>
  <c r="V390" i="1" a="1"/>
  <c r="V390" i="1" s="1"/>
  <c r="U390" i="1" a="1"/>
  <c r="U390" i="1" s="1"/>
  <c r="T390" i="1" a="1"/>
  <c r="T390" i="1" s="1"/>
  <c r="Y389" i="1" a="1"/>
  <c r="Y389" i="1" s="1"/>
  <c r="X389" i="1" a="1"/>
  <c r="X389" i="1" s="1"/>
  <c r="W389" i="1" a="1"/>
  <c r="W389" i="1" s="1"/>
  <c r="V389" i="1" a="1"/>
  <c r="V389" i="1" s="1"/>
  <c r="U389" i="1" a="1"/>
  <c r="U389" i="1" s="1"/>
  <c r="T389" i="1" a="1"/>
  <c r="T389" i="1" s="1"/>
  <c r="Y388" i="1" a="1"/>
  <c r="Y388" i="1" s="1"/>
  <c r="X388" i="1" a="1"/>
  <c r="X388" i="1" s="1"/>
  <c r="W388" i="1" a="1"/>
  <c r="W388" i="1" s="1"/>
  <c r="V388" i="1" a="1"/>
  <c r="V388" i="1" s="1"/>
  <c r="U388" i="1" a="1"/>
  <c r="U388" i="1" s="1"/>
  <c r="T388" i="1" a="1"/>
  <c r="T388" i="1" s="1"/>
  <c r="Y387" i="1" a="1"/>
  <c r="Y387" i="1" s="1"/>
  <c r="X387" i="1" a="1"/>
  <c r="X387" i="1" s="1"/>
  <c r="W387" i="1" a="1"/>
  <c r="W387" i="1" s="1"/>
  <c r="V387" i="1" a="1"/>
  <c r="V387" i="1" s="1"/>
  <c r="U387" i="1" a="1"/>
  <c r="U387" i="1" s="1"/>
  <c r="T387" i="1" a="1"/>
  <c r="T387" i="1" s="1"/>
  <c r="Y386" i="1" a="1"/>
  <c r="Y386" i="1" s="1"/>
  <c r="X386" i="1" a="1"/>
  <c r="X386" i="1" s="1"/>
  <c r="W386" i="1" a="1"/>
  <c r="W386" i="1" s="1"/>
  <c r="V386" i="1" a="1"/>
  <c r="V386" i="1" s="1"/>
  <c r="U386" i="1" a="1"/>
  <c r="U386" i="1" s="1"/>
  <c r="T386" i="1" a="1"/>
  <c r="T386" i="1" s="1"/>
  <c r="Y385" i="1" a="1"/>
  <c r="Y385" i="1" s="1"/>
  <c r="X385" i="1" a="1"/>
  <c r="X385" i="1" s="1"/>
  <c r="W385" i="1" a="1"/>
  <c r="W385" i="1" s="1"/>
  <c r="V385" i="1" a="1"/>
  <c r="V385" i="1" s="1"/>
  <c r="U385" i="1" a="1"/>
  <c r="U385" i="1" s="1"/>
  <c r="T385" i="1" a="1"/>
  <c r="T385" i="1" s="1"/>
  <c r="Y384" i="1" a="1"/>
  <c r="Y384" i="1" s="1"/>
  <c r="X384" i="1" a="1"/>
  <c r="X384" i="1" s="1"/>
  <c r="W384" i="1" a="1"/>
  <c r="W384" i="1" s="1"/>
  <c r="V384" i="1" a="1"/>
  <c r="V384" i="1" s="1"/>
  <c r="U384" i="1" a="1"/>
  <c r="U384" i="1" s="1"/>
  <c r="T384" i="1" a="1"/>
  <c r="T384" i="1" s="1"/>
  <c r="Y383" i="1" a="1"/>
  <c r="Y383" i="1" s="1"/>
  <c r="X383" i="1" a="1"/>
  <c r="X383" i="1" s="1"/>
  <c r="W383" i="1" a="1"/>
  <c r="W383" i="1" s="1"/>
  <c r="V383" i="1" a="1"/>
  <c r="V383" i="1" s="1"/>
  <c r="U383" i="1" a="1"/>
  <c r="U383" i="1" s="1"/>
  <c r="T383" i="1" a="1"/>
  <c r="T383" i="1" s="1"/>
  <c r="Y382" i="1" a="1"/>
  <c r="Y382" i="1" s="1"/>
  <c r="X382" i="1" a="1"/>
  <c r="X382" i="1" s="1"/>
  <c r="W382" i="1" a="1"/>
  <c r="W382" i="1" s="1"/>
  <c r="V382" i="1" a="1"/>
  <c r="V382" i="1" s="1"/>
  <c r="U382" i="1" a="1"/>
  <c r="U382" i="1" s="1"/>
  <c r="T382" i="1" a="1"/>
  <c r="T382" i="1" s="1"/>
  <c r="Y381" i="1" a="1"/>
  <c r="Y381" i="1" s="1"/>
  <c r="X381" i="1" a="1"/>
  <c r="X381" i="1" s="1"/>
  <c r="W381" i="1" a="1"/>
  <c r="W381" i="1" s="1"/>
  <c r="V381" i="1" a="1"/>
  <c r="V381" i="1" s="1"/>
  <c r="U381" i="1" a="1"/>
  <c r="U381" i="1" s="1"/>
  <c r="T381" i="1" a="1"/>
  <c r="T381" i="1" s="1"/>
  <c r="Y380" i="1" a="1"/>
  <c r="Y380" i="1" s="1"/>
  <c r="X380" i="1" a="1"/>
  <c r="X380" i="1" s="1"/>
  <c r="W380" i="1" a="1"/>
  <c r="W380" i="1" s="1"/>
  <c r="V380" i="1" a="1"/>
  <c r="V380" i="1" s="1"/>
  <c r="U380" i="1" a="1"/>
  <c r="U380" i="1" s="1"/>
  <c r="T380" i="1" a="1"/>
  <c r="T380" i="1" s="1"/>
  <c r="Y379" i="1" a="1"/>
  <c r="Y379" i="1" s="1"/>
  <c r="X379" i="1" a="1"/>
  <c r="X379" i="1" s="1"/>
  <c r="W379" i="1" a="1"/>
  <c r="W379" i="1" s="1"/>
  <c r="V379" i="1" a="1"/>
  <c r="V379" i="1" s="1"/>
  <c r="U379" i="1" a="1"/>
  <c r="U379" i="1" s="1"/>
  <c r="T379" i="1" a="1"/>
  <c r="T379" i="1" s="1"/>
  <c r="Y378" i="1" a="1"/>
  <c r="Y378" i="1" s="1"/>
  <c r="X378" i="1" a="1"/>
  <c r="X378" i="1" s="1"/>
  <c r="W378" i="1" a="1"/>
  <c r="W378" i="1" s="1"/>
  <c r="V378" i="1" a="1"/>
  <c r="V378" i="1" s="1"/>
  <c r="U378" i="1" a="1"/>
  <c r="U378" i="1" s="1"/>
  <c r="T378" i="1" a="1"/>
  <c r="T378" i="1" s="1"/>
  <c r="Y377" i="1" a="1"/>
  <c r="Y377" i="1" s="1"/>
  <c r="X377" i="1" a="1"/>
  <c r="X377" i="1" s="1"/>
  <c r="W377" i="1" a="1"/>
  <c r="W377" i="1" s="1"/>
  <c r="V377" i="1" a="1"/>
  <c r="V377" i="1" s="1"/>
  <c r="U377" i="1" a="1"/>
  <c r="U377" i="1" s="1"/>
  <c r="T377" i="1" a="1"/>
  <c r="T377" i="1" s="1"/>
  <c r="Y376" i="1" a="1"/>
  <c r="Y376" i="1" s="1"/>
  <c r="X376" i="1" a="1"/>
  <c r="X376" i="1" s="1"/>
  <c r="W376" i="1" a="1"/>
  <c r="W376" i="1" s="1"/>
  <c r="V376" i="1" a="1"/>
  <c r="V376" i="1" s="1"/>
  <c r="U376" i="1" a="1"/>
  <c r="U376" i="1" s="1"/>
  <c r="T376" i="1" a="1"/>
  <c r="T376" i="1" s="1"/>
  <c r="Y375" i="1" a="1"/>
  <c r="Y375" i="1" s="1"/>
  <c r="X375" i="1" a="1"/>
  <c r="X375" i="1" s="1"/>
  <c r="W375" i="1" a="1"/>
  <c r="W375" i="1" s="1"/>
  <c r="V375" i="1" a="1"/>
  <c r="V375" i="1" s="1"/>
  <c r="U375" i="1" a="1"/>
  <c r="U375" i="1" s="1"/>
  <c r="T375" i="1" a="1"/>
  <c r="T375" i="1" s="1"/>
  <c r="Y374" i="1" a="1"/>
  <c r="Y374" i="1" s="1"/>
  <c r="X374" i="1" a="1"/>
  <c r="X374" i="1" s="1"/>
  <c r="W374" i="1" a="1"/>
  <c r="W374" i="1" s="1"/>
  <c r="V374" i="1" a="1"/>
  <c r="V374" i="1" s="1"/>
  <c r="U374" i="1" a="1"/>
  <c r="U374" i="1" s="1"/>
  <c r="T374" i="1" a="1"/>
  <c r="T374" i="1" s="1"/>
  <c r="Y373" i="1" a="1"/>
  <c r="Y373" i="1" s="1"/>
  <c r="X373" i="1" a="1"/>
  <c r="X373" i="1" s="1"/>
  <c r="W373" i="1" a="1"/>
  <c r="W373" i="1" s="1"/>
  <c r="V373" i="1" a="1"/>
  <c r="V373" i="1" s="1"/>
  <c r="U373" i="1" a="1"/>
  <c r="U373" i="1" s="1"/>
  <c r="T373" i="1" a="1"/>
  <c r="T373" i="1" s="1"/>
  <c r="Y372" i="1" a="1"/>
  <c r="Y372" i="1" s="1"/>
  <c r="X372" i="1" a="1"/>
  <c r="X372" i="1" s="1"/>
  <c r="W372" i="1" a="1"/>
  <c r="W372" i="1" s="1"/>
  <c r="V372" i="1" a="1"/>
  <c r="V372" i="1" s="1"/>
  <c r="U372" i="1" a="1"/>
  <c r="U372" i="1" s="1"/>
  <c r="T372" i="1" a="1"/>
  <c r="T372" i="1" s="1"/>
  <c r="Y371" i="1" a="1"/>
  <c r="Y371" i="1" s="1"/>
  <c r="X371" i="1" a="1"/>
  <c r="X371" i="1" s="1"/>
  <c r="W371" i="1" a="1"/>
  <c r="W371" i="1" s="1"/>
  <c r="V371" i="1" a="1"/>
  <c r="V371" i="1" s="1"/>
  <c r="U371" i="1" a="1"/>
  <c r="U371" i="1" s="1"/>
  <c r="T371" i="1" a="1"/>
  <c r="T371" i="1" s="1"/>
  <c r="Y370" i="1" a="1"/>
  <c r="Y370" i="1" s="1"/>
  <c r="X370" i="1" a="1"/>
  <c r="X370" i="1" s="1"/>
  <c r="W370" i="1" a="1"/>
  <c r="W370" i="1" s="1"/>
  <c r="V370" i="1" a="1"/>
  <c r="V370" i="1" s="1"/>
  <c r="U370" i="1" a="1"/>
  <c r="U370" i="1" s="1"/>
  <c r="T370" i="1" a="1"/>
  <c r="T370" i="1" s="1"/>
  <c r="Y369" i="1" a="1"/>
  <c r="Y369" i="1" s="1"/>
  <c r="X369" i="1" a="1"/>
  <c r="X369" i="1" s="1"/>
  <c r="W369" i="1" a="1"/>
  <c r="W369" i="1" s="1"/>
  <c r="V369" i="1" a="1"/>
  <c r="V369" i="1" s="1"/>
  <c r="U369" i="1" a="1"/>
  <c r="U369" i="1" s="1"/>
  <c r="T369" i="1" a="1"/>
  <c r="T369" i="1" s="1"/>
  <c r="Y368" i="1" a="1"/>
  <c r="Y368" i="1" s="1"/>
  <c r="X368" i="1" a="1"/>
  <c r="X368" i="1" s="1"/>
  <c r="W368" i="1" a="1"/>
  <c r="W368" i="1" s="1"/>
  <c r="V368" i="1" a="1"/>
  <c r="V368" i="1" s="1"/>
  <c r="U368" i="1" a="1"/>
  <c r="U368" i="1" s="1"/>
  <c r="T368" i="1" a="1"/>
  <c r="T368" i="1" s="1"/>
  <c r="Y367" i="1" a="1"/>
  <c r="Y367" i="1" s="1"/>
  <c r="X367" i="1" a="1"/>
  <c r="X367" i="1" s="1"/>
  <c r="W367" i="1" a="1"/>
  <c r="W367" i="1" s="1"/>
  <c r="V367" i="1" a="1"/>
  <c r="V367" i="1" s="1"/>
  <c r="U367" i="1" a="1"/>
  <c r="U367" i="1" s="1"/>
  <c r="T367" i="1" a="1"/>
  <c r="T367" i="1" s="1"/>
  <c r="Y366" i="1" a="1"/>
  <c r="Y366" i="1" s="1"/>
  <c r="X366" i="1" a="1"/>
  <c r="X366" i="1" s="1"/>
  <c r="W366" i="1" a="1"/>
  <c r="W366" i="1" s="1"/>
  <c r="V366" i="1" a="1"/>
  <c r="V366" i="1" s="1"/>
  <c r="U366" i="1" a="1"/>
  <c r="U366" i="1" s="1"/>
  <c r="T366" i="1" a="1"/>
  <c r="T366" i="1" s="1"/>
  <c r="Y365" i="1" a="1"/>
  <c r="Y365" i="1" s="1"/>
  <c r="X365" i="1" a="1"/>
  <c r="X365" i="1" s="1"/>
  <c r="W365" i="1" a="1"/>
  <c r="W365" i="1" s="1"/>
  <c r="V365" i="1" a="1"/>
  <c r="V365" i="1" s="1"/>
  <c r="U365" i="1" a="1"/>
  <c r="U365" i="1" s="1"/>
  <c r="T365" i="1" a="1"/>
  <c r="T365" i="1" s="1"/>
  <c r="Y364" i="1" a="1"/>
  <c r="Y364" i="1" s="1"/>
  <c r="X364" i="1" a="1"/>
  <c r="X364" i="1" s="1"/>
  <c r="W364" i="1" a="1"/>
  <c r="W364" i="1" s="1"/>
  <c r="V364" i="1" a="1"/>
  <c r="V364" i="1" s="1"/>
  <c r="U364" i="1" a="1"/>
  <c r="U364" i="1" s="1"/>
  <c r="T364" i="1" a="1"/>
  <c r="T364" i="1" s="1"/>
  <c r="Y363" i="1" a="1"/>
  <c r="Y363" i="1" s="1"/>
  <c r="X363" i="1" a="1"/>
  <c r="X363" i="1" s="1"/>
  <c r="W363" i="1" a="1"/>
  <c r="W363" i="1" s="1"/>
  <c r="V363" i="1" a="1"/>
  <c r="V363" i="1" s="1"/>
  <c r="U363" i="1" a="1"/>
  <c r="U363" i="1" s="1"/>
  <c r="T363" i="1" a="1"/>
  <c r="T363" i="1" s="1"/>
  <c r="Y362" i="1" a="1"/>
  <c r="Y362" i="1" s="1"/>
  <c r="X362" i="1" a="1"/>
  <c r="X362" i="1" s="1"/>
  <c r="W362" i="1" a="1"/>
  <c r="W362" i="1" s="1"/>
  <c r="V362" i="1" a="1"/>
  <c r="V362" i="1" s="1"/>
  <c r="U362" i="1" a="1"/>
  <c r="U362" i="1" s="1"/>
  <c r="T362" i="1" a="1"/>
  <c r="T362" i="1" s="1"/>
  <c r="Y361" i="1" a="1"/>
  <c r="Y361" i="1" s="1"/>
  <c r="X361" i="1" a="1"/>
  <c r="X361" i="1" s="1"/>
  <c r="W361" i="1" a="1"/>
  <c r="W361" i="1" s="1"/>
  <c r="V361" i="1" a="1"/>
  <c r="V361" i="1" s="1"/>
  <c r="U361" i="1" a="1"/>
  <c r="U361" i="1" s="1"/>
  <c r="T361" i="1" a="1"/>
  <c r="T361" i="1" s="1"/>
  <c r="Y360" i="1" a="1"/>
  <c r="Y360" i="1" s="1"/>
  <c r="X360" i="1" a="1"/>
  <c r="X360" i="1" s="1"/>
  <c r="W360" i="1" a="1"/>
  <c r="W360" i="1" s="1"/>
  <c r="V360" i="1" a="1"/>
  <c r="V360" i="1" s="1"/>
  <c r="U360" i="1" a="1"/>
  <c r="U360" i="1" s="1"/>
  <c r="T360" i="1" a="1"/>
  <c r="T360" i="1" s="1"/>
  <c r="Y359" i="1" a="1"/>
  <c r="Y359" i="1" s="1"/>
  <c r="X359" i="1" a="1"/>
  <c r="X359" i="1" s="1"/>
  <c r="W359" i="1" a="1"/>
  <c r="W359" i="1" s="1"/>
  <c r="V359" i="1" a="1"/>
  <c r="V359" i="1" s="1"/>
  <c r="U359" i="1" a="1"/>
  <c r="U359" i="1" s="1"/>
  <c r="T359" i="1" a="1"/>
  <c r="T359" i="1" s="1"/>
  <c r="Y358" i="1" a="1"/>
  <c r="Y358" i="1" s="1"/>
  <c r="X358" i="1" a="1"/>
  <c r="X358" i="1" s="1"/>
  <c r="W358" i="1" a="1"/>
  <c r="W358" i="1" s="1"/>
  <c r="V358" i="1" a="1"/>
  <c r="V358" i="1" s="1"/>
  <c r="U358" i="1" a="1"/>
  <c r="U358" i="1" s="1"/>
  <c r="T358" i="1" a="1"/>
  <c r="T358" i="1" s="1"/>
  <c r="Y357" i="1" a="1"/>
  <c r="Y357" i="1" s="1"/>
  <c r="X357" i="1" a="1"/>
  <c r="X357" i="1" s="1"/>
  <c r="W357" i="1" a="1"/>
  <c r="W357" i="1" s="1"/>
  <c r="V357" i="1" a="1"/>
  <c r="V357" i="1" s="1"/>
  <c r="U357" i="1" a="1"/>
  <c r="U357" i="1" s="1"/>
  <c r="T357" i="1" a="1"/>
  <c r="T357" i="1" s="1"/>
  <c r="Y356" i="1" a="1"/>
  <c r="Y356" i="1" s="1"/>
  <c r="X356" i="1" a="1"/>
  <c r="X356" i="1" s="1"/>
  <c r="W356" i="1" a="1"/>
  <c r="W356" i="1" s="1"/>
  <c r="V356" i="1" a="1"/>
  <c r="V356" i="1" s="1"/>
  <c r="U356" i="1" a="1"/>
  <c r="U356" i="1" s="1"/>
  <c r="T356" i="1" a="1"/>
  <c r="T356" i="1" s="1"/>
  <c r="Y355" i="1" a="1"/>
  <c r="Y355" i="1" s="1"/>
  <c r="X355" i="1" a="1"/>
  <c r="X355" i="1" s="1"/>
  <c r="W355" i="1" a="1"/>
  <c r="W355" i="1" s="1"/>
  <c r="V355" i="1" a="1"/>
  <c r="V355" i="1" s="1"/>
  <c r="U355" i="1" a="1"/>
  <c r="U355" i="1" s="1"/>
  <c r="T355" i="1" a="1"/>
  <c r="T355" i="1" s="1"/>
  <c r="Y354" i="1" a="1"/>
  <c r="Y354" i="1" s="1"/>
  <c r="X354" i="1" a="1"/>
  <c r="X354" i="1" s="1"/>
  <c r="W354" i="1" a="1"/>
  <c r="W354" i="1" s="1"/>
  <c r="V354" i="1" a="1"/>
  <c r="V354" i="1" s="1"/>
  <c r="U354" i="1" a="1"/>
  <c r="U354" i="1" s="1"/>
  <c r="T354" i="1" a="1"/>
  <c r="T354" i="1" s="1"/>
  <c r="Y353" i="1" a="1"/>
  <c r="Y353" i="1" s="1"/>
  <c r="X353" i="1" a="1"/>
  <c r="X353" i="1" s="1"/>
  <c r="W353" i="1" a="1"/>
  <c r="W353" i="1" s="1"/>
  <c r="V353" i="1" a="1"/>
  <c r="V353" i="1" s="1"/>
  <c r="U353" i="1" a="1"/>
  <c r="U353" i="1" s="1"/>
  <c r="T353" i="1" a="1"/>
  <c r="T353" i="1" s="1"/>
  <c r="Y352" i="1" a="1"/>
  <c r="Y352" i="1" s="1"/>
  <c r="X352" i="1" a="1"/>
  <c r="X352" i="1" s="1"/>
  <c r="W352" i="1" a="1"/>
  <c r="W352" i="1" s="1"/>
  <c r="V352" i="1" a="1"/>
  <c r="V352" i="1" s="1"/>
  <c r="U352" i="1" a="1"/>
  <c r="U352" i="1" s="1"/>
  <c r="T352" i="1" a="1"/>
  <c r="T352" i="1" s="1"/>
  <c r="Y351" i="1" a="1"/>
  <c r="Y351" i="1" s="1"/>
  <c r="X351" i="1" a="1"/>
  <c r="X351" i="1" s="1"/>
  <c r="W351" i="1" a="1"/>
  <c r="W351" i="1" s="1"/>
  <c r="V351" i="1" a="1"/>
  <c r="V351" i="1" s="1"/>
  <c r="U351" i="1" a="1"/>
  <c r="U351" i="1" s="1"/>
  <c r="T351" i="1" a="1"/>
  <c r="T351" i="1" s="1"/>
  <c r="Y350" i="1" a="1"/>
  <c r="Y350" i="1" s="1"/>
  <c r="X350" i="1" a="1"/>
  <c r="X350" i="1" s="1"/>
  <c r="W350" i="1" a="1"/>
  <c r="W350" i="1" s="1"/>
  <c r="V350" i="1" a="1"/>
  <c r="V350" i="1" s="1"/>
  <c r="U350" i="1" a="1"/>
  <c r="U350" i="1" s="1"/>
  <c r="T350" i="1" a="1"/>
  <c r="T350" i="1" s="1"/>
  <c r="Y349" i="1" a="1"/>
  <c r="Y349" i="1" s="1"/>
  <c r="X349" i="1" a="1"/>
  <c r="X349" i="1" s="1"/>
  <c r="W349" i="1" a="1"/>
  <c r="W349" i="1" s="1"/>
  <c r="V349" i="1" a="1"/>
  <c r="V349" i="1" s="1"/>
  <c r="U349" i="1" a="1"/>
  <c r="U349" i="1" s="1"/>
  <c r="T349" i="1" a="1"/>
  <c r="T349" i="1" s="1"/>
  <c r="Y348" i="1" a="1"/>
  <c r="Y348" i="1" s="1"/>
  <c r="X348" i="1" a="1"/>
  <c r="X348" i="1" s="1"/>
  <c r="W348" i="1" a="1"/>
  <c r="W348" i="1" s="1"/>
  <c r="V348" i="1" a="1"/>
  <c r="V348" i="1" s="1"/>
  <c r="U348" i="1" a="1"/>
  <c r="U348" i="1" s="1"/>
  <c r="T348" i="1" a="1"/>
  <c r="T348" i="1" s="1"/>
  <c r="Y347" i="1" a="1"/>
  <c r="Y347" i="1" s="1"/>
  <c r="X347" i="1" a="1"/>
  <c r="X347" i="1" s="1"/>
  <c r="W347" i="1" a="1"/>
  <c r="W347" i="1" s="1"/>
  <c r="V347" i="1" a="1"/>
  <c r="V347" i="1" s="1"/>
  <c r="U347" i="1" a="1"/>
  <c r="U347" i="1" s="1"/>
  <c r="T347" i="1" a="1"/>
  <c r="T347" i="1" s="1"/>
  <c r="Y346" i="1" a="1"/>
  <c r="Y346" i="1" s="1"/>
  <c r="X346" i="1" a="1"/>
  <c r="X346" i="1" s="1"/>
  <c r="W346" i="1" a="1"/>
  <c r="W346" i="1" s="1"/>
  <c r="V346" i="1" a="1"/>
  <c r="V346" i="1" s="1"/>
  <c r="U346" i="1" a="1"/>
  <c r="U346" i="1" s="1"/>
  <c r="T346" i="1" a="1"/>
  <c r="T346" i="1" s="1"/>
  <c r="Y345" i="1" a="1"/>
  <c r="Y345" i="1" s="1"/>
  <c r="X345" i="1" a="1"/>
  <c r="X345" i="1" s="1"/>
  <c r="W345" i="1" a="1"/>
  <c r="W345" i="1" s="1"/>
  <c r="V345" i="1" a="1"/>
  <c r="V345" i="1" s="1"/>
  <c r="U345" i="1" a="1"/>
  <c r="U345" i="1" s="1"/>
  <c r="T345" i="1" a="1"/>
  <c r="T345" i="1" s="1"/>
  <c r="Y344" i="1" a="1"/>
  <c r="Y344" i="1" s="1"/>
  <c r="X344" i="1" a="1"/>
  <c r="X344" i="1" s="1"/>
  <c r="W344" i="1" a="1"/>
  <c r="W344" i="1" s="1"/>
  <c r="V344" i="1" a="1"/>
  <c r="V344" i="1" s="1"/>
  <c r="U344" i="1" a="1"/>
  <c r="U344" i="1" s="1"/>
  <c r="T344" i="1" a="1"/>
  <c r="T344" i="1" s="1"/>
  <c r="Y343" i="1" a="1"/>
  <c r="Y343" i="1" s="1"/>
  <c r="X343" i="1" a="1"/>
  <c r="X343" i="1" s="1"/>
  <c r="W343" i="1" a="1"/>
  <c r="W343" i="1" s="1"/>
  <c r="V343" i="1" a="1"/>
  <c r="V343" i="1" s="1"/>
  <c r="U343" i="1" a="1"/>
  <c r="U343" i="1" s="1"/>
  <c r="T343" i="1" a="1"/>
  <c r="T343" i="1" s="1"/>
  <c r="Y342" i="1" a="1"/>
  <c r="Y342" i="1" s="1"/>
  <c r="X342" i="1" a="1"/>
  <c r="X342" i="1" s="1"/>
  <c r="W342" i="1" a="1"/>
  <c r="W342" i="1" s="1"/>
  <c r="V342" i="1" a="1"/>
  <c r="V342" i="1" s="1"/>
  <c r="U342" i="1" a="1"/>
  <c r="U342" i="1" s="1"/>
  <c r="T342" i="1" a="1"/>
  <c r="T342" i="1" s="1"/>
  <c r="Y341" i="1" a="1"/>
  <c r="Y341" i="1" s="1"/>
  <c r="X341" i="1" a="1"/>
  <c r="X341" i="1" s="1"/>
  <c r="W341" i="1" a="1"/>
  <c r="W341" i="1" s="1"/>
  <c r="V341" i="1" a="1"/>
  <c r="V341" i="1" s="1"/>
  <c r="U341" i="1" a="1"/>
  <c r="U341" i="1" s="1"/>
  <c r="T341" i="1" a="1"/>
  <c r="T341" i="1" s="1"/>
  <c r="Y340" i="1" a="1"/>
  <c r="Y340" i="1" s="1"/>
  <c r="X340" i="1" a="1"/>
  <c r="X340" i="1" s="1"/>
  <c r="W340" i="1" a="1"/>
  <c r="W340" i="1" s="1"/>
  <c r="V340" i="1" a="1"/>
  <c r="V340" i="1" s="1"/>
  <c r="U340" i="1" a="1"/>
  <c r="U340" i="1" s="1"/>
  <c r="T340" i="1" a="1"/>
  <c r="T340" i="1" s="1"/>
  <c r="Y339" i="1" a="1"/>
  <c r="Y339" i="1" s="1"/>
  <c r="X339" i="1" a="1"/>
  <c r="X339" i="1" s="1"/>
  <c r="W339" i="1" a="1"/>
  <c r="W339" i="1" s="1"/>
  <c r="V339" i="1" a="1"/>
  <c r="V339" i="1" s="1"/>
  <c r="U339" i="1" a="1"/>
  <c r="U339" i="1" s="1"/>
  <c r="T339" i="1" a="1"/>
  <c r="T339" i="1" s="1"/>
  <c r="Y338" i="1" a="1"/>
  <c r="Y338" i="1" s="1"/>
  <c r="X338" i="1" a="1"/>
  <c r="X338" i="1" s="1"/>
  <c r="W338" i="1" a="1"/>
  <c r="W338" i="1" s="1"/>
  <c r="V338" i="1" a="1"/>
  <c r="V338" i="1" s="1"/>
  <c r="U338" i="1" a="1"/>
  <c r="U338" i="1" s="1"/>
  <c r="T338" i="1" a="1"/>
  <c r="T338" i="1" s="1"/>
  <c r="Y337" i="1" a="1"/>
  <c r="Y337" i="1" s="1"/>
  <c r="X337" i="1" a="1"/>
  <c r="X337" i="1" s="1"/>
  <c r="W337" i="1" a="1"/>
  <c r="W337" i="1" s="1"/>
  <c r="V337" i="1" a="1"/>
  <c r="V337" i="1" s="1"/>
  <c r="U337" i="1" a="1"/>
  <c r="U337" i="1" s="1"/>
  <c r="T337" i="1" a="1"/>
  <c r="T337" i="1" s="1"/>
  <c r="Y336" i="1" a="1"/>
  <c r="Y336" i="1" s="1"/>
  <c r="X336" i="1" a="1"/>
  <c r="X336" i="1" s="1"/>
  <c r="W336" i="1" a="1"/>
  <c r="W336" i="1" s="1"/>
  <c r="V336" i="1" a="1"/>
  <c r="V336" i="1" s="1"/>
  <c r="U336" i="1" a="1"/>
  <c r="U336" i="1" s="1"/>
  <c r="T336" i="1" a="1"/>
  <c r="T336" i="1" s="1"/>
  <c r="Y335" i="1" a="1"/>
  <c r="Y335" i="1" s="1"/>
  <c r="X335" i="1" a="1"/>
  <c r="X335" i="1" s="1"/>
  <c r="W335" i="1" a="1"/>
  <c r="W335" i="1" s="1"/>
  <c r="V335" i="1" a="1"/>
  <c r="V335" i="1" s="1"/>
  <c r="U335" i="1" a="1"/>
  <c r="U335" i="1" s="1"/>
  <c r="T335" i="1" a="1"/>
  <c r="T335" i="1" s="1"/>
  <c r="Y334" i="1" a="1"/>
  <c r="Y334" i="1" s="1"/>
  <c r="X334" i="1" a="1"/>
  <c r="X334" i="1" s="1"/>
  <c r="W334" i="1" a="1"/>
  <c r="W334" i="1" s="1"/>
  <c r="V334" i="1" a="1"/>
  <c r="V334" i="1" s="1"/>
  <c r="U334" i="1" a="1"/>
  <c r="U334" i="1" s="1"/>
  <c r="T334" i="1" a="1"/>
  <c r="T334" i="1" s="1"/>
  <c r="Y333" i="1" a="1"/>
  <c r="Y333" i="1" s="1"/>
  <c r="X333" i="1" a="1"/>
  <c r="X333" i="1" s="1"/>
  <c r="W333" i="1" a="1"/>
  <c r="W333" i="1" s="1"/>
  <c r="V333" i="1" a="1"/>
  <c r="V333" i="1" s="1"/>
  <c r="U333" i="1" a="1"/>
  <c r="U333" i="1" s="1"/>
  <c r="T333" i="1" a="1"/>
  <c r="T333" i="1" s="1"/>
  <c r="Y332" i="1" a="1"/>
  <c r="Y332" i="1" s="1"/>
  <c r="X332" i="1" a="1"/>
  <c r="X332" i="1" s="1"/>
  <c r="W332" i="1" a="1"/>
  <c r="W332" i="1" s="1"/>
  <c r="V332" i="1" a="1"/>
  <c r="V332" i="1" s="1"/>
  <c r="U332" i="1" a="1"/>
  <c r="U332" i="1" s="1"/>
  <c r="T332" i="1" a="1"/>
  <c r="T332" i="1" s="1"/>
  <c r="Y331" i="1" a="1"/>
  <c r="Y331" i="1" s="1"/>
  <c r="X331" i="1" a="1"/>
  <c r="X331" i="1" s="1"/>
  <c r="W331" i="1" a="1"/>
  <c r="W331" i="1" s="1"/>
  <c r="V331" i="1" a="1"/>
  <c r="V331" i="1" s="1"/>
  <c r="U331" i="1" a="1"/>
  <c r="U331" i="1" s="1"/>
  <c r="T331" i="1" a="1"/>
  <c r="T331" i="1" s="1"/>
  <c r="Y330" i="1" a="1"/>
  <c r="Y330" i="1" s="1"/>
  <c r="X330" i="1" a="1"/>
  <c r="X330" i="1" s="1"/>
  <c r="W330" i="1" a="1"/>
  <c r="W330" i="1" s="1"/>
  <c r="V330" i="1" a="1"/>
  <c r="V330" i="1" s="1"/>
  <c r="U330" i="1" a="1"/>
  <c r="U330" i="1" s="1"/>
  <c r="T330" i="1" a="1"/>
  <c r="T330" i="1" s="1"/>
  <c r="Y329" i="1" a="1"/>
  <c r="Y329" i="1" s="1"/>
  <c r="X329" i="1" a="1"/>
  <c r="X329" i="1" s="1"/>
  <c r="W329" i="1" a="1"/>
  <c r="W329" i="1" s="1"/>
  <c r="V329" i="1" a="1"/>
  <c r="V329" i="1" s="1"/>
  <c r="U329" i="1" a="1"/>
  <c r="U329" i="1" s="1"/>
  <c r="T329" i="1" a="1"/>
  <c r="T329" i="1" s="1"/>
  <c r="Y328" i="1" a="1"/>
  <c r="Y328" i="1" s="1"/>
  <c r="X328" i="1" a="1"/>
  <c r="X328" i="1" s="1"/>
  <c r="W328" i="1" a="1"/>
  <c r="W328" i="1" s="1"/>
  <c r="V328" i="1" a="1"/>
  <c r="V328" i="1" s="1"/>
  <c r="U328" i="1" a="1"/>
  <c r="U328" i="1" s="1"/>
  <c r="T328" i="1" a="1"/>
  <c r="T328" i="1" s="1"/>
  <c r="Y327" i="1" a="1"/>
  <c r="Y327" i="1" s="1"/>
  <c r="X327" i="1" a="1"/>
  <c r="X327" i="1" s="1"/>
  <c r="W327" i="1" a="1"/>
  <c r="W327" i="1" s="1"/>
  <c r="V327" i="1" a="1"/>
  <c r="V327" i="1" s="1"/>
  <c r="U327" i="1" a="1"/>
  <c r="U327" i="1" s="1"/>
  <c r="T327" i="1" a="1"/>
  <c r="T327" i="1" s="1"/>
  <c r="Y326" i="1" a="1"/>
  <c r="Y326" i="1" s="1"/>
  <c r="X326" i="1" a="1"/>
  <c r="X326" i="1" s="1"/>
  <c r="W326" i="1" a="1"/>
  <c r="W326" i="1" s="1"/>
  <c r="V326" i="1" a="1"/>
  <c r="V326" i="1" s="1"/>
  <c r="U326" i="1" a="1"/>
  <c r="U326" i="1" s="1"/>
  <c r="T326" i="1" a="1"/>
  <c r="T326" i="1" s="1"/>
  <c r="Y325" i="1" a="1"/>
  <c r="Y325" i="1" s="1"/>
  <c r="X325" i="1" a="1"/>
  <c r="X325" i="1" s="1"/>
  <c r="W325" i="1" a="1"/>
  <c r="W325" i="1" s="1"/>
  <c r="V325" i="1" a="1"/>
  <c r="V325" i="1" s="1"/>
  <c r="U325" i="1" a="1"/>
  <c r="U325" i="1" s="1"/>
  <c r="T325" i="1" a="1"/>
  <c r="T325" i="1" s="1"/>
  <c r="Y324" i="1" a="1"/>
  <c r="Y324" i="1" s="1"/>
  <c r="X324" i="1" a="1"/>
  <c r="X324" i="1" s="1"/>
  <c r="W324" i="1" a="1"/>
  <c r="W324" i="1" s="1"/>
  <c r="V324" i="1" a="1"/>
  <c r="V324" i="1" s="1"/>
  <c r="U324" i="1" a="1"/>
  <c r="U324" i="1" s="1"/>
  <c r="T324" i="1" a="1"/>
  <c r="T324" i="1" s="1"/>
  <c r="Y323" i="1" a="1"/>
  <c r="Y323" i="1" s="1"/>
  <c r="X323" i="1" a="1"/>
  <c r="X323" i="1" s="1"/>
  <c r="W323" i="1" a="1"/>
  <c r="W323" i="1" s="1"/>
  <c r="V323" i="1" a="1"/>
  <c r="V323" i="1" s="1"/>
  <c r="U323" i="1" a="1"/>
  <c r="U323" i="1" s="1"/>
  <c r="T323" i="1" a="1"/>
  <c r="T323" i="1" s="1"/>
  <c r="Y322" i="1" a="1"/>
  <c r="Y322" i="1" s="1"/>
  <c r="X322" i="1" a="1"/>
  <c r="X322" i="1" s="1"/>
  <c r="W322" i="1" a="1"/>
  <c r="W322" i="1" s="1"/>
  <c r="V322" i="1" a="1"/>
  <c r="V322" i="1" s="1"/>
  <c r="U322" i="1" a="1"/>
  <c r="U322" i="1" s="1"/>
  <c r="T322" i="1" a="1"/>
  <c r="T322" i="1" s="1"/>
  <c r="Y321" i="1" a="1"/>
  <c r="Y321" i="1" s="1"/>
  <c r="X321" i="1" a="1"/>
  <c r="X321" i="1" s="1"/>
  <c r="W321" i="1" a="1"/>
  <c r="W321" i="1" s="1"/>
  <c r="V321" i="1" a="1"/>
  <c r="V321" i="1" s="1"/>
  <c r="U321" i="1" a="1"/>
  <c r="U321" i="1" s="1"/>
  <c r="T321" i="1" a="1"/>
  <c r="T321" i="1" s="1"/>
  <c r="Y320" i="1" a="1"/>
  <c r="Y320" i="1" s="1"/>
  <c r="X320" i="1" a="1"/>
  <c r="X320" i="1" s="1"/>
  <c r="W320" i="1" a="1"/>
  <c r="W320" i="1" s="1"/>
  <c r="V320" i="1" a="1"/>
  <c r="V320" i="1" s="1"/>
  <c r="U320" i="1" a="1"/>
  <c r="U320" i="1" s="1"/>
  <c r="T320" i="1" a="1"/>
  <c r="T320" i="1" s="1"/>
  <c r="Y319" i="1" a="1"/>
  <c r="Y319" i="1" s="1"/>
  <c r="X319" i="1" a="1"/>
  <c r="X319" i="1" s="1"/>
  <c r="W319" i="1" a="1"/>
  <c r="W319" i="1" s="1"/>
  <c r="V319" i="1" a="1"/>
  <c r="V319" i="1" s="1"/>
  <c r="U319" i="1" a="1"/>
  <c r="U319" i="1" s="1"/>
  <c r="T319" i="1" a="1"/>
  <c r="T319" i="1" s="1"/>
  <c r="Y318" i="1" a="1"/>
  <c r="Y318" i="1" s="1"/>
  <c r="X318" i="1" a="1"/>
  <c r="X318" i="1" s="1"/>
  <c r="W318" i="1" a="1"/>
  <c r="W318" i="1" s="1"/>
  <c r="V318" i="1" a="1"/>
  <c r="V318" i="1" s="1"/>
  <c r="U318" i="1" a="1"/>
  <c r="U318" i="1" s="1"/>
  <c r="T318" i="1" a="1"/>
  <c r="T318" i="1" s="1"/>
  <c r="Y317" i="1" a="1"/>
  <c r="Y317" i="1" s="1"/>
  <c r="X317" i="1" a="1"/>
  <c r="X317" i="1" s="1"/>
  <c r="W317" i="1" a="1"/>
  <c r="W317" i="1" s="1"/>
  <c r="V317" i="1" a="1"/>
  <c r="V317" i="1" s="1"/>
  <c r="U317" i="1" a="1"/>
  <c r="U317" i="1" s="1"/>
  <c r="T317" i="1" a="1"/>
  <c r="T317" i="1" s="1"/>
  <c r="Y316" i="1" a="1"/>
  <c r="Y316" i="1" s="1"/>
  <c r="X316" i="1" a="1"/>
  <c r="X316" i="1" s="1"/>
  <c r="W316" i="1" a="1"/>
  <c r="W316" i="1" s="1"/>
  <c r="V316" i="1" a="1"/>
  <c r="V316" i="1" s="1"/>
  <c r="U316" i="1" a="1"/>
  <c r="U316" i="1" s="1"/>
  <c r="T316" i="1" a="1"/>
  <c r="T316" i="1" s="1"/>
  <c r="Y315" i="1" a="1"/>
  <c r="Y315" i="1" s="1"/>
  <c r="X315" i="1" a="1"/>
  <c r="X315" i="1" s="1"/>
  <c r="W315" i="1" a="1"/>
  <c r="W315" i="1" s="1"/>
  <c r="V315" i="1" a="1"/>
  <c r="V315" i="1" s="1"/>
  <c r="U315" i="1" a="1"/>
  <c r="U315" i="1" s="1"/>
  <c r="T315" i="1" a="1"/>
  <c r="T315" i="1" s="1"/>
  <c r="Y314" i="1" a="1"/>
  <c r="Y314" i="1" s="1"/>
  <c r="X314" i="1" a="1"/>
  <c r="X314" i="1" s="1"/>
  <c r="W314" i="1" a="1"/>
  <c r="W314" i="1" s="1"/>
  <c r="V314" i="1" a="1"/>
  <c r="V314" i="1" s="1"/>
  <c r="U314" i="1" a="1"/>
  <c r="U314" i="1" s="1"/>
  <c r="T314" i="1" a="1"/>
  <c r="T314" i="1" s="1"/>
  <c r="Y313" i="1" a="1"/>
  <c r="Y313" i="1" s="1"/>
  <c r="X313" i="1" a="1"/>
  <c r="X313" i="1" s="1"/>
  <c r="W313" i="1" a="1"/>
  <c r="W313" i="1" s="1"/>
  <c r="V313" i="1" a="1"/>
  <c r="V313" i="1" s="1"/>
  <c r="U313" i="1" a="1"/>
  <c r="U313" i="1" s="1"/>
  <c r="T313" i="1" a="1"/>
  <c r="T313" i="1" s="1"/>
  <c r="Y312" i="1" a="1"/>
  <c r="Y312" i="1" s="1"/>
  <c r="X312" i="1" a="1"/>
  <c r="X312" i="1" s="1"/>
  <c r="W312" i="1" a="1"/>
  <c r="W312" i="1" s="1"/>
  <c r="V312" i="1" a="1"/>
  <c r="V312" i="1" s="1"/>
  <c r="U312" i="1" a="1"/>
  <c r="U312" i="1" s="1"/>
  <c r="T312" i="1" a="1"/>
  <c r="T312" i="1" s="1"/>
  <c r="Y311" i="1" a="1"/>
  <c r="Y311" i="1" s="1"/>
  <c r="X311" i="1" a="1"/>
  <c r="X311" i="1" s="1"/>
  <c r="W311" i="1" a="1"/>
  <c r="W311" i="1" s="1"/>
  <c r="V311" i="1" a="1"/>
  <c r="V311" i="1" s="1"/>
  <c r="U311" i="1" a="1"/>
  <c r="U311" i="1" s="1"/>
  <c r="T311" i="1" a="1"/>
  <c r="T311" i="1" s="1"/>
  <c r="Y310" i="1" a="1"/>
  <c r="Y310" i="1" s="1"/>
  <c r="X310" i="1" a="1"/>
  <c r="X310" i="1" s="1"/>
  <c r="W310" i="1" a="1"/>
  <c r="W310" i="1" s="1"/>
  <c r="V310" i="1" a="1"/>
  <c r="V310" i="1" s="1"/>
  <c r="U310" i="1" a="1"/>
  <c r="U310" i="1" s="1"/>
  <c r="T310" i="1" a="1"/>
  <c r="T310" i="1" s="1"/>
  <c r="Y309" i="1" a="1"/>
  <c r="Y309" i="1" s="1"/>
  <c r="X309" i="1" a="1"/>
  <c r="X309" i="1" s="1"/>
  <c r="W309" i="1" a="1"/>
  <c r="W309" i="1" s="1"/>
  <c r="V309" i="1" a="1"/>
  <c r="V309" i="1" s="1"/>
  <c r="U309" i="1" a="1"/>
  <c r="U309" i="1" s="1"/>
  <c r="T309" i="1" a="1"/>
  <c r="T309" i="1" s="1"/>
  <c r="Y308" i="1" a="1"/>
  <c r="Y308" i="1" s="1"/>
  <c r="X308" i="1" a="1"/>
  <c r="X308" i="1" s="1"/>
  <c r="W308" i="1" a="1"/>
  <c r="W308" i="1" s="1"/>
  <c r="V308" i="1" a="1"/>
  <c r="V308" i="1" s="1"/>
  <c r="U308" i="1" a="1"/>
  <c r="U308" i="1" s="1"/>
  <c r="T308" i="1" a="1"/>
  <c r="T308" i="1" s="1"/>
  <c r="Y307" i="1" a="1"/>
  <c r="Y307" i="1" s="1"/>
  <c r="X307" i="1" a="1"/>
  <c r="X307" i="1" s="1"/>
  <c r="W307" i="1" a="1"/>
  <c r="W307" i="1" s="1"/>
  <c r="V307" i="1" a="1"/>
  <c r="V307" i="1" s="1"/>
  <c r="U307" i="1" a="1"/>
  <c r="U307" i="1" s="1"/>
  <c r="T307" i="1" a="1"/>
  <c r="T307" i="1" s="1"/>
  <c r="Y306" i="1" a="1"/>
  <c r="Y306" i="1" s="1"/>
  <c r="X306" i="1" a="1"/>
  <c r="X306" i="1" s="1"/>
  <c r="W306" i="1" a="1"/>
  <c r="W306" i="1" s="1"/>
  <c r="V306" i="1" a="1"/>
  <c r="V306" i="1" s="1"/>
  <c r="U306" i="1" a="1"/>
  <c r="U306" i="1" s="1"/>
  <c r="T306" i="1" a="1"/>
  <c r="T306" i="1" s="1"/>
  <c r="Y305" i="1" a="1"/>
  <c r="Y305" i="1" s="1"/>
  <c r="X305" i="1" a="1"/>
  <c r="X305" i="1" s="1"/>
  <c r="W305" i="1" a="1"/>
  <c r="W305" i="1" s="1"/>
  <c r="V305" i="1" a="1"/>
  <c r="V305" i="1" s="1"/>
  <c r="U305" i="1" a="1"/>
  <c r="U305" i="1" s="1"/>
  <c r="T305" i="1" a="1"/>
  <c r="T305" i="1" s="1"/>
  <c r="Y304" i="1" a="1"/>
  <c r="Y304" i="1" s="1"/>
  <c r="X304" i="1" a="1"/>
  <c r="X304" i="1" s="1"/>
  <c r="W304" i="1" a="1"/>
  <c r="W304" i="1" s="1"/>
  <c r="V304" i="1" a="1"/>
  <c r="V304" i="1" s="1"/>
  <c r="U304" i="1" a="1"/>
  <c r="U304" i="1" s="1"/>
  <c r="T304" i="1" a="1"/>
  <c r="T304" i="1" s="1"/>
  <c r="Y303" i="1" a="1"/>
  <c r="Y303" i="1" s="1"/>
  <c r="X303" i="1" a="1"/>
  <c r="X303" i="1" s="1"/>
  <c r="W303" i="1" a="1"/>
  <c r="W303" i="1" s="1"/>
  <c r="V303" i="1" a="1"/>
  <c r="V303" i="1" s="1"/>
  <c r="U303" i="1" a="1"/>
  <c r="U303" i="1" s="1"/>
  <c r="T303" i="1" a="1"/>
  <c r="T303" i="1" s="1"/>
  <c r="Y302" i="1" a="1"/>
  <c r="Y302" i="1" s="1"/>
  <c r="X302" i="1" a="1"/>
  <c r="X302" i="1" s="1"/>
  <c r="W302" i="1" a="1"/>
  <c r="W302" i="1" s="1"/>
  <c r="V302" i="1" a="1"/>
  <c r="V302" i="1" s="1"/>
  <c r="U302" i="1" a="1"/>
  <c r="U302" i="1" s="1"/>
  <c r="T302" i="1" a="1"/>
  <c r="T302" i="1" s="1"/>
  <c r="Y301" i="1" a="1"/>
  <c r="Y301" i="1" s="1"/>
  <c r="X301" i="1" a="1"/>
  <c r="X301" i="1" s="1"/>
  <c r="W301" i="1" a="1"/>
  <c r="W301" i="1" s="1"/>
  <c r="V301" i="1" a="1"/>
  <c r="V301" i="1" s="1"/>
  <c r="U301" i="1" a="1"/>
  <c r="U301" i="1" s="1"/>
  <c r="T301" i="1" a="1"/>
  <c r="T301" i="1" s="1"/>
  <c r="Y300" i="1" a="1"/>
  <c r="Y300" i="1" s="1"/>
  <c r="X300" i="1" a="1"/>
  <c r="X300" i="1" s="1"/>
  <c r="W300" i="1" a="1"/>
  <c r="W300" i="1" s="1"/>
  <c r="V300" i="1" a="1"/>
  <c r="V300" i="1" s="1"/>
  <c r="U300" i="1" a="1"/>
  <c r="U300" i="1" s="1"/>
  <c r="T300" i="1" a="1"/>
  <c r="T300" i="1" s="1"/>
  <c r="Y299" i="1" a="1"/>
  <c r="Y299" i="1" s="1"/>
  <c r="X299" i="1" a="1"/>
  <c r="X299" i="1" s="1"/>
  <c r="W299" i="1" a="1"/>
  <c r="W299" i="1" s="1"/>
  <c r="V299" i="1" a="1"/>
  <c r="V299" i="1" s="1"/>
  <c r="U299" i="1" a="1"/>
  <c r="U299" i="1" s="1"/>
  <c r="T299" i="1" a="1"/>
  <c r="T299" i="1" s="1"/>
  <c r="Y298" i="1" a="1"/>
  <c r="Y298" i="1" s="1"/>
  <c r="X298" i="1" a="1"/>
  <c r="X298" i="1" s="1"/>
  <c r="W298" i="1" a="1"/>
  <c r="W298" i="1" s="1"/>
  <c r="V298" i="1" a="1"/>
  <c r="V298" i="1" s="1"/>
  <c r="U298" i="1" a="1"/>
  <c r="U298" i="1" s="1"/>
  <c r="T298" i="1" a="1"/>
  <c r="T298" i="1" s="1"/>
  <c r="Y297" i="1" a="1"/>
  <c r="Y297" i="1" s="1"/>
  <c r="X297" i="1" a="1"/>
  <c r="X297" i="1" s="1"/>
  <c r="W297" i="1" a="1"/>
  <c r="W297" i="1" s="1"/>
  <c r="V297" i="1" a="1"/>
  <c r="V297" i="1" s="1"/>
  <c r="U297" i="1" a="1"/>
  <c r="U297" i="1" s="1"/>
  <c r="T297" i="1" a="1"/>
  <c r="T297" i="1" s="1"/>
  <c r="Y296" i="1" a="1"/>
  <c r="Y296" i="1" s="1"/>
  <c r="X296" i="1" a="1"/>
  <c r="X296" i="1" s="1"/>
  <c r="W296" i="1" a="1"/>
  <c r="W296" i="1" s="1"/>
  <c r="V296" i="1" a="1"/>
  <c r="V296" i="1" s="1"/>
  <c r="U296" i="1" a="1"/>
  <c r="U296" i="1" s="1"/>
  <c r="T296" i="1" a="1"/>
  <c r="T296" i="1" s="1"/>
  <c r="Y295" i="1" a="1"/>
  <c r="Y295" i="1" s="1"/>
  <c r="X295" i="1" a="1"/>
  <c r="X295" i="1" s="1"/>
  <c r="W295" i="1" a="1"/>
  <c r="W295" i="1" s="1"/>
  <c r="V295" i="1" a="1"/>
  <c r="V295" i="1" s="1"/>
  <c r="U295" i="1" a="1"/>
  <c r="U295" i="1" s="1"/>
  <c r="T295" i="1" a="1"/>
  <c r="T295" i="1" s="1"/>
  <c r="Y294" i="1" a="1"/>
  <c r="Y294" i="1" s="1"/>
  <c r="X294" i="1" a="1"/>
  <c r="X294" i="1" s="1"/>
  <c r="W294" i="1" a="1"/>
  <c r="W294" i="1" s="1"/>
  <c r="V294" i="1" a="1"/>
  <c r="V294" i="1" s="1"/>
  <c r="U294" i="1" a="1"/>
  <c r="U294" i="1" s="1"/>
  <c r="T294" i="1" a="1"/>
  <c r="T294" i="1" s="1"/>
  <c r="Y293" i="1" a="1"/>
  <c r="Y293" i="1" s="1"/>
  <c r="X293" i="1" a="1"/>
  <c r="X293" i="1" s="1"/>
  <c r="W293" i="1" a="1"/>
  <c r="W293" i="1" s="1"/>
  <c r="V293" i="1" a="1"/>
  <c r="V293" i="1" s="1"/>
  <c r="U293" i="1" a="1"/>
  <c r="U293" i="1" s="1"/>
  <c r="T293" i="1" a="1"/>
  <c r="T293" i="1" s="1"/>
  <c r="Y292" i="1" a="1"/>
  <c r="Y292" i="1" s="1"/>
  <c r="X292" i="1" a="1"/>
  <c r="X292" i="1" s="1"/>
  <c r="W292" i="1" a="1"/>
  <c r="W292" i="1" s="1"/>
  <c r="V292" i="1" a="1"/>
  <c r="V292" i="1" s="1"/>
  <c r="U292" i="1" a="1"/>
  <c r="U292" i="1" s="1"/>
  <c r="T292" i="1" a="1"/>
  <c r="T292" i="1" s="1"/>
  <c r="Y291" i="1" a="1"/>
  <c r="Y291" i="1" s="1"/>
  <c r="X291" i="1" a="1"/>
  <c r="X291" i="1" s="1"/>
  <c r="W291" i="1" a="1"/>
  <c r="W291" i="1" s="1"/>
  <c r="V291" i="1" a="1"/>
  <c r="V291" i="1" s="1"/>
  <c r="U291" i="1" a="1"/>
  <c r="U291" i="1" s="1"/>
  <c r="T291" i="1" a="1"/>
  <c r="T291" i="1" s="1"/>
  <c r="Y290" i="1" a="1"/>
  <c r="Y290" i="1" s="1"/>
  <c r="X290" i="1" a="1"/>
  <c r="X290" i="1" s="1"/>
  <c r="W290" i="1" a="1"/>
  <c r="W290" i="1" s="1"/>
  <c r="V290" i="1" a="1"/>
  <c r="V290" i="1" s="1"/>
  <c r="U290" i="1" a="1"/>
  <c r="U290" i="1" s="1"/>
  <c r="T290" i="1" a="1"/>
  <c r="T290" i="1" s="1"/>
  <c r="Y289" i="1" a="1"/>
  <c r="Y289" i="1" s="1"/>
  <c r="X289" i="1" a="1"/>
  <c r="X289" i="1" s="1"/>
  <c r="W289" i="1" a="1"/>
  <c r="W289" i="1" s="1"/>
  <c r="V289" i="1" a="1"/>
  <c r="V289" i="1" s="1"/>
  <c r="U289" i="1" a="1"/>
  <c r="U289" i="1" s="1"/>
  <c r="T289" i="1" a="1"/>
  <c r="T289" i="1" s="1"/>
  <c r="Y288" i="1" a="1"/>
  <c r="Y288" i="1" s="1"/>
  <c r="X288" i="1" a="1"/>
  <c r="X288" i="1" s="1"/>
  <c r="W288" i="1" a="1"/>
  <c r="W288" i="1" s="1"/>
  <c r="V288" i="1" a="1"/>
  <c r="V288" i="1" s="1"/>
  <c r="U288" i="1" a="1"/>
  <c r="U288" i="1" s="1"/>
  <c r="T288" i="1" a="1"/>
  <c r="T288" i="1" s="1"/>
  <c r="Y287" i="1" a="1"/>
  <c r="Y287" i="1" s="1"/>
  <c r="X287" i="1" a="1"/>
  <c r="X287" i="1" s="1"/>
  <c r="W287" i="1" a="1"/>
  <c r="W287" i="1" s="1"/>
  <c r="V287" i="1" a="1"/>
  <c r="V287" i="1" s="1"/>
  <c r="U287" i="1" a="1"/>
  <c r="U287" i="1" s="1"/>
  <c r="T287" i="1" a="1"/>
  <c r="T287" i="1" s="1"/>
  <c r="Y286" i="1" a="1"/>
  <c r="Y286" i="1" s="1"/>
  <c r="X286" i="1" a="1"/>
  <c r="X286" i="1" s="1"/>
  <c r="W286" i="1" a="1"/>
  <c r="W286" i="1" s="1"/>
  <c r="V286" i="1" a="1"/>
  <c r="V286" i="1" s="1"/>
  <c r="U286" i="1" a="1"/>
  <c r="U286" i="1" s="1"/>
  <c r="T286" i="1" a="1"/>
  <c r="T286" i="1" s="1"/>
  <c r="Y285" i="1" a="1"/>
  <c r="Y285" i="1" s="1"/>
  <c r="X285" i="1" a="1"/>
  <c r="X285" i="1" s="1"/>
  <c r="W285" i="1" a="1"/>
  <c r="W285" i="1" s="1"/>
  <c r="V285" i="1" a="1"/>
  <c r="V285" i="1" s="1"/>
  <c r="U285" i="1" a="1"/>
  <c r="U285" i="1" s="1"/>
  <c r="T285" i="1" a="1"/>
  <c r="T285" i="1" s="1"/>
  <c r="Y284" i="1" a="1"/>
  <c r="Y284" i="1" s="1"/>
  <c r="X284" i="1" a="1"/>
  <c r="X284" i="1" s="1"/>
  <c r="W284" i="1" a="1"/>
  <c r="W284" i="1" s="1"/>
  <c r="V284" i="1" a="1"/>
  <c r="V284" i="1" s="1"/>
  <c r="U284" i="1" a="1"/>
  <c r="U284" i="1" s="1"/>
  <c r="T284" i="1" a="1"/>
  <c r="T284" i="1" s="1"/>
  <c r="Y283" i="1" a="1"/>
  <c r="Y283" i="1" s="1"/>
  <c r="X283" i="1" a="1"/>
  <c r="X283" i="1" s="1"/>
  <c r="W283" i="1" a="1"/>
  <c r="W283" i="1" s="1"/>
  <c r="V283" i="1" a="1"/>
  <c r="V283" i="1" s="1"/>
  <c r="U283" i="1" a="1"/>
  <c r="U283" i="1" s="1"/>
  <c r="T283" i="1" a="1"/>
  <c r="T283" i="1" s="1"/>
  <c r="Y282" i="1" a="1"/>
  <c r="Y282" i="1" s="1"/>
  <c r="X282" i="1" a="1"/>
  <c r="X282" i="1" s="1"/>
  <c r="W282" i="1" a="1"/>
  <c r="W282" i="1" s="1"/>
  <c r="V282" i="1" a="1"/>
  <c r="V282" i="1" s="1"/>
  <c r="U282" i="1" a="1"/>
  <c r="U282" i="1" s="1"/>
  <c r="T282" i="1" a="1"/>
  <c r="T282" i="1" s="1"/>
  <c r="Y281" i="1" a="1"/>
  <c r="Y281" i="1" s="1"/>
  <c r="X281" i="1" a="1"/>
  <c r="X281" i="1" s="1"/>
  <c r="W281" i="1" a="1"/>
  <c r="W281" i="1" s="1"/>
  <c r="V281" i="1" a="1"/>
  <c r="V281" i="1" s="1"/>
  <c r="U281" i="1" a="1"/>
  <c r="U281" i="1" s="1"/>
  <c r="T281" i="1" a="1"/>
  <c r="T281" i="1" s="1"/>
  <c r="Y280" i="1" a="1"/>
  <c r="Y280" i="1" s="1"/>
  <c r="X280" i="1" a="1"/>
  <c r="X280" i="1" s="1"/>
  <c r="W280" i="1" a="1"/>
  <c r="W280" i="1" s="1"/>
  <c r="V280" i="1" a="1"/>
  <c r="V280" i="1" s="1"/>
  <c r="U280" i="1" a="1"/>
  <c r="U280" i="1" s="1"/>
  <c r="T280" i="1" a="1"/>
  <c r="T280" i="1" s="1"/>
  <c r="Y279" i="1" a="1"/>
  <c r="Y279" i="1" s="1"/>
  <c r="X279" i="1" a="1"/>
  <c r="X279" i="1" s="1"/>
  <c r="W279" i="1" a="1"/>
  <c r="W279" i="1" s="1"/>
  <c r="V279" i="1" a="1"/>
  <c r="V279" i="1" s="1"/>
  <c r="U279" i="1" a="1"/>
  <c r="U279" i="1" s="1"/>
  <c r="T279" i="1" a="1"/>
  <c r="T279" i="1" s="1"/>
  <c r="Y278" i="1" a="1"/>
  <c r="Y278" i="1" s="1"/>
  <c r="X278" i="1" a="1"/>
  <c r="X278" i="1" s="1"/>
  <c r="W278" i="1" a="1"/>
  <c r="W278" i="1" s="1"/>
  <c r="V278" i="1" a="1"/>
  <c r="V278" i="1" s="1"/>
  <c r="U278" i="1" a="1"/>
  <c r="U278" i="1" s="1"/>
  <c r="T278" i="1" a="1"/>
  <c r="T278" i="1" s="1"/>
  <c r="Y277" i="1" a="1"/>
  <c r="Y277" i="1" s="1"/>
  <c r="X277" i="1" a="1"/>
  <c r="X277" i="1" s="1"/>
  <c r="W277" i="1" a="1"/>
  <c r="W277" i="1" s="1"/>
  <c r="V277" i="1" a="1"/>
  <c r="V277" i="1" s="1"/>
  <c r="U277" i="1" a="1"/>
  <c r="U277" i="1" s="1"/>
  <c r="T277" i="1" a="1"/>
  <c r="T277" i="1" s="1"/>
  <c r="Y276" i="1" a="1"/>
  <c r="Y276" i="1" s="1"/>
  <c r="X276" i="1" a="1"/>
  <c r="X276" i="1" s="1"/>
  <c r="W276" i="1" a="1"/>
  <c r="W276" i="1" s="1"/>
  <c r="V276" i="1" a="1"/>
  <c r="V276" i="1" s="1"/>
  <c r="U276" i="1" a="1"/>
  <c r="U276" i="1" s="1"/>
  <c r="T276" i="1" a="1"/>
  <c r="T276" i="1" s="1"/>
  <c r="Y275" i="1" a="1"/>
  <c r="Y275" i="1" s="1"/>
  <c r="X275" i="1" a="1"/>
  <c r="X275" i="1" s="1"/>
  <c r="W275" i="1" a="1"/>
  <c r="W275" i="1" s="1"/>
  <c r="V275" i="1" a="1"/>
  <c r="V275" i="1" s="1"/>
  <c r="U275" i="1" a="1"/>
  <c r="U275" i="1" s="1"/>
  <c r="T275" i="1" a="1"/>
  <c r="T275" i="1" s="1"/>
  <c r="Y274" i="1" a="1"/>
  <c r="Y274" i="1" s="1"/>
  <c r="X274" i="1" a="1"/>
  <c r="X274" i="1" s="1"/>
  <c r="W274" i="1" a="1"/>
  <c r="W274" i="1" s="1"/>
  <c r="V274" i="1" a="1"/>
  <c r="V274" i="1" s="1"/>
  <c r="U274" i="1" a="1"/>
  <c r="U274" i="1" s="1"/>
  <c r="T274" i="1" a="1"/>
  <c r="T274" i="1" s="1"/>
  <c r="Y273" i="1" a="1"/>
  <c r="Y273" i="1" s="1"/>
  <c r="X273" i="1" a="1"/>
  <c r="X273" i="1" s="1"/>
  <c r="W273" i="1" a="1"/>
  <c r="W273" i="1" s="1"/>
  <c r="V273" i="1" a="1"/>
  <c r="V273" i="1" s="1"/>
  <c r="U273" i="1" a="1"/>
  <c r="U273" i="1" s="1"/>
  <c r="T273" i="1" a="1"/>
  <c r="T273" i="1" s="1"/>
  <c r="Y272" i="1" a="1"/>
  <c r="Y272" i="1" s="1"/>
  <c r="X272" i="1" a="1"/>
  <c r="X272" i="1" s="1"/>
  <c r="W272" i="1" a="1"/>
  <c r="W272" i="1" s="1"/>
  <c r="V272" i="1" a="1"/>
  <c r="V272" i="1" s="1"/>
  <c r="U272" i="1" a="1"/>
  <c r="U272" i="1" s="1"/>
  <c r="T272" i="1" a="1"/>
  <c r="T272" i="1" s="1"/>
  <c r="Y271" i="1" a="1"/>
  <c r="Y271" i="1" s="1"/>
  <c r="X271" i="1" a="1"/>
  <c r="X271" i="1" s="1"/>
  <c r="W271" i="1" a="1"/>
  <c r="W271" i="1" s="1"/>
  <c r="V271" i="1" a="1"/>
  <c r="V271" i="1" s="1"/>
  <c r="U271" i="1" a="1"/>
  <c r="U271" i="1" s="1"/>
  <c r="T271" i="1" a="1"/>
  <c r="T271" i="1" s="1"/>
  <c r="Y270" i="1" a="1"/>
  <c r="Y270" i="1" s="1"/>
  <c r="X270" i="1" a="1"/>
  <c r="X270" i="1" s="1"/>
  <c r="W270" i="1" a="1"/>
  <c r="W270" i="1" s="1"/>
  <c r="V270" i="1" a="1"/>
  <c r="V270" i="1" s="1"/>
  <c r="U270" i="1" a="1"/>
  <c r="U270" i="1" s="1"/>
  <c r="T270" i="1" a="1"/>
  <c r="T270" i="1" s="1"/>
  <c r="Y269" i="1" a="1"/>
  <c r="Y269" i="1" s="1"/>
  <c r="X269" i="1" a="1"/>
  <c r="X269" i="1" s="1"/>
  <c r="W269" i="1" a="1"/>
  <c r="W269" i="1" s="1"/>
  <c r="V269" i="1" a="1"/>
  <c r="V269" i="1" s="1"/>
  <c r="U269" i="1" a="1"/>
  <c r="U269" i="1" s="1"/>
  <c r="T269" i="1" a="1"/>
  <c r="T269" i="1" s="1"/>
  <c r="Y268" i="1" a="1"/>
  <c r="Y268" i="1" s="1"/>
  <c r="X268" i="1" a="1"/>
  <c r="X268" i="1" s="1"/>
  <c r="W268" i="1" a="1"/>
  <c r="W268" i="1" s="1"/>
  <c r="V268" i="1" a="1"/>
  <c r="V268" i="1" s="1"/>
  <c r="U268" i="1" a="1"/>
  <c r="U268" i="1" s="1"/>
  <c r="T268" i="1" a="1"/>
  <c r="T268" i="1" s="1"/>
  <c r="Y267" i="1" a="1"/>
  <c r="Y267" i="1" s="1"/>
  <c r="X267" i="1" a="1"/>
  <c r="X267" i="1" s="1"/>
  <c r="W267" i="1" a="1"/>
  <c r="W267" i="1" s="1"/>
  <c r="V267" i="1" a="1"/>
  <c r="V267" i="1" s="1"/>
  <c r="U267" i="1" a="1"/>
  <c r="U267" i="1" s="1"/>
  <c r="T267" i="1" a="1"/>
  <c r="T267" i="1" s="1"/>
  <c r="Y266" i="1" a="1"/>
  <c r="Y266" i="1" s="1"/>
  <c r="X266" i="1" a="1"/>
  <c r="X266" i="1" s="1"/>
  <c r="W266" i="1" a="1"/>
  <c r="W266" i="1" s="1"/>
  <c r="V266" i="1" a="1"/>
  <c r="V266" i="1" s="1"/>
  <c r="U266" i="1" a="1"/>
  <c r="U266" i="1" s="1"/>
  <c r="T266" i="1" a="1"/>
  <c r="T266" i="1" s="1"/>
  <c r="Y265" i="1" a="1"/>
  <c r="Y265" i="1" s="1"/>
  <c r="X265" i="1" a="1"/>
  <c r="X265" i="1" s="1"/>
  <c r="W265" i="1" a="1"/>
  <c r="W265" i="1" s="1"/>
  <c r="V265" i="1" a="1"/>
  <c r="V265" i="1" s="1"/>
  <c r="U265" i="1" a="1"/>
  <c r="U265" i="1" s="1"/>
  <c r="T265" i="1" a="1"/>
  <c r="T265" i="1" s="1"/>
  <c r="Y264" i="1" a="1"/>
  <c r="Y264" i="1" s="1"/>
  <c r="X264" i="1" a="1"/>
  <c r="X264" i="1" s="1"/>
  <c r="W264" i="1" a="1"/>
  <c r="W264" i="1" s="1"/>
  <c r="V264" i="1" a="1"/>
  <c r="V264" i="1" s="1"/>
  <c r="U264" i="1" a="1"/>
  <c r="U264" i="1" s="1"/>
  <c r="T264" i="1" a="1"/>
  <c r="T264" i="1" s="1"/>
  <c r="Y263" i="1" a="1"/>
  <c r="Y263" i="1" s="1"/>
  <c r="X263" i="1" a="1"/>
  <c r="X263" i="1" s="1"/>
  <c r="W263" i="1" a="1"/>
  <c r="W263" i="1" s="1"/>
  <c r="V263" i="1" a="1"/>
  <c r="V263" i="1" s="1"/>
  <c r="U263" i="1" a="1"/>
  <c r="U263" i="1" s="1"/>
  <c r="T263" i="1" a="1"/>
  <c r="T263" i="1" s="1"/>
  <c r="Y262" i="1" a="1"/>
  <c r="Y262" i="1" s="1"/>
  <c r="X262" i="1" a="1"/>
  <c r="X262" i="1" s="1"/>
  <c r="W262" i="1" a="1"/>
  <c r="W262" i="1" s="1"/>
  <c r="V262" i="1" a="1"/>
  <c r="V262" i="1" s="1"/>
  <c r="U262" i="1" a="1"/>
  <c r="U262" i="1" s="1"/>
  <c r="T262" i="1" a="1"/>
  <c r="T262" i="1" s="1"/>
  <c r="Y261" i="1" a="1"/>
  <c r="Y261" i="1" s="1"/>
  <c r="X261" i="1" a="1"/>
  <c r="X261" i="1" s="1"/>
  <c r="W261" i="1" a="1"/>
  <c r="W261" i="1" s="1"/>
  <c r="V261" i="1" a="1"/>
  <c r="V261" i="1" s="1"/>
  <c r="U261" i="1" a="1"/>
  <c r="U261" i="1" s="1"/>
  <c r="T261" i="1" a="1"/>
  <c r="T261" i="1" s="1"/>
  <c r="Y260" i="1" a="1"/>
  <c r="Y260" i="1" s="1"/>
  <c r="X260" i="1" a="1"/>
  <c r="X260" i="1" s="1"/>
  <c r="W260" i="1" a="1"/>
  <c r="W260" i="1" s="1"/>
  <c r="V260" i="1" a="1"/>
  <c r="V260" i="1" s="1"/>
  <c r="U260" i="1" a="1"/>
  <c r="U260" i="1" s="1"/>
  <c r="T260" i="1" a="1"/>
  <c r="T260" i="1" s="1"/>
  <c r="Y259" i="1" a="1"/>
  <c r="Y259" i="1" s="1"/>
  <c r="X259" i="1" a="1"/>
  <c r="X259" i="1" s="1"/>
  <c r="W259" i="1" a="1"/>
  <c r="W259" i="1" s="1"/>
  <c r="V259" i="1" a="1"/>
  <c r="V259" i="1" s="1"/>
  <c r="U259" i="1" a="1"/>
  <c r="U259" i="1" s="1"/>
  <c r="T259" i="1" a="1"/>
  <c r="T259" i="1" s="1"/>
  <c r="Y258" i="1" a="1"/>
  <c r="Y258" i="1" s="1"/>
  <c r="X258" i="1" a="1"/>
  <c r="X258" i="1" s="1"/>
  <c r="W258" i="1" a="1"/>
  <c r="W258" i="1" s="1"/>
  <c r="V258" i="1" a="1"/>
  <c r="V258" i="1" s="1"/>
  <c r="U258" i="1" a="1"/>
  <c r="U258" i="1" s="1"/>
  <c r="T258" i="1" a="1"/>
  <c r="T258" i="1" s="1"/>
  <c r="Y257" i="1" a="1"/>
  <c r="Y257" i="1" s="1"/>
  <c r="X257" i="1" a="1"/>
  <c r="X257" i="1" s="1"/>
  <c r="W257" i="1" a="1"/>
  <c r="W257" i="1" s="1"/>
  <c r="V257" i="1" a="1"/>
  <c r="V257" i="1" s="1"/>
  <c r="U257" i="1" a="1"/>
  <c r="U257" i="1" s="1"/>
  <c r="T257" i="1" a="1"/>
  <c r="T257" i="1" s="1"/>
  <c r="Y256" i="1" a="1"/>
  <c r="Y256" i="1" s="1"/>
  <c r="X256" i="1" a="1"/>
  <c r="X256" i="1" s="1"/>
  <c r="W256" i="1" a="1"/>
  <c r="W256" i="1" s="1"/>
  <c r="V256" i="1" a="1"/>
  <c r="V256" i="1" s="1"/>
  <c r="U256" i="1" a="1"/>
  <c r="U256" i="1" s="1"/>
  <c r="T256" i="1" a="1"/>
  <c r="T256" i="1" s="1"/>
  <c r="Y255" i="1" a="1"/>
  <c r="Y255" i="1" s="1"/>
  <c r="X255" i="1" a="1"/>
  <c r="X255" i="1" s="1"/>
  <c r="W255" i="1" a="1"/>
  <c r="W255" i="1" s="1"/>
  <c r="V255" i="1" a="1"/>
  <c r="V255" i="1" s="1"/>
  <c r="U255" i="1" a="1"/>
  <c r="U255" i="1" s="1"/>
  <c r="T255" i="1" a="1"/>
  <c r="T255" i="1" s="1"/>
  <c r="Y254" i="1" a="1"/>
  <c r="Y254" i="1" s="1"/>
  <c r="X254" i="1" a="1"/>
  <c r="X254" i="1" s="1"/>
  <c r="W254" i="1" a="1"/>
  <c r="W254" i="1" s="1"/>
  <c r="V254" i="1" a="1"/>
  <c r="V254" i="1" s="1"/>
  <c r="U254" i="1" a="1"/>
  <c r="U254" i="1" s="1"/>
  <c r="T254" i="1" a="1"/>
  <c r="T254" i="1" s="1"/>
  <c r="Y253" i="1" a="1"/>
  <c r="Y253" i="1" s="1"/>
  <c r="X253" i="1" a="1"/>
  <c r="X253" i="1" s="1"/>
  <c r="W253" i="1" a="1"/>
  <c r="W253" i="1" s="1"/>
  <c r="V253" i="1" a="1"/>
  <c r="V253" i="1" s="1"/>
  <c r="U253" i="1" a="1"/>
  <c r="U253" i="1" s="1"/>
  <c r="T253" i="1" a="1"/>
  <c r="T253" i="1" s="1"/>
  <c r="Y252" i="1" a="1"/>
  <c r="Y252" i="1" s="1"/>
  <c r="X252" i="1" a="1"/>
  <c r="X252" i="1" s="1"/>
  <c r="W252" i="1" a="1"/>
  <c r="W252" i="1" s="1"/>
  <c r="V252" i="1" a="1"/>
  <c r="V252" i="1" s="1"/>
  <c r="U252" i="1" a="1"/>
  <c r="U252" i="1" s="1"/>
  <c r="T252" i="1" a="1"/>
  <c r="T252" i="1" s="1"/>
  <c r="Y251" i="1" a="1"/>
  <c r="Y251" i="1" s="1"/>
  <c r="X251" i="1" a="1"/>
  <c r="X251" i="1" s="1"/>
  <c r="W251" i="1" a="1"/>
  <c r="W251" i="1" s="1"/>
  <c r="V251" i="1" a="1"/>
  <c r="V251" i="1" s="1"/>
  <c r="U251" i="1" a="1"/>
  <c r="U251" i="1" s="1"/>
  <c r="T251" i="1" a="1"/>
  <c r="T251" i="1" s="1"/>
  <c r="Y250" i="1" a="1"/>
  <c r="Y250" i="1" s="1"/>
  <c r="X250" i="1" a="1"/>
  <c r="X250" i="1" s="1"/>
  <c r="W250" i="1" a="1"/>
  <c r="W250" i="1" s="1"/>
  <c r="V250" i="1" a="1"/>
  <c r="V250" i="1" s="1"/>
  <c r="U250" i="1" a="1"/>
  <c r="U250" i="1" s="1"/>
  <c r="T250" i="1" a="1"/>
  <c r="T250" i="1" s="1"/>
  <c r="Y249" i="1" a="1"/>
  <c r="Y249" i="1" s="1"/>
  <c r="X249" i="1" a="1"/>
  <c r="X249" i="1" s="1"/>
  <c r="W249" i="1" a="1"/>
  <c r="W249" i="1" s="1"/>
  <c r="V249" i="1" a="1"/>
  <c r="V249" i="1" s="1"/>
  <c r="U249" i="1" a="1"/>
  <c r="U249" i="1" s="1"/>
  <c r="T249" i="1" a="1"/>
  <c r="T249" i="1" s="1"/>
  <c r="Y248" i="1" a="1"/>
  <c r="Y248" i="1" s="1"/>
  <c r="X248" i="1" a="1"/>
  <c r="X248" i="1" s="1"/>
  <c r="W248" i="1" a="1"/>
  <c r="W248" i="1" s="1"/>
  <c r="V248" i="1" a="1"/>
  <c r="V248" i="1" s="1"/>
  <c r="U248" i="1" a="1"/>
  <c r="U248" i="1" s="1"/>
  <c r="T248" i="1" a="1"/>
  <c r="T248" i="1" s="1"/>
  <c r="Y247" i="1" a="1"/>
  <c r="Y247" i="1" s="1"/>
  <c r="X247" i="1" a="1"/>
  <c r="X247" i="1" s="1"/>
  <c r="W247" i="1" a="1"/>
  <c r="W247" i="1" s="1"/>
  <c r="V247" i="1" a="1"/>
  <c r="V247" i="1" s="1"/>
  <c r="U247" i="1" a="1"/>
  <c r="U247" i="1" s="1"/>
  <c r="T247" i="1" a="1"/>
  <c r="T247" i="1" s="1"/>
  <c r="Y246" i="1" a="1"/>
  <c r="Y246" i="1" s="1"/>
  <c r="X246" i="1" a="1"/>
  <c r="X246" i="1" s="1"/>
  <c r="W246" i="1" a="1"/>
  <c r="W246" i="1" s="1"/>
  <c r="V246" i="1" a="1"/>
  <c r="V246" i="1" s="1"/>
  <c r="U246" i="1" a="1"/>
  <c r="U246" i="1" s="1"/>
  <c r="T246" i="1" a="1"/>
  <c r="T246" i="1" s="1"/>
  <c r="Y245" i="1" a="1"/>
  <c r="Y245" i="1" s="1"/>
  <c r="X245" i="1" a="1"/>
  <c r="X245" i="1" s="1"/>
  <c r="W245" i="1" a="1"/>
  <c r="W245" i="1" s="1"/>
  <c r="V245" i="1" a="1"/>
  <c r="V245" i="1" s="1"/>
  <c r="U245" i="1" a="1"/>
  <c r="U245" i="1" s="1"/>
  <c r="T245" i="1" a="1"/>
  <c r="T245" i="1" s="1"/>
  <c r="Y244" i="1" a="1"/>
  <c r="Y244" i="1" s="1"/>
  <c r="X244" i="1" a="1"/>
  <c r="X244" i="1" s="1"/>
  <c r="W244" i="1" a="1"/>
  <c r="W244" i="1" s="1"/>
  <c r="V244" i="1" a="1"/>
  <c r="V244" i="1" s="1"/>
  <c r="U244" i="1" a="1"/>
  <c r="U244" i="1" s="1"/>
  <c r="T244" i="1" a="1"/>
  <c r="T244" i="1" s="1"/>
  <c r="Y243" i="1" a="1"/>
  <c r="Y243" i="1" s="1"/>
  <c r="X243" i="1" a="1"/>
  <c r="X243" i="1" s="1"/>
  <c r="W243" i="1" a="1"/>
  <c r="W243" i="1" s="1"/>
  <c r="V243" i="1" a="1"/>
  <c r="V243" i="1" s="1"/>
  <c r="U243" i="1" a="1"/>
  <c r="U243" i="1" s="1"/>
  <c r="T243" i="1" a="1"/>
  <c r="T243" i="1" s="1"/>
  <c r="Y242" i="1" a="1"/>
  <c r="Y242" i="1" s="1"/>
  <c r="X242" i="1" a="1"/>
  <c r="X242" i="1" s="1"/>
  <c r="W242" i="1" a="1"/>
  <c r="W242" i="1" s="1"/>
  <c r="V242" i="1" a="1"/>
  <c r="V242" i="1" s="1"/>
  <c r="U242" i="1" a="1"/>
  <c r="U242" i="1" s="1"/>
  <c r="T242" i="1" a="1"/>
  <c r="T242" i="1" s="1"/>
  <c r="Y241" i="1" a="1"/>
  <c r="Y241" i="1" s="1"/>
  <c r="X241" i="1" a="1"/>
  <c r="X241" i="1" s="1"/>
  <c r="W241" i="1" a="1"/>
  <c r="W241" i="1" s="1"/>
  <c r="V241" i="1" a="1"/>
  <c r="V241" i="1" s="1"/>
  <c r="U241" i="1" a="1"/>
  <c r="U241" i="1" s="1"/>
  <c r="T241" i="1" a="1"/>
  <c r="T241" i="1" s="1"/>
  <c r="Y240" i="1" a="1"/>
  <c r="Y240" i="1" s="1"/>
  <c r="X240" i="1" a="1"/>
  <c r="X240" i="1" s="1"/>
  <c r="W240" i="1" a="1"/>
  <c r="W240" i="1" s="1"/>
  <c r="V240" i="1" a="1"/>
  <c r="V240" i="1" s="1"/>
  <c r="U240" i="1" a="1"/>
  <c r="U240" i="1" s="1"/>
  <c r="T240" i="1" a="1"/>
  <c r="T240" i="1" s="1"/>
  <c r="Y239" i="1" a="1"/>
  <c r="Y239" i="1" s="1"/>
  <c r="X239" i="1" a="1"/>
  <c r="X239" i="1" s="1"/>
  <c r="W239" i="1" a="1"/>
  <c r="W239" i="1" s="1"/>
  <c r="V239" i="1" a="1"/>
  <c r="V239" i="1" s="1"/>
  <c r="U239" i="1" a="1"/>
  <c r="U239" i="1" s="1"/>
  <c r="T239" i="1" a="1"/>
  <c r="T239" i="1" s="1"/>
  <c r="Y238" i="1" a="1"/>
  <c r="Y238" i="1" s="1"/>
  <c r="X238" i="1" a="1"/>
  <c r="X238" i="1" s="1"/>
  <c r="W238" i="1" a="1"/>
  <c r="W238" i="1" s="1"/>
  <c r="V238" i="1" a="1"/>
  <c r="V238" i="1" s="1"/>
  <c r="U238" i="1" a="1"/>
  <c r="U238" i="1" s="1"/>
  <c r="T238" i="1" a="1"/>
  <c r="T238" i="1" s="1"/>
  <c r="Y237" i="1" a="1"/>
  <c r="Y237" i="1" s="1"/>
  <c r="X237" i="1" a="1"/>
  <c r="X237" i="1" s="1"/>
  <c r="W237" i="1" a="1"/>
  <c r="W237" i="1" s="1"/>
  <c r="V237" i="1" a="1"/>
  <c r="V237" i="1" s="1"/>
  <c r="U237" i="1" a="1"/>
  <c r="U237" i="1" s="1"/>
  <c r="T237" i="1" a="1"/>
  <c r="T237" i="1" s="1"/>
  <c r="Y236" i="1" a="1"/>
  <c r="Y236" i="1" s="1"/>
  <c r="X236" i="1" a="1"/>
  <c r="X236" i="1" s="1"/>
  <c r="W236" i="1" a="1"/>
  <c r="W236" i="1" s="1"/>
  <c r="V236" i="1" a="1"/>
  <c r="V236" i="1" s="1"/>
  <c r="U236" i="1" a="1"/>
  <c r="U236" i="1" s="1"/>
  <c r="T236" i="1" a="1"/>
  <c r="T236" i="1" s="1"/>
  <c r="Y235" i="1" a="1"/>
  <c r="Y235" i="1" s="1"/>
  <c r="X235" i="1" a="1"/>
  <c r="X235" i="1" s="1"/>
  <c r="W235" i="1" a="1"/>
  <c r="W235" i="1" s="1"/>
  <c r="V235" i="1" a="1"/>
  <c r="V235" i="1" s="1"/>
  <c r="U235" i="1" a="1"/>
  <c r="U235" i="1" s="1"/>
  <c r="T235" i="1" a="1"/>
  <c r="T235" i="1" s="1"/>
  <c r="T173" i="1" a="1"/>
  <c r="T173" i="1" s="1"/>
  <c r="U173" i="1" a="1"/>
  <c r="U173" i="1" s="1"/>
  <c r="V173" i="1" a="1"/>
  <c r="V173" i="1" s="1"/>
  <c r="W173" i="1" a="1"/>
  <c r="W173" i="1" s="1"/>
  <c r="X173" i="1" a="1"/>
  <c r="X173" i="1" s="1"/>
  <c r="Y173" i="1" a="1"/>
  <c r="Y173" i="1" s="1"/>
  <c r="T112" i="1" a="1"/>
  <c r="T112" i="1" s="1"/>
  <c r="U112" i="1" a="1"/>
  <c r="U112" i="1" s="1"/>
  <c r="V112" i="1" a="1"/>
  <c r="V112" i="1" s="1"/>
  <c r="W112" i="1" a="1"/>
  <c r="W112" i="1" s="1"/>
  <c r="X112" i="1" a="1"/>
  <c r="X112" i="1" s="1"/>
  <c r="Y112" i="1" a="1"/>
  <c r="Y112" i="1" s="1"/>
  <c r="T174" i="1" a="1"/>
  <c r="T174" i="1" s="1"/>
  <c r="T175" i="1" a="1"/>
  <c r="T175" i="1" s="1"/>
  <c r="T176" i="1" a="1"/>
  <c r="T176" i="1" s="1"/>
  <c r="T177" i="1" a="1"/>
  <c r="T177" i="1" s="1"/>
  <c r="T178" i="1" a="1"/>
  <c r="T178" i="1" s="1"/>
  <c r="T179" i="1" a="1"/>
  <c r="T179" i="1" s="1"/>
  <c r="T180" i="1" a="1"/>
  <c r="T180" i="1" s="1"/>
  <c r="T181" i="1" a="1"/>
  <c r="T181" i="1" s="1"/>
  <c r="T182" i="1" a="1"/>
  <c r="T182" i="1" s="1"/>
  <c r="T183" i="1" a="1"/>
  <c r="T183" i="1" s="1"/>
  <c r="T184" i="1" a="1"/>
  <c r="T184" i="1" s="1"/>
  <c r="T185" i="1" a="1"/>
  <c r="T185" i="1" s="1"/>
  <c r="T186" i="1" a="1"/>
  <c r="T186" i="1" s="1"/>
  <c r="T187" i="1" a="1"/>
  <c r="T187" i="1" s="1"/>
  <c r="T188" i="1" a="1"/>
  <c r="T188" i="1" s="1"/>
  <c r="T189" i="1" a="1"/>
  <c r="T189" i="1" s="1"/>
  <c r="T190" i="1" a="1"/>
  <c r="T190" i="1" s="1"/>
  <c r="T191" i="1" a="1"/>
  <c r="T191" i="1" s="1"/>
  <c r="T192" i="1" a="1"/>
  <c r="T192" i="1" s="1"/>
  <c r="T193" i="1" a="1"/>
  <c r="T193" i="1" s="1"/>
  <c r="T194" i="1" a="1"/>
  <c r="T194" i="1" s="1"/>
  <c r="T195" i="1" a="1"/>
  <c r="T195" i="1" s="1"/>
  <c r="T196" i="1" a="1"/>
  <c r="T196" i="1" s="1"/>
  <c r="T197" i="1" a="1"/>
  <c r="T197" i="1" s="1"/>
  <c r="T198" i="1" a="1"/>
  <c r="T198" i="1" s="1"/>
  <c r="T199" i="1" a="1"/>
  <c r="T199" i="1" s="1"/>
  <c r="T200" i="1" a="1"/>
  <c r="T200" i="1" s="1"/>
  <c r="T201" i="1" a="1"/>
  <c r="T201" i="1" s="1"/>
  <c r="T202" i="1" a="1"/>
  <c r="T202" i="1" s="1"/>
  <c r="T203" i="1" a="1"/>
  <c r="T203" i="1" s="1"/>
  <c r="T204" i="1" a="1"/>
  <c r="T204" i="1" s="1"/>
  <c r="T205" i="1" a="1"/>
  <c r="T205" i="1" s="1"/>
  <c r="T206" i="1" a="1"/>
  <c r="T206" i="1" s="1"/>
  <c r="T207" i="1" a="1"/>
  <c r="T207" i="1" s="1"/>
  <c r="T208" i="1" a="1"/>
  <c r="T208" i="1" s="1"/>
  <c r="T209" i="1" a="1"/>
  <c r="T209" i="1" s="1"/>
  <c r="T210" i="1" a="1"/>
  <c r="T210" i="1" s="1"/>
  <c r="T211" i="1" a="1"/>
  <c r="T211" i="1" s="1"/>
  <c r="T212" i="1" a="1"/>
  <c r="T212" i="1" s="1"/>
  <c r="T213" i="1" a="1"/>
  <c r="T213" i="1" s="1"/>
  <c r="T214" i="1" a="1"/>
  <c r="T214" i="1" s="1"/>
  <c r="T215" i="1" a="1"/>
  <c r="T215" i="1" s="1"/>
  <c r="T216" i="1" a="1"/>
  <c r="T216" i="1" s="1"/>
  <c r="T217" i="1" a="1"/>
  <c r="T217" i="1" s="1"/>
  <c r="T218" i="1" a="1"/>
  <c r="T218" i="1" s="1"/>
  <c r="T219" i="1" a="1"/>
  <c r="T219" i="1" s="1"/>
  <c r="T220" i="1" a="1"/>
  <c r="T220" i="1" s="1"/>
  <c r="T221" i="1" a="1"/>
  <c r="T221" i="1" s="1"/>
  <c r="T222" i="1" a="1"/>
  <c r="T222" i="1" s="1"/>
  <c r="T223" i="1" a="1"/>
  <c r="T223" i="1" s="1"/>
  <c r="T224" i="1" a="1"/>
  <c r="T224" i="1" s="1"/>
  <c r="T225" i="1" a="1"/>
  <c r="T225" i="1" s="1"/>
  <c r="T226" i="1" a="1"/>
  <c r="T226" i="1" s="1"/>
  <c r="T227" i="1" a="1"/>
  <c r="T227" i="1" s="1"/>
  <c r="T228" i="1" a="1"/>
  <c r="T228" i="1" s="1"/>
  <c r="T229" i="1" a="1"/>
  <c r="T229" i="1" s="1"/>
  <c r="T230" i="1" a="1"/>
  <c r="T230" i="1" s="1"/>
  <c r="T231" i="1" a="1"/>
  <c r="T231" i="1" s="1"/>
  <c r="T232" i="1" a="1"/>
  <c r="T232" i="1" s="1"/>
  <c r="T233" i="1" a="1"/>
  <c r="T233" i="1" s="1"/>
  <c r="T234" i="1" a="1"/>
  <c r="T234" i="1" s="1"/>
  <c r="U174" i="1" a="1"/>
  <c r="U174" i="1" s="1"/>
  <c r="U175" i="1" a="1"/>
  <c r="U175" i="1" s="1"/>
  <c r="U176" i="1" a="1"/>
  <c r="U176" i="1" s="1"/>
  <c r="U177" i="1" a="1"/>
  <c r="U177" i="1" s="1"/>
  <c r="U178" i="1" a="1"/>
  <c r="U178" i="1" s="1"/>
  <c r="U179" i="1" a="1"/>
  <c r="U179" i="1" s="1"/>
  <c r="U180" i="1" a="1"/>
  <c r="U180" i="1" s="1"/>
  <c r="U181" i="1" a="1"/>
  <c r="U181" i="1" s="1"/>
  <c r="U182" i="1" a="1"/>
  <c r="U182" i="1" s="1"/>
  <c r="U183" i="1" a="1"/>
  <c r="U183" i="1" s="1"/>
  <c r="U184" i="1" a="1"/>
  <c r="U184" i="1" s="1"/>
  <c r="U185" i="1" a="1"/>
  <c r="U185" i="1" s="1"/>
  <c r="U186" i="1" a="1"/>
  <c r="U186" i="1" s="1"/>
  <c r="U187" i="1" a="1"/>
  <c r="U187" i="1" s="1"/>
  <c r="U188" i="1" a="1"/>
  <c r="U188" i="1" s="1"/>
  <c r="U189" i="1" a="1"/>
  <c r="U189" i="1" s="1"/>
  <c r="U190" i="1" a="1"/>
  <c r="U190" i="1" s="1"/>
  <c r="U191" i="1" a="1"/>
  <c r="U191" i="1" s="1"/>
  <c r="U192" i="1" a="1"/>
  <c r="U192" i="1" s="1"/>
  <c r="U193" i="1" a="1"/>
  <c r="U193" i="1" s="1"/>
  <c r="U194" i="1" a="1"/>
  <c r="U194" i="1" s="1"/>
  <c r="U195" i="1" a="1"/>
  <c r="U195" i="1" s="1"/>
  <c r="U196" i="1" a="1"/>
  <c r="U196" i="1" s="1"/>
  <c r="U197" i="1" a="1"/>
  <c r="U197" i="1" s="1"/>
  <c r="U198" i="1" a="1"/>
  <c r="U198" i="1" s="1"/>
  <c r="U199" i="1" a="1"/>
  <c r="U199" i="1" s="1"/>
  <c r="U200" i="1" a="1"/>
  <c r="U200" i="1" s="1"/>
  <c r="U201" i="1" a="1"/>
  <c r="U201" i="1" s="1"/>
  <c r="U202" i="1" a="1"/>
  <c r="U202" i="1" s="1"/>
  <c r="U203" i="1" a="1"/>
  <c r="U203" i="1" s="1"/>
  <c r="U204" i="1" a="1"/>
  <c r="U204" i="1" s="1"/>
  <c r="U205" i="1" a="1"/>
  <c r="U205" i="1" s="1"/>
  <c r="U206" i="1" a="1"/>
  <c r="U206" i="1" s="1"/>
  <c r="U207" i="1" a="1"/>
  <c r="U207" i="1" s="1"/>
  <c r="U208" i="1" a="1"/>
  <c r="U208" i="1" s="1"/>
  <c r="U209" i="1" a="1"/>
  <c r="U209" i="1" s="1"/>
  <c r="U210" i="1" a="1"/>
  <c r="U210" i="1" s="1"/>
  <c r="U211" i="1" a="1"/>
  <c r="U211" i="1" s="1"/>
  <c r="U212" i="1" a="1"/>
  <c r="U212" i="1" s="1"/>
  <c r="U213" i="1" a="1"/>
  <c r="U213" i="1" s="1"/>
  <c r="U214" i="1" a="1"/>
  <c r="U214" i="1" s="1"/>
  <c r="U215" i="1" a="1"/>
  <c r="U215" i="1" s="1"/>
  <c r="U216" i="1" a="1"/>
  <c r="U216" i="1" s="1"/>
  <c r="U217" i="1" a="1"/>
  <c r="U217" i="1" s="1"/>
  <c r="U218" i="1" a="1"/>
  <c r="U218" i="1" s="1"/>
  <c r="U219" i="1" a="1"/>
  <c r="U219" i="1" s="1"/>
  <c r="U220" i="1" a="1"/>
  <c r="U220" i="1" s="1"/>
  <c r="U221" i="1" a="1"/>
  <c r="U221" i="1" s="1"/>
  <c r="U222" i="1" a="1"/>
  <c r="U222" i="1" s="1"/>
  <c r="U223" i="1" a="1"/>
  <c r="U223" i="1" s="1"/>
  <c r="U224" i="1" a="1"/>
  <c r="U224" i="1" s="1"/>
  <c r="U225" i="1" a="1"/>
  <c r="U225" i="1" s="1"/>
  <c r="U226" i="1" a="1"/>
  <c r="U226" i="1" s="1"/>
  <c r="U227" i="1" a="1"/>
  <c r="U227" i="1" s="1"/>
  <c r="U228" i="1" a="1"/>
  <c r="U228" i="1" s="1"/>
  <c r="U229" i="1" a="1"/>
  <c r="U229" i="1" s="1"/>
  <c r="U230" i="1" a="1"/>
  <c r="U230" i="1" s="1"/>
  <c r="U231" i="1" a="1"/>
  <c r="U231" i="1" s="1"/>
  <c r="U232" i="1" a="1"/>
  <c r="U232" i="1" s="1"/>
  <c r="U233" i="1" a="1"/>
  <c r="U233" i="1" s="1"/>
  <c r="U234" i="1" a="1"/>
  <c r="U234" i="1" s="1"/>
  <c r="V174" i="1" a="1"/>
  <c r="V174" i="1" s="1"/>
  <c r="V175" i="1" a="1"/>
  <c r="V175" i="1" s="1"/>
  <c r="V176" i="1" a="1"/>
  <c r="V176" i="1" s="1"/>
  <c r="V177" i="1" a="1"/>
  <c r="V177" i="1" s="1"/>
  <c r="V178" i="1" a="1"/>
  <c r="V178" i="1" s="1"/>
  <c r="V179" i="1" a="1"/>
  <c r="V179" i="1" s="1"/>
  <c r="V180" i="1" a="1"/>
  <c r="V180" i="1" s="1"/>
  <c r="V181" i="1" a="1"/>
  <c r="V181" i="1" s="1"/>
  <c r="V182" i="1" a="1"/>
  <c r="V182" i="1" s="1"/>
  <c r="V183" i="1" a="1"/>
  <c r="V183" i="1" s="1"/>
  <c r="V184" i="1" a="1"/>
  <c r="V184" i="1" s="1"/>
  <c r="V185" i="1" a="1"/>
  <c r="V185" i="1" s="1"/>
  <c r="V186" i="1" a="1"/>
  <c r="V186" i="1" s="1"/>
  <c r="V187" i="1" a="1"/>
  <c r="V187" i="1" s="1"/>
  <c r="V188" i="1" a="1"/>
  <c r="V188" i="1" s="1"/>
  <c r="V189" i="1" a="1"/>
  <c r="V189" i="1" s="1"/>
  <c r="V190" i="1" a="1"/>
  <c r="V190" i="1" s="1"/>
  <c r="V191" i="1" a="1"/>
  <c r="V191" i="1" s="1"/>
  <c r="V192" i="1" a="1"/>
  <c r="V192" i="1" s="1"/>
  <c r="V193" i="1" a="1"/>
  <c r="V193" i="1" s="1"/>
  <c r="V194" i="1" a="1"/>
  <c r="V194" i="1" s="1"/>
  <c r="V195" i="1" a="1"/>
  <c r="V195" i="1" s="1"/>
  <c r="V196" i="1" a="1"/>
  <c r="V196" i="1" s="1"/>
  <c r="V197" i="1" a="1"/>
  <c r="V197" i="1" s="1"/>
  <c r="V198" i="1" a="1"/>
  <c r="V198" i="1" s="1"/>
  <c r="V199" i="1" a="1"/>
  <c r="V199" i="1" s="1"/>
  <c r="V200" i="1" a="1"/>
  <c r="V200" i="1" s="1"/>
  <c r="V201" i="1" a="1"/>
  <c r="V201" i="1" s="1"/>
  <c r="V202" i="1" a="1"/>
  <c r="V202" i="1" s="1"/>
  <c r="V203" i="1" a="1"/>
  <c r="V203" i="1" s="1"/>
  <c r="V204" i="1" a="1"/>
  <c r="V204" i="1" s="1"/>
  <c r="V205" i="1" a="1"/>
  <c r="V205" i="1" s="1"/>
  <c r="V206" i="1" a="1"/>
  <c r="V206" i="1" s="1"/>
  <c r="V207" i="1" a="1"/>
  <c r="V207" i="1" s="1"/>
  <c r="V208" i="1" a="1"/>
  <c r="V208" i="1" s="1"/>
  <c r="V209" i="1" a="1"/>
  <c r="V209" i="1" s="1"/>
  <c r="V210" i="1" a="1"/>
  <c r="V210" i="1" s="1"/>
  <c r="V211" i="1" a="1"/>
  <c r="V211" i="1" s="1"/>
  <c r="V212" i="1" a="1"/>
  <c r="V212" i="1" s="1"/>
  <c r="V213" i="1" a="1"/>
  <c r="V213" i="1" s="1"/>
  <c r="V214" i="1" a="1"/>
  <c r="V214" i="1" s="1"/>
  <c r="V215" i="1" a="1"/>
  <c r="V215" i="1" s="1"/>
  <c r="V216" i="1" a="1"/>
  <c r="V216" i="1" s="1"/>
  <c r="V217" i="1" a="1"/>
  <c r="V217" i="1" s="1"/>
  <c r="V218" i="1" a="1"/>
  <c r="V218" i="1" s="1"/>
  <c r="V219" i="1" a="1"/>
  <c r="V219" i="1" s="1"/>
  <c r="V220" i="1" a="1"/>
  <c r="V220" i="1" s="1"/>
  <c r="V221" i="1" a="1"/>
  <c r="V221" i="1" s="1"/>
  <c r="V222" i="1" a="1"/>
  <c r="V222" i="1" s="1"/>
  <c r="V223" i="1" a="1"/>
  <c r="V223" i="1" s="1"/>
  <c r="V224" i="1" a="1"/>
  <c r="V224" i="1" s="1"/>
  <c r="V225" i="1" a="1"/>
  <c r="V225" i="1" s="1"/>
  <c r="V226" i="1" a="1"/>
  <c r="V226" i="1" s="1"/>
  <c r="V227" i="1" a="1"/>
  <c r="V227" i="1" s="1"/>
  <c r="V228" i="1" a="1"/>
  <c r="V228" i="1" s="1"/>
  <c r="V229" i="1" a="1"/>
  <c r="V229" i="1" s="1"/>
  <c r="V230" i="1" a="1"/>
  <c r="V230" i="1" s="1"/>
  <c r="V231" i="1" a="1"/>
  <c r="V231" i="1" s="1"/>
  <c r="V232" i="1" a="1"/>
  <c r="V232" i="1" s="1"/>
  <c r="V233" i="1" a="1"/>
  <c r="V233" i="1" s="1"/>
  <c r="V234" i="1" a="1"/>
  <c r="V234" i="1" s="1"/>
  <c r="W174" i="1" a="1"/>
  <c r="W174" i="1" s="1"/>
  <c r="W175" i="1" a="1"/>
  <c r="W175" i="1" s="1"/>
  <c r="W176" i="1" a="1"/>
  <c r="W176" i="1" s="1"/>
  <c r="W177" i="1" a="1"/>
  <c r="W177" i="1" s="1"/>
  <c r="W178" i="1" a="1"/>
  <c r="W178" i="1" s="1"/>
  <c r="W179" i="1" a="1"/>
  <c r="W179" i="1" s="1"/>
  <c r="W180" i="1" a="1"/>
  <c r="W180" i="1" s="1"/>
  <c r="W181" i="1" a="1"/>
  <c r="W181" i="1" s="1"/>
  <c r="W182" i="1" a="1"/>
  <c r="W182" i="1" s="1"/>
  <c r="W183" i="1" a="1"/>
  <c r="W183" i="1" s="1"/>
  <c r="W184" i="1" a="1"/>
  <c r="W184" i="1" s="1"/>
  <c r="W185" i="1" a="1"/>
  <c r="W185" i="1" s="1"/>
  <c r="W186" i="1" a="1"/>
  <c r="W186" i="1" s="1"/>
  <c r="W187" i="1" a="1"/>
  <c r="W187" i="1" s="1"/>
  <c r="W188" i="1" a="1"/>
  <c r="W188" i="1" s="1"/>
  <c r="W189" i="1" a="1"/>
  <c r="W189" i="1" s="1"/>
  <c r="W190" i="1" a="1"/>
  <c r="W190" i="1" s="1"/>
  <c r="W191" i="1" a="1"/>
  <c r="W191" i="1" s="1"/>
  <c r="W192" i="1" a="1"/>
  <c r="W192" i="1" s="1"/>
  <c r="W193" i="1" a="1"/>
  <c r="W193" i="1" s="1"/>
  <c r="W194" i="1" a="1"/>
  <c r="W194" i="1" s="1"/>
  <c r="W195" i="1" a="1"/>
  <c r="W195" i="1" s="1"/>
  <c r="W196" i="1" a="1"/>
  <c r="W196" i="1" s="1"/>
  <c r="W197" i="1" a="1"/>
  <c r="W197" i="1" s="1"/>
  <c r="W198" i="1" a="1"/>
  <c r="W198" i="1" s="1"/>
  <c r="W199" i="1" a="1"/>
  <c r="W199" i="1" s="1"/>
  <c r="W200" i="1" a="1"/>
  <c r="W200" i="1" s="1"/>
  <c r="W201" i="1" a="1"/>
  <c r="W201" i="1" s="1"/>
  <c r="W202" i="1" a="1"/>
  <c r="W202" i="1" s="1"/>
  <c r="W203" i="1" a="1"/>
  <c r="W203" i="1" s="1"/>
  <c r="W204" i="1" a="1"/>
  <c r="W204" i="1" s="1"/>
  <c r="W205" i="1" a="1"/>
  <c r="W205" i="1" s="1"/>
  <c r="W206" i="1" a="1"/>
  <c r="W206" i="1" s="1"/>
  <c r="W207" i="1" a="1"/>
  <c r="W207" i="1" s="1"/>
  <c r="W208" i="1" a="1"/>
  <c r="W208" i="1" s="1"/>
  <c r="W209" i="1" a="1"/>
  <c r="W209" i="1" s="1"/>
  <c r="W210" i="1" a="1"/>
  <c r="W210" i="1" s="1"/>
  <c r="W211" i="1" a="1"/>
  <c r="W211" i="1" s="1"/>
  <c r="W212" i="1" a="1"/>
  <c r="W212" i="1" s="1"/>
  <c r="W213" i="1" a="1"/>
  <c r="W213" i="1" s="1"/>
  <c r="W214" i="1" a="1"/>
  <c r="W214" i="1" s="1"/>
  <c r="W215" i="1" a="1"/>
  <c r="W215" i="1" s="1"/>
  <c r="W216" i="1" a="1"/>
  <c r="W216" i="1" s="1"/>
  <c r="W217" i="1" a="1"/>
  <c r="W217" i="1" s="1"/>
  <c r="W218" i="1" a="1"/>
  <c r="W218" i="1" s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 s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 s="1"/>
  <c r="W231" i="1" a="1"/>
  <c r="W231" i="1" s="1"/>
  <c r="W232" i="1" a="1"/>
  <c r="W232" i="1" s="1"/>
  <c r="W233" i="1" a="1"/>
  <c r="W233" i="1" s="1"/>
  <c r="W234" i="1" a="1"/>
  <c r="W234" i="1" s="1"/>
  <c r="X174" i="1" a="1"/>
  <c r="X174" i="1" s="1"/>
  <c r="X175" i="1" a="1"/>
  <c r="X175" i="1" s="1"/>
  <c r="X176" i="1" a="1"/>
  <c r="X176" i="1" s="1"/>
  <c r="X177" i="1" a="1"/>
  <c r="X177" i="1" s="1"/>
  <c r="X178" i="1" a="1"/>
  <c r="X178" i="1" s="1"/>
  <c r="X179" i="1" a="1"/>
  <c r="X179" i="1" s="1"/>
  <c r="X180" i="1" a="1"/>
  <c r="X180" i="1" s="1"/>
  <c r="X181" i="1" a="1"/>
  <c r="X181" i="1" s="1"/>
  <c r="X182" i="1" a="1"/>
  <c r="X182" i="1" s="1"/>
  <c r="X183" i="1" a="1"/>
  <c r="X183" i="1" s="1"/>
  <c r="X184" i="1" a="1"/>
  <c r="X184" i="1" s="1"/>
  <c r="X185" i="1" a="1"/>
  <c r="X185" i="1" s="1"/>
  <c r="X186" i="1" a="1"/>
  <c r="X186" i="1" s="1"/>
  <c r="X187" i="1" a="1"/>
  <c r="X187" i="1" s="1"/>
  <c r="X188" i="1" a="1"/>
  <c r="X188" i="1" s="1"/>
  <c r="X189" i="1" a="1"/>
  <c r="X189" i="1" s="1"/>
  <c r="X190" i="1" a="1"/>
  <c r="X190" i="1" s="1"/>
  <c r="X191" i="1" a="1"/>
  <c r="X191" i="1" s="1"/>
  <c r="X192" i="1" a="1"/>
  <c r="X192" i="1" s="1"/>
  <c r="X193" i="1" a="1"/>
  <c r="X193" i="1" s="1"/>
  <c r="X194" i="1" a="1"/>
  <c r="X194" i="1" s="1"/>
  <c r="X195" i="1" a="1"/>
  <c r="X195" i="1" s="1"/>
  <c r="X196" i="1" a="1"/>
  <c r="X196" i="1" s="1"/>
  <c r="X197" i="1" a="1"/>
  <c r="X197" i="1" s="1"/>
  <c r="X198" i="1" a="1"/>
  <c r="X198" i="1" s="1"/>
  <c r="X199" i="1" a="1"/>
  <c r="X199" i="1" s="1"/>
  <c r="X200" i="1" a="1"/>
  <c r="X200" i="1" s="1"/>
  <c r="X201" i="1" a="1"/>
  <c r="X201" i="1" s="1"/>
  <c r="X202" i="1" a="1"/>
  <c r="X202" i="1" s="1"/>
  <c r="X203" i="1" a="1"/>
  <c r="X203" i="1" s="1"/>
  <c r="X204" i="1" a="1"/>
  <c r="X204" i="1" s="1"/>
  <c r="X205" i="1" a="1"/>
  <c r="X205" i="1" s="1"/>
  <c r="X206" i="1" a="1"/>
  <c r="X206" i="1" s="1"/>
  <c r="X207" i="1" a="1"/>
  <c r="X207" i="1" s="1"/>
  <c r="X208" i="1" a="1"/>
  <c r="X208" i="1" s="1"/>
  <c r="X209" i="1" a="1"/>
  <c r="X209" i="1" s="1"/>
  <c r="X210" i="1" a="1"/>
  <c r="X210" i="1" s="1"/>
  <c r="X211" i="1" a="1"/>
  <c r="X211" i="1" s="1"/>
  <c r="X212" i="1" a="1"/>
  <c r="X212" i="1" s="1"/>
  <c r="X213" i="1" a="1"/>
  <c r="X213" i="1" s="1"/>
  <c r="X214" i="1" a="1"/>
  <c r="X214" i="1" s="1"/>
  <c r="X215" i="1" a="1"/>
  <c r="X215" i="1" s="1"/>
  <c r="X216" i="1" a="1"/>
  <c r="X216" i="1" s="1"/>
  <c r="X217" i="1" a="1"/>
  <c r="X217" i="1" s="1"/>
  <c r="X218" i="1" a="1"/>
  <c r="X218" i="1" s="1"/>
  <c r="X219" i="1" a="1"/>
  <c r="X219" i="1" s="1"/>
  <c r="X220" i="1" a="1"/>
  <c r="X220" i="1" s="1"/>
  <c r="X221" i="1" a="1"/>
  <c r="X221" i="1" s="1"/>
  <c r="X222" i="1" a="1"/>
  <c r="X222" i="1" s="1"/>
  <c r="X223" i="1" a="1"/>
  <c r="X223" i="1" s="1"/>
  <c r="X224" i="1" a="1"/>
  <c r="X224" i="1" s="1"/>
  <c r="X225" i="1" a="1"/>
  <c r="X225" i="1" s="1"/>
  <c r="X226" i="1" a="1"/>
  <c r="X226" i="1" s="1"/>
  <c r="X227" i="1" a="1"/>
  <c r="X227" i="1" s="1"/>
  <c r="X228" i="1" a="1"/>
  <c r="X228" i="1" s="1"/>
  <c r="X229" i="1" a="1"/>
  <c r="X229" i="1" s="1"/>
  <c r="X230" i="1" a="1"/>
  <c r="X230" i="1" s="1"/>
  <c r="X231" i="1" a="1"/>
  <c r="X231" i="1" s="1"/>
  <c r="X232" i="1" a="1"/>
  <c r="X232" i="1" s="1"/>
  <c r="X233" i="1" a="1"/>
  <c r="X233" i="1" s="1"/>
  <c r="X234" i="1" a="1"/>
  <c r="X234" i="1" s="1"/>
  <c r="Y174" i="1" a="1"/>
  <c r="Y174" i="1" s="1"/>
  <c r="Y175" i="1" a="1"/>
  <c r="Y175" i="1" s="1"/>
  <c r="Y176" i="1" a="1"/>
  <c r="Y176" i="1" s="1"/>
  <c r="Y177" i="1" a="1"/>
  <c r="Y177" i="1" s="1"/>
  <c r="Y178" i="1" a="1"/>
  <c r="Y178" i="1" s="1"/>
  <c r="Y179" i="1" a="1"/>
  <c r="Y179" i="1" s="1"/>
  <c r="Y180" i="1" a="1"/>
  <c r="Y180" i="1" s="1"/>
  <c r="Y181" i="1" a="1"/>
  <c r="Y181" i="1" s="1"/>
  <c r="Y182" i="1" a="1"/>
  <c r="Y182" i="1" s="1"/>
  <c r="Y183" i="1" a="1"/>
  <c r="Y183" i="1" s="1"/>
  <c r="Y184" i="1" a="1"/>
  <c r="Y184" i="1" s="1"/>
  <c r="Y185" i="1" a="1"/>
  <c r="Y185" i="1" s="1"/>
  <c r="Y186" i="1" a="1"/>
  <c r="Y186" i="1" s="1"/>
  <c r="Y187" i="1" a="1"/>
  <c r="Y187" i="1" s="1"/>
  <c r="Y188" i="1" a="1"/>
  <c r="Y188" i="1" s="1"/>
  <c r="Y189" i="1" a="1"/>
  <c r="Y189" i="1" s="1"/>
  <c r="Y190" i="1" a="1"/>
  <c r="Y190" i="1" s="1"/>
  <c r="Y191" i="1" a="1"/>
  <c r="Y191" i="1" s="1"/>
  <c r="Y192" i="1" a="1"/>
  <c r="Y192" i="1" s="1"/>
  <c r="Y193" i="1" a="1"/>
  <c r="Y193" i="1" s="1"/>
  <c r="Y194" i="1" a="1"/>
  <c r="Y194" i="1" s="1"/>
  <c r="Y195" i="1" a="1"/>
  <c r="Y195" i="1" s="1"/>
  <c r="Y196" i="1" a="1"/>
  <c r="Y196" i="1" s="1"/>
  <c r="Y197" i="1" a="1"/>
  <c r="Y197" i="1" s="1"/>
  <c r="Y198" i="1" a="1"/>
  <c r="Y198" i="1" s="1"/>
  <c r="Y199" i="1" a="1"/>
  <c r="Y199" i="1" s="1"/>
  <c r="Y200" i="1" a="1"/>
  <c r="Y200" i="1" s="1"/>
  <c r="Y201" i="1" a="1"/>
  <c r="Y201" i="1" s="1"/>
  <c r="Y202" i="1" a="1"/>
  <c r="Y202" i="1" s="1"/>
  <c r="Y203" i="1" a="1"/>
  <c r="Y203" i="1" s="1"/>
  <c r="Y204" i="1" a="1"/>
  <c r="Y204" i="1" s="1"/>
  <c r="Y205" i="1" a="1"/>
  <c r="Y205" i="1" s="1"/>
  <c r="Y206" i="1" a="1"/>
  <c r="Y206" i="1" s="1"/>
  <c r="Y207" i="1" a="1"/>
  <c r="Y207" i="1" s="1"/>
  <c r="Y208" i="1" a="1"/>
  <c r="Y208" i="1" s="1"/>
  <c r="Y209" i="1" a="1"/>
  <c r="Y209" i="1" s="1"/>
  <c r="Y210" i="1" a="1"/>
  <c r="Y210" i="1" s="1"/>
  <c r="Y211" i="1" a="1"/>
  <c r="Y211" i="1" s="1"/>
  <c r="Y212" i="1" a="1"/>
  <c r="Y212" i="1" s="1"/>
  <c r="Y213" i="1" a="1"/>
  <c r="Y213" i="1" s="1"/>
  <c r="Y214" i="1" a="1"/>
  <c r="Y214" i="1" s="1"/>
  <c r="Y215" i="1" a="1"/>
  <c r="Y215" i="1" s="1"/>
  <c r="Y216" i="1" a="1"/>
  <c r="Y216" i="1" s="1"/>
  <c r="Y217" i="1" a="1"/>
  <c r="Y217" i="1" s="1"/>
  <c r="Y218" i="1" a="1"/>
  <c r="Y218" i="1" s="1"/>
  <c r="Y219" i="1" a="1"/>
  <c r="Y219" i="1" s="1"/>
  <c r="Y220" i="1" a="1"/>
  <c r="Y220" i="1" s="1"/>
  <c r="Y221" i="1" a="1"/>
  <c r="Y221" i="1" s="1"/>
  <c r="Y222" i="1" a="1"/>
  <c r="Y222" i="1" s="1"/>
  <c r="Y223" i="1" a="1"/>
  <c r="Y223" i="1" s="1"/>
  <c r="Y224" i="1" a="1"/>
  <c r="Y224" i="1" s="1"/>
  <c r="Y225" i="1" a="1"/>
  <c r="Y225" i="1" s="1"/>
  <c r="Y226" i="1" a="1"/>
  <c r="Y226" i="1" s="1"/>
  <c r="Y227" i="1" a="1"/>
  <c r="Y227" i="1" s="1"/>
  <c r="Y228" i="1" a="1"/>
  <c r="Y228" i="1" s="1"/>
  <c r="Y229" i="1" a="1"/>
  <c r="Y229" i="1" s="1"/>
  <c r="Y230" i="1" a="1"/>
  <c r="Y230" i="1" s="1"/>
  <c r="Y231" i="1" a="1"/>
  <c r="Y231" i="1" s="1"/>
  <c r="Y232" i="1" a="1"/>
  <c r="Y232" i="1" s="1"/>
  <c r="Y233" i="1" a="1"/>
  <c r="Y233" i="1" s="1"/>
  <c r="Y234" i="1" a="1"/>
  <c r="Y234" i="1" s="1"/>
  <c r="T171" i="1" a="1"/>
  <c r="T171" i="1" s="1"/>
  <c r="U171" i="1" a="1"/>
  <c r="U171" i="1" s="1"/>
  <c r="V171" i="1" a="1"/>
  <c r="V171" i="1" s="1"/>
  <c r="W171" i="1" a="1"/>
  <c r="W171" i="1" s="1"/>
  <c r="X171" i="1" a="1"/>
  <c r="X171" i="1" s="1"/>
  <c r="Y171" i="1" a="1"/>
  <c r="Y171" i="1" s="1"/>
  <c r="T168" i="1" a="1"/>
  <c r="T168" i="1" s="1"/>
  <c r="U168" i="1" a="1"/>
  <c r="U168" i="1" s="1"/>
  <c r="V168" i="1" a="1"/>
  <c r="V168" i="1" s="1"/>
  <c r="W168" i="1" a="1"/>
  <c r="W168" i="1" s="1"/>
  <c r="X168" i="1" a="1"/>
  <c r="X168" i="1" s="1"/>
  <c r="Y168" i="1" a="1"/>
  <c r="Y168" i="1" s="1"/>
  <c r="T164" i="1" a="1"/>
  <c r="T164" i="1" s="1"/>
  <c r="U164" i="1" a="1"/>
  <c r="U164" i="1" s="1"/>
  <c r="V164" i="1" a="1"/>
  <c r="V164" i="1" s="1"/>
  <c r="W164" i="1" a="1"/>
  <c r="W164" i="1" s="1"/>
  <c r="X164" i="1" a="1"/>
  <c r="X164" i="1" s="1"/>
  <c r="Y164" i="1" a="1"/>
  <c r="Y164" i="1" s="1"/>
  <c r="T159" i="1" a="1"/>
  <c r="T159" i="1" s="1"/>
  <c r="U159" i="1" a="1"/>
  <c r="U159" i="1" s="1"/>
  <c r="V159" i="1" a="1"/>
  <c r="V159" i="1" s="1"/>
  <c r="W159" i="1" a="1"/>
  <c r="W159" i="1" s="1"/>
  <c r="X159" i="1" a="1"/>
  <c r="X159" i="1" s="1"/>
  <c r="Y159" i="1" a="1"/>
  <c r="Y159" i="1" s="1"/>
  <c r="T157" i="1" a="1"/>
  <c r="T157" i="1" s="1"/>
  <c r="U157" i="1" a="1"/>
  <c r="U157" i="1" s="1"/>
  <c r="V157" i="1" a="1"/>
  <c r="V157" i="1" s="1"/>
  <c r="W157" i="1" a="1"/>
  <c r="W157" i="1" s="1"/>
  <c r="X157" i="1" a="1"/>
  <c r="X157" i="1" s="1"/>
  <c r="Y157" i="1" a="1"/>
  <c r="Y157" i="1" s="1"/>
  <c r="T154" i="1" a="1"/>
  <c r="T154" i="1" s="1"/>
  <c r="U154" i="1" a="1"/>
  <c r="U154" i="1" s="1"/>
  <c r="V154" i="1" a="1"/>
  <c r="V154" i="1" s="1"/>
  <c r="W154" i="1" a="1"/>
  <c r="W154" i="1" s="1"/>
  <c r="X154" i="1" a="1"/>
  <c r="X154" i="1" s="1"/>
  <c r="Y154" i="1" a="1"/>
  <c r="Y154" i="1" s="1"/>
  <c r="T150" i="1" a="1"/>
  <c r="T150" i="1" s="1"/>
  <c r="U150" i="1" a="1"/>
  <c r="U150" i="1" s="1"/>
  <c r="V150" i="1" a="1"/>
  <c r="V150" i="1" s="1"/>
  <c r="W150" i="1" a="1"/>
  <c r="W150" i="1" s="1"/>
  <c r="X150" i="1" a="1"/>
  <c r="X150" i="1" s="1"/>
  <c r="Y150" i="1" a="1"/>
  <c r="Y150" i="1" s="1"/>
  <c r="T145" i="1" a="1"/>
  <c r="T145" i="1" s="1"/>
  <c r="U145" i="1" a="1"/>
  <c r="U145" i="1" s="1"/>
  <c r="V145" i="1" a="1"/>
  <c r="V145" i="1" s="1"/>
  <c r="W145" i="1" a="1"/>
  <c r="W145" i="1" s="1"/>
  <c r="X145" i="1" a="1"/>
  <c r="X145" i="1" s="1"/>
  <c r="Y145" i="1" a="1"/>
  <c r="Y145" i="1" s="1"/>
  <c r="T139" i="1" a="1"/>
  <c r="T139" i="1" s="1"/>
  <c r="U139" i="1" a="1"/>
  <c r="U139" i="1" s="1"/>
  <c r="V139" i="1" a="1"/>
  <c r="V139" i="1" s="1"/>
  <c r="W139" i="1" a="1"/>
  <c r="W139" i="1" s="1"/>
  <c r="X139" i="1" a="1"/>
  <c r="X139" i="1" s="1"/>
  <c r="Y139" i="1" a="1"/>
  <c r="Y139" i="1" s="1"/>
  <c r="T138" i="1" a="1"/>
  <c r="T138" i="1" s="1"/>
  <c r="U138" i="1" a="1"/>
  <c r="U138" i="1" s="1"/>
  <c r="V138" i="1" a="1"/>
  <c r="V138" i="1" s="1"/>
  <c r="W138" i="1" a="1"/>
  <c r="W138" i="1" s="1"/>
  <c r="X138" i="1" a="1"/>
  <c r="X138" i="1" s="1"/>
  <c r="Y138" i="1" a="1"/>
  <c r="Y138" i="1" s="1"/>
  <c r="T136" i="1" a="1"/>
  <c r="T136" i="1" s="1"/>
  <c r="U136" i="1" a="1"/>
  <c r="U136" i="1" s="1"/>
  <c r="V136" i="1" a="1"/>
  <c r="V136" i="1" s="1"/>
  <c r="W136" i="1" a="1"/>
  <c r="W136" i="1" s="1"/>
  <c r="X136" i="1" a="1"/>
  <c r="X136" i="1" s="1"/>
  <c r="Y136" i="1" a="1"/>
  <c r="Y136" i="1" s="1"/>
  <c r="T133" i="1" a="1"/>
  <c r="T133" i="1" s="1"/>
  <c r="U133" i="1" a="1"/>
  <c r="U133" i="1" s="1"/>
  <c r="V133" i="1" a="1"/>
  <c r="V133" i="1" s="1"/>
  <c r="W133" i="1" a="1"/>
  <c r="W133" i="1" s="1"/>
  <c r="X133" i="1" a="1"/>
  <c r="X133" i="1" s="1"/>
  <c r="Y133" i="1" a="1"/>
  <c r="Y133" i="1" s="1"/>
  <c r="T129" i="1" a="1"/>
  <c r="T129" i="1" s="1"/>
  <c r="U129" i="1" a="1"/>
  <c r="U129" i="1" s="1"/>
  <c r="V129" i="1" a="1"/>
  <c r="V129" i="1" s="1"/>
  <c r="W129" i="1" a="1"/>
  <c r="W129" i="1" s="1"/>
  <c r="X129" i="1" a="1"/>
  <c r="X129" i="1" s="1"/>
  <c r="Y129" i="1" a="1"/>
  <c r="Y129" i="1" s="1"/>
  <c r="T124" i="1" a="1"/>
  <c r="T124" i="1" s="1"/>
  <c r="U124" i="1" a="1"/>
  <c r="U124" i="1" s="1"/>
  <c r="V124" i="1" a="1"/>
  <c r="V124" i="1" s="1"/>
  <c r="W124" i="1" a="1"/>
  <c r="W124" i="1" s="1"/>
  <c r="X124" i="1" a="1"/>
  <c r="X124" i="1" s="1"/>
  <c r="Y124" i="1" a="1"/>
  <c r="Y124" i="1" s="1"/>
  <c r="T118" i="1" a="1"/>
  <c r="T118" i="1" s="1"/>
  <c r="U118" i="1" a="1"/>
  <c r="U118" i="1" s="1"/>
  <c r="V118" i="1" a="1"/>
  <c r="V118" i="1" s="1"/>
  <c r="W118" i="1" a="1"/>
  <c r="W118" i="1" s="1"/>
  <c r="X118" i="1" a="1"/>
  <c r="X118" i="1" s="1"/>
  <c r="Y118" i="1" a="1"/>
  <c r="Y118" i="1" s="1"/>
  <c r="Y111" i="1" a="1"/>
  <c r="Y111" i="1" s="1"/>
  <c r="Y113" i="1" a="1"/>
  <c r="Y113" i="1" s="1"/>
  <c r="Y114" i="1" a="1"/>
  <c r="Y114" i="1" s="1"/>
  <c r="Y115" i="1" a="1"/>
  <c r="Y115" i="1" s="1"/>
  <c r="Y116" i="1" a="1"/>
  <c r="Y116" i="1" s="1"/>
  <c r="Y117" i="1" a="1"/>
  <c r="Y117" i="1" s="1"/>
  <c r="Y119" i="1" a="1"/>
  <c r="Y119" i="1" s="1"/>
  <c r="Y120" i="1" a="1"/>
  <c r="Y120" i="1" s="1"/>
  <c r="Y121" i="1" a="1"/>
  <c r="Y121" i="1" s="1"/>
  <c r="Y122" i="1" a="1"/>
  <c r="Y122" i="1" s="1"/>
  <c r="Y123" i="1" a="1"/>
  <c r="Y123" i="1" s="1"/>
  <c r="Y125" i="1" a="1"/>
  <c r="Y125" i="1" s="1"/>
  <c r="Y126" i="1" a="1"/>
  <c r="Y126" i="1" s="1"/>
  <c r="Y127" i="1" a="1"/>
  <c r="Y127" i="1" s="1"/>
  <c r="Y128" i="1" a="1"/>
  <c r="Y128" i="1" s="1"/>
  <c r="Y130" i="1" a="1"/>
  <c r="Y130" i="1" s="1"/>
  <c r="Y131" i="1" a="1"/>
  <c r="Y131" i="1" s="1"/>
  <c r="Y132" i="1" a="1"/>
  <c r="Y132" i="1" s="1"/>
  <c r="Y134" i="1" a="1"/>
  <c r="Y134" i="1" s="1"/>
  <c r="Y135" i="1" a="1"/>
  <c r="Y135" i="1" s="1"/>
  <c r="Y137" i="1" a="1"/>
  <c r="Y137" i="1" s="1"/>
  <c r="Y140" i="1" a="1"/>
  <c r="Y140" i="1" s="1"/>
  <c r="Y141" i="1" a="1"/>
  <c r="Y141" i="1" s="1"/>
  <c r="Y142" i="1" a="1"/>
  <c r="Y142" i="1" s="1"/>
  <c r="Y143" i="1" a="1"/>
  <c r="Y143" i="1" s="1"/>
  <c r="Y144" i="1" a="1"/>
  <c r="Y144" i="1" s="1"/>
  <c r="Y146" i="1" a="1"/>
  <c r="Y146" i="1" s="1"/>
  <c r="Y147" i="1" a="1"/>
  <c r="Y147" i="1" s="1"/>
  <c r="Y148" i="1" a="1"/>
  <c r="Y148" i="1" s="1"/>
  <c r="Y149" i="1" a="1"/>
  <c r="Y149" i="1" s="1"/>
  <c r="Y151" i="1" a="1"/>
  <c r="Y151" i="1" s="1"/>
  <c r="Y152" i="1" a="1"/>
  <c r="Y152" i="1" s="1"/>
  <c r="Y153" i="1" a="1"/>
  <c r="Y153" i="1" s="1"/>
  <c r="Y155" i="1" a="1"/>
  <c r="Y155" i="1" s="1"/>
  <c r="Y156" i="1" a="1"/>
  <c r="Y156" i="1" s="1"/>
  <c r="Y158" i="1" a="1"/>
  <c r="Y158" i="1" s="1"/>
  <c r="Y160" i="1" a="1"/>
  <c r="Y160" i="1" s="1"/>
  <c r="Y161" i="1" a="1"/>
  <c r="Y161" i="1" s="1"/>
  <c r="Y162" i="1" a="1"/>
  <c r="Y162" i="1" s="1"/>
  <c r="Y163" i="1" a="1"/>
  <c r="Y163" i="1" s="1"/>
  <c r="Y165" i="1" a="1"/>
  <c r="Y165" i="1" s="1"/>
  <c r="Y166" i="1" a="1"/>
  <c r="Y166" i="1" s="1"/>
  <c r="Y167" i="1" a="1"/>
  <c r="Y167" i="1" s="1"/>
  <c r="Y169" i="1" a="1"/>
  <c r="Y169" i="1" s="1"/>
  <c r="Y170" i="1" a="1"/>
  <c r="Y170" i="1" s="1"/>
  <c r="Y172" i="1" a="1"/>
  <c r="Y172" i="1" s="1"/>
  <c r="X111" i="1" a="1"/>
  <c r="X111" i="1" s="1"/>
  <c r="X113" i="1" a="1"/>
  <c r="X113" i="1" s="1"/>
  <c r="X114" i="1" a="1"/>
  <c r="X114" i="1" s="1"/>
  <c r="X115" i="1" a="1"/>
  <c r="X115" i="1" s="1"/>
  <c r="X116" i="1" a="1"/>
  <c r="X116" i="1" s="1"/>
  <c r="X117" i="1" a="1"/>
  <c r="X117" i="1" s="1"/>
  <c r="X119" i="1" a="1"/>
  <c r="X119" i="1" s="1"/>
  <c r="X120" i="1" a="1"/>
  <c r="X120" i="1" s="1"/>
  <c r="X121" i="1" a="1"/>
  <c r="X121" i="1" s="1"/>
  <c r="X122" i="1" a="1"/>
  <c r="X122" i="1" s="1"/>
  <c r="X123" i="1" a="1"/>
  <c r="X123" i="1" s="1"/>
  <c r="X125" i="1" a="1"/>
  <c r="X125" i="1" s="1"/>
  <c r="X126" i="1" a="1"/>
  <c r="X126" i="1" s="1"/>
  <c r="X127" i="1" a="1"/>
  <c r="X127" i="1" s="1"/>
  <c r="X128" i="1" a="1"/>
  <c r="X128" i="1" s="1"/>
  <c r="X130" i="1" a="1"/>
  <c r="X130" i="1" s="1"/>
  <c r="X131" i="1" a="1"/>
  <c r="X131" i="1" s="1"/>
  <c r="X132" i="1" a="1"/>
  <c r="X132" i="1" s="1"/>
  <c r="X134" i="1" a="1"/>
  <c r="X134" i="1" s="1"/>
  <c r="X135" i="1" a="1"/>
  <c r="X135" i="1" s="1"/>
  <c r="X137" i="1" a="1"/>
  <c r="X137" i="1" s="1"/>
  <c r="X140" i="1" a="1"/>
  <c r="X140" i="1" s="1"/>
  <c r="X141" i="1" a="1"/>
  <c r="X141" i="1" s="1"/>
  <c r="X142" i="1" a="1"/>
  <c r="X142" i="1" s="1"/>
  <c r="X143" i="1" a="1"/>
  <c r="X143" i="1" s="1"/>
  <c r="X144" i="1" a="1"/>
  <c r="X144" i="1" s="1"/>
  <c r="X146" i="1" a="1"/>
  <c r="X146" i="1" s="1"/>
  <c r="X147" i="1" a="1"/>
  <c r="X147" i="1" s="1"/>
  <c r="X148" i="1" a="1"/>
  <c r="X148" i="1" s="1"/>
  <c r="X149" i="1" a="1"/>
  <c r="X149" i="1" s="1"/>
  <c r="X151" i="1" a="1"/>
  <c r="X151" i="1" s="1"/>
  <c r="X152" i="1" a="1"/>
  <c r="X152" i="1" s="1"/>
  <c r="X153" i="1" a="1"/>
  <c r="X153" i="1" s="1"/>
  <c r="X155" i="1" a="1"/>
  <c r="X155" i="1" s="1"/>
  <c r="X156" i="1" a="1"/>
  <c r="X156" i="1" s="1"/>
  <c r="X158" i="1" a="1"/>
  <c r="X158" i="1" s="1"/>
  <c r="X160" i="1" a="1"/>
  <c r="X160" i="1" s="1"/>
  <c r="X161" i="1" a="1"/>
  <c r="X161" i="1" s="1"/>
  <c r="X162" i="1" a="1"/>
  <c r="X162" i="1" s="1"/>
  <c r="X163" i="1" a="1"/>
  <c r="X163" i="1" s="1"/>
  <c r="X165" i="1" a="1"/>
  <c r="X165" i="1" s="1"/>
  <c r="X166" i="1" a="1"/>
  <c r="X166" i="1" s="1"/>
  <c r="X167" i="1" a="1"/>
  <c r="X167" i="1" s="1"/>
  <c r="X169" i="1" a="1"/>
  <c r="X169" i="1" s="1"/>
  <c r="X170" i="1" a="1"/>
  <c r="X170" i="1" s="1"/>
  <c r="X172" i="1" a="1"/>
  <c r="X172" i="1" s="1"/>
  <c r="W111" i="1" a="1"/>
  <c r="W111" i="1" s="1"/>
  <c r="W113" i="1" a="1"/>
  <c r="W113" i="1" s="1"/>
  <c r="W114" i="1" a="1"/>
  <c r="W114" i="1" s="1"/>
  <c r="W115" i="1" a="1"/>
  <c r="W115" i="1" s="1"/>
  <c r="W116" i="1" a="1"/>
  <c r="W116" i="1" s="1"/>
  <c r="W117" i="1" a="1"/>
  <c r="W117" i="1" s="1"/>
  <c r="W119" i="1" a="1"/>
  <c r="W119" i="1" s="1"/>
  <c r="W120" i="1" a="1"/>
  <c r="W120" i="1" s="1"/>
  <c r="W121" i="1" a="1"/>
  <c r="W121" i="1" s="1"/>
  <c r="W122" i="1" a="1"/>
  <c r="W122" i="1" s="1"/>
  <c r="W123" i="1" a="1"/>
  <c r="W123" i="1" s="1"/>
  <c r="W125" i="1" a="1"/>
  <c r="W125" i="1" s="1"/>
  <c r="W126" i="1" a="1"/>
  <c r="W126" i="1" s="1"/>
  <c r="W127" i="1" a="1"/>
  <c r="W127" i="1" s="1"/>
  <c r="W128" i="1" a="1"/>
  <c r="W128" i="1" s="1"/>
  <c r="W130" i="1" a="1"/>
  <c r="W130" i="1" s="1"/>
  <c r="W131" i="1" a="1"/>
  <c r="W131" i="1" s="1"/>
  <c r="W132" i="1" a="1"/>
  <c r="W132" i="1" s="1"/>
  <c r="W134" i="1" a="1"/>
  <c r="W134" i="1" s="1"/>
  <c r="W135" i="1" a="1"/>
  <c r="W135" i="1" s="1"/>
  <c r="W137" i="1" a="1"/>
  <c r="W137" i="1" s="1"/>
  <c r="W140" i="1" a="1"/>
  <c r="W140" i="1" s="1"/>
  <c r="W141" i="1" a="1"/>
  <c r="W141" i="1" s="1"/>
  <c r="W142" i="1" a="1"/>
  <c r="W142" i="1" s="1"/>
  <c r="W143" i="1" a="1"/>
  <c r="W143" i="1" s="1"/>
  <c r="W144" i="1" a="1"/>
  <c r="W144" i="1" s="1"/>
  <c r="W146" i="1" a="1"/>
  <c r="W146" i="1" s="1"/>
  <c r="W147" i="1" a="1"/>
  <c r="W147" i="1" s="1"/>
  <c r="W148" i="1" a="1"/>
  <c r="W148" i="1" s="1"/>
  <c r="W149" i="1" a="1"/>
  <c r="W149" i="1" s="1"/>
  <c r="W151" i="1" a="1"/>
  <c r="W151" i="1" s="1"/>
  <c r="W152" i="1" a="1"/>
  <c r="W152" i="1" s="1"/>
  <c r="W153" i="1" a="1"/>
  <c r="W153" i="1" s="1"/>
  <c r="W155" i="1" a="1"/>
  <c r="W155" i="1" s="1"/>
  <c r="W156" i="1" a="1"/>
  <c r="W156" i="1" s="1"/>
  <c r="W158" i="1" a="1"/>
  <c r="W158" i="1" s="1"/>
  <c r="W160" i="1" a="1"/>
  <c r="W160" i="1" s="1"/>
  <c r="W161" i="1" a="1"/>
  <c r="W161" i="1" s="1"/>
  <c r="W162" i="1" a="1"/>
  <c r="W162" i="1" s="1"/>
  <c r="W163" i="1" a="1"/>
  <c r="W163" i="1" s="1"/>
  <c r="W165" i="1" a="1"/>
  <c r="W165" i="1" s="1"/>
  <c r="W166" i="1" a="1"/>
  <c r="W166" i="1" s="1"/>
  <c r="W167" i="1" a="1"/>
  <c r="W167" i="1" s="1"/>
  <c r="W169" i="1" a="1"/>
  <c r="W169" i="1" s="1"/>
  <c r="W170" i="1" a="1"/>
  <c r="W170" i="1" s="1"/>
  <c r="W172" i="1" a="1"/>
  <c r="W172" i="1" s="1"/>
  <c r="V111" i="1" a="1"/>
  <c r="V111" i="1" s="1"/>
  <c r="V113" i="1" a="1"/>
  <c r="V113" i="1" s="1"/>
  <c r="V114" i="1" a="1"/>
  <c r="V114" i="1" s="1"/>
  <c r="V115" i="1" a="1"/>
  <c r="V115" i="1" s="1"/>
  <c r="V116" i="1" a="1"/>
  <c r="V116" i="1" s="1"/>
  <c r="V117" i="1" a="1"/>
  <c r="V117" i="1" s="1"/>
  <c r="V119" i="1" a="1"/>
  <c r="V119" i="1" s="1"/>
  <c r="V120" i="1" a="1"/>
  <c r="V120" i="1" s="1"/>
  <c r="V121" i="1" a="1"/>
  <c r="V121" i="1" s="1"/>
  <c r="V122" i="1" a="1"/>
  <c r="V122" i="1" s="1"/>
  <c r="V123" i="1" a="1"/>
  <c r="V123" i="1" s="1"/>
  <c r="V125" i="1" a="1"/>
  <c r="V125" i="1" s="1"/>
  <c r="V126" i="1" a="1"/>
  <c r="V126" i="1" s="1"/>
  <c r="V127" i="1" a="1"/>
  <c r="V127" i="1" s="1"/>
  <c r="V128" i="1" a="1"/>
  <c r="V128" i="1" s="1"/>
  <c r="V130" i="1" a="1"/>
  <c r="V130" i="1" s="1"/>
  <c r="V131" i="1" a="1"/>
  <c r="V131" i="1" s="1"/>
  <c r="V132" i="1" a="1"/>
  <c r="V132" i="1" s="1"/>
  <c r="V134" i="1" a="1"/>
  <c r="V134" i="1" s="1"/>
  <c r="V135" i="1" a="1"/>
  <c r="V135" i="1" s="1"/>
  <c r="V137" i="1" a="1"/>
  <c r="V137" i="1" s="1"/>
  <c r="V140" i="1" a="1"/>
  <c r="V140" i="1" s="1"/>
  <c r="V141" i="1" a="1"/>
  <c r="V141" i="1" s="1"/>
  <c r="V142" i="1" a="1"/>
  <c r="V142" i="1" s="1"/>
  <c r="V143" i="1" a="1"/>
  <c r="V143" i="1" s="1"/>
  <c r="V144" i="1" a="1"/>
  <c r="V144" i="1" s="1"/>
  <c r="V146" i="1" a="1"/>
  <c r="V146" i="1" s="1"/>
  <c r="V147" i="1" a="1"/>
  <c r="V147" i="1" s="1"/>
  <c r="V148" i="1" a="1"/>
  <c r="V148" i="1" s="1"/>
  <c r="V149" i="1" a="1"/>
  <c r="V149" i="1" s="1"/>
  <c r="V151" i="1" a="1"/>
  <c r="V151" i="1" s="1"/>
  <c r="V152" i="1" a="1"/>
  <c r="V152" i="1" s="1"/>
  <c r="V153" i="1" a="1"/>
  <c r="V153" i="1" s="1"/>
  <c r="V155" i="1" a="1"/>
  <c r="V155" i="1" s="1"/>
  <c r="V156" i="1" a="1"/>
  <c r="V156" i="1" s="1"/>
  <c r="V158" i="1" a="1"/>
  <c r="V158" i="1" s="1"/>
  <c r="V160" i="1" a="1"/>
  <c r="V160" i="1" s="1"/>
  <c r="V161" i="1" a="1"/>
  <c r="V161" i="1" s="1"/>
  <c r="V162" i="1" a="1"/>
  <c r="V162" i="1" s="1"/>
  <c r="V163" i="1" a="1"/>
  <c r="V163" i="1" s="1"/>
  <c r="V165" i="1" a="1"/>
  <c r="V165" i="1" s="1"/>
  <c r="V166" i="1" a="1"/>
  <c r="V166" i="1" s="1"/>
  <c r="V167" i="1" a="1"/>
  <c r="V167" i="1" s="1"/>
  <c r="V169" i="1" a="1"/>
  <c r="V169" i="1" s="1"/>
  <c r="V170" i="1" a="1"/>
  <c r="V170" i="1" s="1"/>
  <c r="V172" i="1" a="1"/>
  <c r="V172" i="1" s="1"/>
  <c r="T111" i="1" a="1"/>
  <c r="T111" i="1" s="1"/>
  <c r="T113" i="1" a="1"/>
  <c r="T113" i="1" s="1"/>
  <c r="T114" i="1" a="1"/>
  <c r="T114" i="1" s="1"/>
  <c r="T115" i="1" a="1"/>
  <c r="T115" i="1" s="1"/>
  <c r="T116" i="1" a="1"/>
  <c r="T116" i="1" s="1"/>
  <c r="T117" i="1" a="1"/>
  <c r="T117" i="1" s="1"/>
  <c r="T119" i="1" a="1"/>
  <c r="T119" i="1" s="1"/>
  <c r="T120" i="1" a="1"/>
  <c r="T120" i="1" s="1"/>
  <c r="T121" i="1" a="1"/>
  <c r="T121" i="1" s="1"/>
  <c r="T122" i="1" a="1"/>
  <c r="T122" i="1" s="1"/>
  <c r="T123" i="1" a="1"/>
  <c r="T123" i="1" s="1"/>
  <c r="T125" i="1" a="1"/>
  <c r="T125" i="1" s="1"/>
  <c r="T126" i="1" a="1"/>
  <c r="T126" i="1" s="1"/>
  <c r="T127" i="1" a="1"/>
  <c r="T127" i="1" s="1"/>
  <c r="T128" i="1" a="1"/>
  <c r="T128" i="1" s="1"/>
  <c r="T130" i="1" a="1"/>
  <c r="T130" i="1" s="1"/>
  <c r="T131" i="1" a="1"/>
  <c r="T131" i="1" s="1"/>
  <c r="T132" i="1" a="1"/>
  <c r="T132" i="1" s="1"/>
  <c r="T134" i="1" a="1"/>
  <c r="T134" i="1" s="1"/>
  <c r="T135" i="1" a="1"/>
  <c r="T135" i="1" s="1"/>
  <c r="T137" i="1" a="1"/>
  <c r="T137" i="1" s="1"/>
  <c r="T140" i="1" a="1"/>
  <c r="T140" i="1" s="1"/>
  <c r="T141" i="1" a="1"/>
  <c r="T141" i="1" s="1"/>
  <c r="T142" i="1" a="1"/>
  <c r="T142" i="1" s="1"/>
  <c r="T143" i="1" a="1"/>
  <c r="T143" i="1" s="1"/>
  <c r="T144" i="1" a="1"/>
  <c r="T144" i="1" s="1"/>
  <c r="T146" i="1" a="1"/>
  <c r="T146" i="1" s="1"/>
  <c r="T147" i="1" a="1"/>
  <c r="T147" i="1" s="1"/>
  <c r="T148" i="1" a="1"/>
  <c r="T148" i="1" s="1"/>
  <c r="T149" i="1" a="1"/>
  <c r="T149" i="1" s="1"/>
  <c r="T151" i="1" a="1"/>
  <c r="T151" i="1" s="1"/>
  <c r="T152" i="1" a="1"/>
  <c r="T152" i="1" s="1"/>
  <c r="T153" i="1" a="1"/>
  <c r="T153" i="1" s="1"/>
  <c r="T155" i="1" a="1"/>
  <c r="T155" i="1" s="1"/>
  <c r="T156" i="1" a="1"/>
  <c r="T156" i="1" s="1"/>
  <c r="T158" i="1" a="1"/>
  <c r="T158" i="1" s="1"/>
  <c r="T160" i="1" a="1"/>
  <c r="T160" i="1" s="1"/>
  <c r="T161" i="1" a="1"/>
  <c r="T161" i="1" s="1"/>
  <c r="T162" i="1" a="1"/>
  <c r="T162" i="1" s="1"/>
  <c r="T163" i="1" a="1"/>
  <c r="T163" i="1" s="1"/>
  <c r="T165" i="1" a="1"/>
  <c r="T165" i="1" s="1"/>
  <c r="T166" i="1" a="1"/>
  <c r="T166" i="1" s="1"/>
  <c r="T167" i="1" a="1"/>
  <c r="T167" i="1" s="1"/>
  <c r="T169" i="1" a="1"/>
  <c r="T169" i="1" s="1"/>
  <c r="T170" i="1" a="1"/>
  <c r="T170" i="1" s="1"/>
  <c r="T172" i="1" a="1"/>
  <c r="T172" i="1" s="1"/>
  <c r="U111" i="1" a="1"/>
  <c r="U111" i="1" s="1"/>
  <c r="U113" i="1" a="1"/>
  <c r="U113" i="1" s="1"/>
  <c r="U114" i="1" a="1"/>
  <c r="U114" i="1" s="1"/>
  <c r="U115" i="1" a="1"/>
  <c r="U115" i="1" s="1"/>
  <c r="U116" i="1" a="1"/>
  <c r="U116" i="1" s="1"/>
  <c r="U117" i="1" a="1"/>
  <c r="U117" i="1" s="1"/>
  <c r="U119" i="1" a="1"/>
  <c r="U119" i="1" s="1"/>
  <c r="U120" i="1" a="1"/>
  <c r="U120" i="1" s="1"/>
  <c r="U121" i="1" a="1"/>
  <c r="U121" i="1" s="1"/>
  <c r="U122" i="1" a="1"/>
  <c r="U122" i="1" s="1"/>
  <c r="U123" i="1" a="1"/>
  <c r="U123" i="1" s="1"/>
  <c r="U125" i="1" a="1"/>
  <c r="U125" i="1" s="1"/>
  <c r="U126" i="1" a="1"/>
  <c r="U126" i="1" s="1"/>
  <c r="U127" i="1" a="1"/>
  <c r="U127" i="1" s="1"/>
  <c r="U128" i="1" a="1"/>
  <c r="U128" i="1" s="1"/>
  <c r="U130" i="1" a="1"/>
  <c r="U130" i="1" s="1"/>
  <c r="U131" i="1" a="1"/>
  <c r="U131" i="1" s="1"/>
  <c r="U132" i="1" a="1"/>
  <c r="U132" i="1" s="1"/>
  <c r="U134" i="1" a="1"/>
  <c r="U134" i="1" s="1"/>
  <c r="U135" i="1" a="1"/>
  <c r="U135" i="1" s="1"/>
  <c r="U137" i="1" a="1"/>
  <c r="U137" i="1" s="1"/>
  <c r="U140" i="1" a="1"/>
  <c r="U140" i="1" s="1"/>
  <c r="U141" i="1" a="1"/>
  <c r="U141" i="1" s="1"/>
  <c r="U142" i="1" a="1"/>
  <c r="U142" i="1" s="1"/>
  <c r="U143" i="1" a="1"/>
  <c r="U143" i="1" s="1"/>
  <c r="U144" i="1" a="1"/>
  <c r="U144" i="1" s="1"/>
  <c r="U146" i="1" a="1"/>
  <c r="U146" i="1" s="1"/>
  <c r="U147" i="1" a="1"/>
  <c r="U147" i="1" s="1"/>
  <c r="U148" i="1" a="1"/>
  <c r="U148" i="1" s="1"/>
  <c r="U149" i="1" a="1"/>
  <c r="U149" i="1" s="1"/>
  <c r="U151" i="1" a="1"/>
  <c r="U151" i="1" s="1"/>
  <c r="U152" i="1" a="1"/>
  <c r="U152" i="1" s="1"/>
  <c r="U153" i="1" a="1"/>
  <c r="U153" i="1" s="1"/>
  <c r="U155" i="1" a="1"/>
  <c r="U155" i="1" s="1"/>
  <c r="U156" i="1" a="1"/>
  <c r="U156" i="1" s="1"/>
  <c r="U158" i="1" a="1"/>
  <c r="U158" i="1" s="1"/>
  <c r="U160" i="1" a="1"/>
  <c r="U160" i="1" s="1"/>
  <c r="U161" i="1" a="1"/>
  <c r="U161" i="1" s="1"/>
  <c r="U162" i="1" a="1"/>
  <c r="U162" i="1" s="1"/>
  <c r="U163" i="1" a="1"/>
  <c r="U163" i="1" s="1"/>
  <c r="U165" i="1" a="1"/>
  <c r="U165" i="1" s="1"/>
  <c r="U166" i="1" a="1"/>
  <c r="U166" i="1" s="1"/>
  <c r="U167" i="1" a="1"/>
  <c r="U167" i="1" s="1"/>
  <c r="U169" i="1" a="1"/>
  <c r="U169" i="1" s="1"/>
  <c r="U170" i="1" a="1"/>
  <c r="U170" i="1" s="1"/>
  <c r="U172" i="1" a="1"/>
  <c r="U172" i="1" s="1"/>
  <c r="Z540" i="1" l="1"/>
  <c r="Z511" i="1"/>
  <c r="Z527" i="1"/>
  <c r="Z519" i="1"/>
  <c r="Z536" i="1"/>
  <c r="Z461" i="1"/>
  <c r="Z444" i="1"/>
  <c r="Z503" i="1"/>
  <c r="Z502" i="1"/>
  <c r="Z412" i="1"/>
  <c r="Z400" i="1"/>
  <c r="Z383" i="1"/>
  <c r="Z449" i="1"/>
  <c r="Z493" i="1"/>
  <c r="Z518" i="1"/>
  <c r="Z425" i="1"/>
  <c r="Z417" i="1"/>
  <c r="Z363" i="1"/>
  <c r="Z367" i="1"/>
  <c r="Z371" i="1"/>
  <c r="Z381" i="1"/>
  <c r="Z388" i="1"/>
  <c r="Z418" i="1"/>
  <c r="Z426" i="1"/>
  <c r="Z485" i="1"/>
  <c r="Z526" i="1"/>
  <c r="Z404" i="1"/>
  <c r="Z408" i="1"/>
  <c r="Z421" i="1"/>
  <c r="Z360" i="1"/>
  <c r="Z389" i="1"/>
  <c r="Z379" i="1"/>
  <c r="Z398" i="1"/>
  <c r="Z409" i="1"/>
  <c r="Z416" i="1"/>
  <c r="Z419" i="1"/>
  <c r="Z428" i="1"/>
  <c r="Z405" i="1"/>
  <c r="Z413" i="1"/>
  <c r="Z422" i="1"/>
  <c r="Z385" i="1"/>
  <c r="Z390" i="1"/>
  <c r="Z396" i="1"/>
  <c r="Z452" i="1"/>
  <c r="Z453" i="1"/>
  <c r="Z477" i="1"/>
  <c r="Z375" i="1"/>
  <c r="Z401" i="1"/>
  <c r="Z414" i="1"/>
  <c r="Z424" i="1"/>
  <c r="Z458" i="1"/>
  <c r="Z469" i="1"/>
  <c r="Z501" i="1"/>
  <c r="Z468" i="1"/>
  <c r="Z528" i="1"/>
  <c r="Z529" i="1"/>
  <c r="Z530" i="1"/>
  <c r="Z531" i="1"/>
  <c r="Z532" i="1"/>
  <c r="Z533" i="1"/>
  <c r="Z534" i="1"/>
  <c r="Z535" i="1"/>
  <c r="Z544" i="1"/>
  <c r="Z537" i="1"/>
  <c r="Z538" i="1"/>
  <c r="Z539" i="1"/>
  <c r="Z542" i="1"/>
  <c r="Z460" i="1"/>
  <c r="Z482" i="1"/>
  <c r="Z543" i="1"/>
  <c r="Z472" i="1"/>
  <c r="Z478" i="1"/>
  <c r="Z480" i="1"/>
  <c r="Z504" i="1"/>
  <c r="Z506" i="1"/>
  <c r="Z508" i="1"/>
  <c r="Z509" i="1"/>
  <c r="Z510" i="1"/>
  <c r="Z512" i="1"/>
  <c r="Z514" i="1"/>
  <c r="Z515" i="1"/>
  <c r="Z516" i="1"/>
  <c r="Z517" i="1"/>
  <c r="Z393" i="1"/>
  <c r="Z397" i="1"/>
  <c r="Z520" i="1"/>
  <c r="Z521" i="1"/>
  <c r="Z522" i="1"/>
  <c r="Z524" i="1"/>
  <c r="Z525" i="1"/>
  <c r="Z364" i="1"/>
  <c r="Z368" i="1"/>
  <c r="Z372" i="1"/>
  <c r="Z376" i="1"/>
  <c r="Z394" i="1"/>
  <c r="Z395" i="1"/>
  <c r="Z361" i="1"/>
  <c r="Z365" i="1"/>
  <c r="Z369" i="1"/>
  <c r="Z373" i="1"/>
  <c r="Z377" i="1"/>
  <c r="Z380" i="1"/>
  <c r="Z382" i="1"/>
  <c r="Z384" i="1"/>
  <c r="Z386" i="1"/>
  <c r="Z391" i="1"/>
  <c r="Z399" i="1"/>
  <c r="Z402" i="1"/>
  <c r="Z420" i="1"/>
  <c r="Z423" i="1"/>
  <c r="Z387" i="1"/>
  <c r="Z392" i="1"/>
  <c r="Z403" i="1"/>
  <c r="Z406" i="1"/>
  <c r="Z359" i="1"/>
  <c r="Z362" i="1"/>
  <c r="Z366" i="1"/>
  <c r="Z370" i="1"/>
  <c r="Z374" i="1"/>
  <c r="Z378" i="1"/>
  <c r="Z407" i="1"/>
  <c r="Z410" i="1"/>
  <c r="Z411" i="1"/>
  <c r="Z415" i="1"/>
  <c r="Z440" i="1"/>
  <c r="Z432" i="1"/>
  <c r="Z441" i="1"/>
  <c r="Z427" i="1"/>
  <c r="Z433" i="1"/>
  <c r="Z442" i="1"/>
  <c r="Z431" i="1"/>
  <c r="Z438" i="1"/>
  <c r="Z439" i="1"/>
  <c r="Z445" i="1"/>
  <c r="Z436" i="1"/>
  <c r="Z451" i="1"/>
  <c r="Z464" i="1"/>
  <c r="Z456" i="1"/>
  <c r="Z470" i="1"/>
  <c r="Z435" i="1"/>
  <c r="Z448" i="1"/>
  <c r="Z462" i="1"/>
  <c r="Z430" i="1"/>
  <c r="Z434" i="1"/>
  <c r="Z443" i="1"/>
  <c r="Z447" i="1"/>
  <c r="Z450" i="1"/>
  <c r="Z454" i="1"/>
  <c r="Z476" i="1"/>
  <c r="Z505" i="1"/>
  <c r="Z507" i="1"/>
  <c r="Z513" i="1"/>
  <c r="Z429" i="1"/>
  <c r="Z446" i="1"/>
  <c r="Z474" i="1"/>
  <c r="Z437" i="1"/>
  <c r="Z466" i="1"/>
  <c r="Z523" i="1"/>
  <c r="Z486" i="1"/>
  <c r="Z494" i="1"/>
  <c r="Z484" i="1"/>
  <c r="Z492" i="1"/>
  <c r="Z500" i="1"/>
  <c r="Z541" i="1"/>
  <c r="Z459" i="1"/>
  <c r="Z467" i="1"/>
  <c r="Z475" i="1"/>
  <c r="Z483" i="1"/>
  <c r="Z491" i="1"/>
  <c r="Z499" i="1"/>
  <c r="Z490" i="1"/>
  <c r="Z498" i="1"/>
  <c r="Z457" i="1"/>
  <c r="Z465" i="1"/>
  <c r="Z473" i="1"/>
  <c r="Z481" i="1"/>
  <c r="Z489" i="1"/>
  <c r="Z497" i="1"/>
  <c r="Z488" i="1"/>
  <c r="Z496" i="1"/>
  <c r="Z455" i="1"/>
  <c r="Z463" i="1"/>
  <c r="Z471" i="1"/>
  <c r="Z479" i="1"/>
  <c r="Z487" i="1"/>
  <c r="Z495" i="1"/>
  <c r="Z297" i="1"/>
  <c r="Z298" i="1"/>
  <c r="Z299" i="1"/>
  <c r="Z331" i="1"/>
  <c r="Z339" i="1"/>
  <c r="Z347" i="1"/>
  <c r="Z307" i="1"/>
  <c r="Z306" i="1"/>
  <c r="Z314" i="1"/>
  <c r="Z322" i="1"/>
  <c r="Z330" i="1"/>
  <c r="Z338" i="1"/>
  <c r="Z346" i="1"/>
  <c r="Z300" i="1"/>
  <c r="Z308" i="1"/>
  <c r="Z332" i="1"/>
  <c r="Z340" i="1"/>
  <c r="Z348" i="1"/>
  <c r="Z357" i="1"/>
  <c r="Z305" i="1"/>
  <c r="Z313" i="1"/>
  <c r="Z354" i="1"/>
  <c r="Z356" i="1"/>
  <c r="Z304" i="1"/>
  <c r="Z312" i="1"/>
  <c r="Z328" i="1"/>
  <c r="Z336" i="1"/>
  <c r="Z344" i="1"/>
  <c r="Z352" i="1"/>
  <c r="Z303" i="1"/>
  <c r="Z311" i="1"/>
  <c r="Z335" i="1"/>
  <c r="Z343" i="1"/>
  <c r="Z302" i="1"/>
  <c r="Z310" i="1"/>
  <c r="Z318" i="1"/>
  <c r="Z326" i="1"/>
  <c r="Z334" i="1"/>
  <c r="Z342" i="1"/>
  <c r="Z350" i="1"/>
  <c r="Z301" i="1"/>
  <c r="Z309" i="1"/>
  <c r="Z315" i="1"/>
  <c r="Z358" i="1"/>
  <c r="Z319" i="1"/>
  <c r="Z323" i="1"/>
  <c r="Z327" i="1"/>
  <c r="Z351" i="1"/>
  <c r="Z355" i="1"/>
  <c r="Z316" i="1"/>
  <c r="Z320" i="1"/>
  <c r="Z324" i="1"/>
  <c r="Z317" i="1"/>
  <c r="Z321" i="1"/>
  <c r="Z325" i="1"/>
  <c r="Z329" i="1"/>
  <c r="Z333" i="1"/>
  <c r="Z337" i="1"/>
  <c r="Z341" i="1"/>
  <c r="Z345" i="1"/>
  <c r="Z349" i="1"/>
  <c r="Z353" i="1"/>
  <c r="Z295" i="1"/>
  <c r="Z242" i="1"/>
  <c r="Z296" i="1"/>
  <c r="Z254" i="1"/>
  <c r="Z241" i="1"/>
  <c r="Z249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40" i="1"/>
  <c r="Z250" i="1"/>
  <c r="Z248" i="1"/>
  <c r="Z243" i="1"/>
  <c r="Z247" i="1"/>
  <c r="Z239" i="1"/>
  <c r="Z251" i="1"/>
  <c r="Z238" i="1"/>
  <c r="Z252" i="1"/>
  <c r="Z237" i="1"/>
  <c r="Z245" i="1"/>
  <c r="Z253" i="1"/>
  <c r="Z235" i="1"/>
  <c r="Z236" i="1"/>
  <c r="Z244" i="1"/>
  <c r="Z246" i="1"/>
  <c r="Z173" i="1"/>
  <c r="Z112" i="1"/>
  <c r="Z195" i="1"/>
  <c r="Z194" i="1"/>
  <c r="Z178" i="1"/>
  <c r="Z227" i="1"/>
  <c r="Z203" i="1"/>
  <c r="Z231" i="1"/>
  <c r="Z226" i="1"/>
  <c r="Z210" i="1"/>
  <c r="Z230" i="1"/>
  <c r="Z214" i="1"/>
  <c r="Z182" i="1"/>
  <c r="Z211" i="1"/>
  <c r="Z179" i="1"/>
  <c r="Z219" i="1"/>
  <c r="Z187" i="1"/>
  <c r="Z223" i="1"/>
  <c r="Z191" i="1"/>
  <c r="Z221" i="1"/>
  <c r="Z215" i="1"/>
  <c r="Z199" i="1"/>
  <c r="Z183" i="1"/>
  <c r="Z198" i="1"/>
  <c r="Z229" i="1"/>
  <c r="Z234" i="1"/>
  <c r="Z218" i="1"/>
  <c r="Z202" i="1"/>
  <c r="Z186" i="1"/>
  <c r="Z207" i="1"/>
  <c r="Z175" i="1"/>
  <c r="Z222" i="1"/>
  <c r="Z206" i="1"/>
  <c r="Z190" i="1"/>
  <c r="Z233" i="1"/>
  <c r="Z225" i="1"/>
  <c r="Z217" i="1"/>
  <c r="Z209" i="1"/>
  <c r="Z201" i="1"/>
  <c r="Z193" i="1"/>
  <c r="Z185" i="1"/>
  <c r="Z177" i="1"/>
  <c r="Z232" i="1"/>
  <c r="Z228" i="1"/>
  <c r="Z224" i="1"/>
  <c r="Z220" i="1"/>
  <c r="Z216" i="1"/>
  <c r="Z212" i="1"/>
  <c r="Z208" i="1"/>
  <c r="Z204" i="1"/>
  <c r="Z200" i="1"/>
  <c r="Z196" i="1"/>
  <c r="Z192" i="1"/>
  <c r="Z188" i="1"/>
  <c r="Z184" i="1"/>
  <c r="Z180" i="1"/>
  <c r="Z176" i="1"/>
  <c r="Z213" i="1"/>
  <c r="Z205" i="1"/>
  <c r="Z197" i="1"/>
  <c r="Z189" i="1"/>
  <c r="Z181" i="1"/>
  <c r="Z174" i="1"/>
  <c r="Z171" i="1"/>
  <c r="Z168" i="1"/>
  <c r="Z164" i="1"/>
  <c r="Z159" i="1"/>
  <c r="Z157" i="1"/>
  <c r="Z154" i="1"/>
  <c r="Z150" i="1"/>
  <c r="Z145" i="1"/>
  <c r="Z139" i="1"/>
  <c r="Z136" i="1"/>
  <c r="Z138" i="1"/>
  <c r="Z133" i="1"/>
  <c r="Z129" i="1"/>
  <c r="Z124" i="1"/>
  <c r="Z118" i="1"/>
  <c r="Z162" i="1"/>
  <c r="Z151" i="1"/>
  <c r="Z141" i="1"/>
  <c r="Z128" i="1"/>
  <c r="Z119" i="1"/>
  <c r="Z166" i="1"/>
  <c r="Z155" i="1"/>
  <c r="Z144" i="1"/>
  <c r="Z132" i="1"/>
  <c r="Z122" i="1"/>
  <c r="Z113" i="1"/>
  <c r="Z172" i="1"/>
  <c r="Z161" i="1"/>
  <c r="Z149" i="1"/>
  <c r="Z140" i="1"/>
  <c r="Z127" i="1"/>
  <c r="Z117" i="1"/>
  <c r="Z167" i="1"/>
  <c r="Z156" i="1"/>
  <c r="Z146" i="1"/>
  <c r="Z134" i="1"/>
  <c r="Z123" i="1"/>
  <c r="Z114" i="1"/>
  <c r="Z169" i="1"/>
  <c r="Z158" i="1"/>
  <c r="Z147" i="1"/>
  <c r="Z135" i="1"/>
  <c r="Z125" i="1"/>
  <c r="Z115" i="1"/>
  <c r="Z165" i="1"/>
  <c r="Z153" i="1"/>
  <c r="Z143" i="1"/>
  <c r="Z131" i="1"/>
  <c r="Z121" i="1"/>
  <c r="Z111" i="1"/>
  <c r="Z163" i="1"/>
  <c r="Z152" i="1"/>
  <c r="Z142" i="1"/>
  <c r="Z130" i="1"/>
  <c r="Z120" i="1"/>
  <c r="Z170" i="1"/>
  <c r="Z160" i="1"/>
  <c r="Z148" i="1"/>
  <c r="Z137" i="1"/>
  <c r="Z126" i="1"/>
  <c r="Z116" i="1"/>
  <c r="G102" i="1"/>
  <c r="C103" i="1" l="1"/>
  <c r="C104" i="1" s="1"/>
  <c r="F103" i="1"/>
  <c r="F104" i="1" s="1"/>
  <c r="AA101" i="1" a="1"/>
  <c r="AA101" i="1" s="1"/>
  <c r="AA102" i="1" l="1" a="1"/>
  <c r="AA102" i="1" s="1"/>
  <c r="AA104" i="1" s="1" a="1"/>
  <c r="AA104" i="1" s="1"/>
  <c r="D103" i="1"/>
  <c r="D104" i="1" s="1"/>
  <c r="E103" i="1"/>
  <c r="E104" i="1" s="1"/>
  <c r="G103" i="1" l="1"/>
  <c r="I11" i="1" l="1"/>
  <c r="I10" i="1"/>
  <c r="I9" i="1"/>
  <c r="I8" i="1"/>
  <c r="I7" i="1"/>
  <c r="I6" i="1"/>
  <c r="I5" i="1"/>
  <c r="I4" i="1"/>
  <c r="I3" i="1"/>
  <c r="I2" i="1"/>
  <c r="M103" i="2"/>
  <c r="M94" i="2"/>
  <c r="M88" i="2"/>
  <c r="M107" i="2"/>
  <c r="M106" i="2"/>
  <c r="M105" i="2"/>
  <c r="M104" i="2"/>
  <c r="A950" i="3" a="1"/>
  <c r="A950" i="3" s="1"/>
  <c r="H950" i="3" s="1"/>
  <c r="E937" i="3"/>
  <c r="F937" i="3"/>
  <c r="G937" i="3"/>
  <c r="H937" i="3"/>
  <c r="E938" i="3"/>
  <c r="F938" i="3"/>
  <c r="G938" i="3"/>
  <c r="H938" i="3"/>
  <c r="E939" i="3"/>
  <c r="F939" i="3"/>
  <c r="G939" i="3"/>
  <c r="H939" i="3"/>
  <c r="E940" i="3"/>
  <c r="F940" i="3"/>
  <c r="G940" i="3"/>
  <c r="H940" i="3"/>
  <c r="H936" i="3"/>
  <c r="G936" i="3"/>
  <c r="F936" i="3"/>
  <c r="E936" i="3"/>
  <c r="H923" i="3"/>
  <c r="H924" i="3"/>
  <c r="H925" i="3"/>
  <c r="H926" i="3"/>
  <c r="H927" i="3"/>
  <c r="H922" i="3"/>
  <c r="G923" i="3"/>
  <c r="G924" i="3"/>
  <c r="G925" i="3"/>
  <c r="G926" i="3"/>
  <c r="G927" i="3"/>
  <c r="G922" i="3"/>
  <c r="F923" i="3"/>
  <c r="F924" i="3"/>
  <c r="F925" i="3"/>
  <c r="F926" i="3"/>
  <c r="F927" i="3"/>
  <c r="E923" i="3"/>
  <c r="E924" i="3"/>
  <c r="E925" i="3"/>
  <c r="E926" i="3"/>
  <c r="E927" i="3"/>
  <c r="F922" i="3"/>
  <c r="E922" i="3"/>
  <c r="M87" i="2"/>
  <c r="M85" i="2"/>
  <c r="M86" i="2"/>
  <c r="M81" i="2"/>
  <c r="M82" i="2"/>
  <c r="M109" i="2"/>
  <c r="M149" i="2"/>
  <c r="M148" i="2"/>
  <c r="M147" i="2"/>
  <c r="M22" i="2"/>
  <c r="B953" i="3" l="1"/>
  <c r="F955" i="3"/>
  <c r="B952" i="3"/>
  <c r="B950" i="3"/>
  <c r="B951" i="3"/>
  <c r="H955" i="3"/>
  <c r="B958" i="3"/>
  <c r="E950" i="3"/>
  <c r="E957" i="3"/>
  <c r="G955" i="3"/>
  <c r="B957" i="3"/>
  <c r="F950" i="3"/>
  <c r="F957" i="3"/>
  <c r="B956" i="3"/>
  <c r="G950" i="3"/>
  <c r="G957" i="3"/>
  <c r="B955" i="3"/>
  <c r="H957" i="3"/>
  <c r="B954" i="3"/>
  <c r="E955" i="3"/>
  <c r="M66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52" i="2"/>
  <c r="M53" i="2"/>
  <c r="M54" i="2"/>
  <c r="M55" i="2"/>
  <c r="M56" i="2"/>
  <c r="M57" i="2"/>
  <c r="M58" i="2"/>
  <c r="M59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60" i="2"/>
  <c r="M61" i="2"/>
  <c r="M62" i="2"/>
  <c r="M63" i="2"/>
  <c r="M64" i="2"/>
  <c r="M65" i="2"/>
  <c r="M67" i="2"/>
  <c r="M68" i="2"/>
  <c r="M69" i="2"/>
  <c r="M70" i="2"/>
  <c r="M71" i="2"/>
  <c r="M72" i="2"/>
  <c r="M73" i="2"/>
  <c r="M74" i="2"/>
  <c r="M75" i="2"/>
  <c r="M76" i="2"/>
  <c r="M77" i="2"/>
  <c r="M78" i="2"/>
  <c r="M108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83" i="2"/>
  <c r="M84" i="2"/>
  <c r="M89" i="2"/>
  <c r="M90" i="2"/>
  <c r="M91" i="2"/>
  <c r="M92" i="2"/>
  <c r="M93" i="2"/>
  <c r="M95" i="2"/>
  <c r="M96" i="2"/>
  <c r="M97" i="2"/>
  <c r="M98" i="2"/>
  <c r="M99" i="2"/>
  <c r="M100" i="2"/>
  <c r="M101" i="2"/>
  <c r="M102" i="2"/>
  <c r="M79" i="2"/>
  <c r="M80" i="2"/>
  <c r="M150" i="2"/>
  <c r="G104" i="1" l="1"/>
  <c r="H104" i="1" l="1"/>
  <c r="K102" i="1" l="1" a="1"/>
  <c r="K102" i="1" s="1"/>
  <c r="J102" i="1" a="1"/>
  <c r="J102" i="1" s="1"/>
  <c r="F105" i="1" l="1" a="1"/>
  <c r="F105" i="1" s="1"/>
  <c r="F106" i="1" s="1"/>
  <c r="D105" i="1" a="1"/>
  <c r="D105" i="1" s="1"/>
  <c r="D106" i="1" s="1"/>
  <c r="E105" i="1" l="1" a="1"/>
  <c r="E105" i="1" s="1"/>
  <c r="E106" i="1" s="1"/>
  <c r="C105" i="1" a="1"/>
  <c r="C105" i="1" s="1"/>
  <c r="C106" i="1" s="1"/>
  <c r="G105" i="1" l="1"/>
  <c r="H105" i="1" s="1"/>
  <c r="G106" i="1" l="1"/>
  <c r="H10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<sst xmlns="http://schemas.openxmlformats.org/spreadsheetml/2006/main" count="8461" uniqueCount="949">
  <si>
    <t>SISTEMA</t>
  </si>
  <si>
    <t>OPCIONES 1</t>
  </si>
  <si>
    <t>OPCIONES 2</t>
  </si>
  <si>
    <t>OPCIONES 3</t>
  </si>
  <si>
    <t>OPCIONES 4</t>
  </si>
  <si>
    <t>OPCIONES 5</t>
  </si>
  <si>
    <t>DETALLE</t>
  </si>
  <si>
    <t>TIPOLOGIA</t>
  </si>
  <si>
    <t>CANT</t>
  </si>
  <si>
    <t>Climatizador</t>
  </si>
  <si>
    <t>Integración</t>
  </si>
  <si>
    <t>BACnet MS/TP</t>
  </si>
  <si>
    <t>Modbus RTU</t>
  </si>
  <si>
    <t>Conversor protocolo</t>
  </si>
  <si>
    <t>Ventiladores</t>
  </si>
  <si>
    <t>1 Ventilador</t>
  </si>
  <si>
    <t>Orden M/P Ventilador impulsión</t>
  </si>
  <si>
    <t>Estado funcionamiento Ventilador impulsión</t>
  </si>
  <si>
    <t>Alarma térmico</t>
  </si>
  <si>
    <t>Alarma térmico Ventilador impulsión</t>
  </si>
  <si>
    <t>Regulación</t>
  </si>
  <si>
    <t>Caudal de aire conducto Ventilador impulsión</t>
  </si>
  <si>
    <t>Sonda presión aire</t>
  </si>
  <si>
    <t>Motor EC</t>
  </si>
  <si>
    <t>Regulación Motor EC Ventilador impulsión</t>
  </si>
  <si>
    <t>Variador</t>
  </si>
  <si>
    <t>Regulación variador proporcional Ventilador impulsión</t>
  </si>
  <si>
    <t>Variador de frecuencia</t>
  </si>
  <si>
    <t>Integración variador BACnet MS/TP Ventilador impulsión</t>
  </si>
  <si>
    <t>Variador de frecuencia BACnet MS/TP</t>
  </si>
  <si>
    <t>Integración variador Modbus RTU Ventilador impulsión</t>
  </si>
  <si>
    <t>Variador de frecuencia Modbus RTU</t>
  </si>
  <si>
    <t>Orden M/P Ventilador retorno</t>
  </si>
  <si>
    <t>Estado funcionamiento Ventilador retorno</t>
  </si>
  <si>
    <t>Caudal de aire conducto Ventilador retorno</t>
  </si>
  <si>
    <t>Alarma térmico Ventilador retorno</t>
  </si>
  <si>
    <t>Regulación Motor EC Ventilador retorno</t>
  </si>
  <si>
    <t>2 Ventiladores</t>
  </si>
  <si>
    <t>Regulación variador proporcional Ventilador retorno</t>
  </si>
  <si>
    <t>Integración variador BACnet MS/TP Ventilador retorno</t>
  </si>
  <si>
    <t>Integración variador Modbus RTU Ventilador retorno</t>
  </si>
  <si>
    <t>Admisión y expulsión</t>
  </si>
  <si>
    <t>Acción T/N</t>
  </si>
  <si>
    <t>A/C compuerta Admisión</t>
  </si>
  <si>
    <t>Actuador compuerta T/N</t>
  </si>
  <si>
    <t>Contactos FDC</t>
  </si>
  <si>
    <t>A/C compuerta y estado posición Admisión</t>
  </si>
  <si>
    <t>Actuador compuerta T/N FDC</t>
  </si>
  <si>
    <t>A/C compuerta Expulsión</t>
  </si>
  <si>
    <t>A/C compuerta y estado posición Expulsión</t>
  </si>
  <si>
    <t>Acción proporcional</t>
  </si>
  <si>
    <t>Regulación compuerta Admisión</t>
  </si>
  <si>
    <t>Actuador compuerta proporcional</t>
  </si>
  <si>
    <t>Regulación compuerta y estado posición Admisión</t>
  </si>
  <si>
    <t>Actuador compuerta proporcional FDC</t>
  </si>
  <si>
    <t>Regulación compuerta Expulsión</t>
  </si>
  <si>
    <t>Regulación compuerta y estado posición Expulsión</t>
  </si>
  <si>
    <t>Free cooling</t>
  </si>
  <si>
    <t>2 compuertas</t>
  </si>
  <si>
    <t>A/C compuertas Free cooling</t>
  </si>
  <si>
    <t>Regulación copuertas Free cooling</t>
  </si>
  <si>
    <t>3 compuertas</t>
  </si>
  <si>
    <t>Térmico</t>
  </si>
  <si>
    <t>Lectura temperatura Conducto retorno</t>
  </si>
  <si>
    <t>Sonda Temp conducto</t>
  </si>
  <si>
    <t>Lectura temperatura Exterior</t>
  </si>
  <si>
    <t>Sonda Temp exterior</t>
  </si>
  <si>
    <t>Ocupación</t>
  </si>
  <si>
    <t>Retorno</t>
  </si>
  <si>
    <t>Lectura temperatura y CO2 Conducto retorno</t>
  </si>
  <si>
    <t>Sonda Temp y CO2 conducto</t>
  </si>
  <si>
    <t>Ambiente</t>
  </si>
  <si>
    <t>Lectura temperatura y CO2 Ambiente</t>
  </si>
  <si>
    <t>Sonda Temp y CO2 ambiente</t>
  </si>
  <si>
    <t>Lectura temperatura y CO2 Exterior</t>
  </si>
  <si>
    <t>Sonda Temp y CO2 exterior</t>
  </si>
  <si>
    <t>Entálpico</t>
  </si>
  <si>
    <t>Lectura temperatura y humedad Conducto retorno</t>
  </si>
  <si>
    <t>Sonda Temp y hdad conducto</t>
  </si>
  <si>
    <t>Lectura temperatura y humedad Exterior</t>
  </si>
  <si>
    <t>Sonda Temp y hdad exterior</t>
  </si>
  <si>
    <t>Recuperador</t>
  </si>
  <si>
    <t>Estático</t>
  </si>
  <si>
    <t>Lectura temperatura Post recuperación</t>
  </si>
  <si>
    <t>Rotativo</t>
  </si>
  <si>
    <t>Lectura temperatura y humedad Post recuperación</t>
  </si>
  <si>
    <t>Orden M/P Rueda recuperador</t>
  </si>
  <si>
    <t>Estado funcionamiento Rueda recuperador</t>
  </si>
  <si>
    <t>Regulación Motor EC Rueda recuperador</t>
  </si>
  <si>
    <t>Humectador</t>
  </si>
  <si>
    <t>Orden M/P Humectador</t>
  </si>
  <si>
    <t>Estado funcionamiento Humectador</t>
  </si>
  <si>
    <t>Regulación Motor EC Humectador</t>
  </si>
  <si>
    <t>Lectura temperatura y humedad Humectador</t>
  </si>
  <si>
    <t>Baterías</t>
  </si>
  <si>
    <t>2 tubos</t>
  </si>
  <si>
    <t>Válvula 2 vías</t>
  </si>
  <si>
    <t>V2V proporcional</t>
  </si>
  <si>
    <t>V2V PI proporcional</t>
  </si>
  <si>
    <t>EA feedback</t>
  </si>
  <si>
    <t>4 tubos</t>
  </si>
  <si>
    <t>4 tubos y batería adicional</t>
  </si>
  <si>
    <t>Sensores</t>
  </si>
  <si>
    <t>Impulsión</t>
  </si>
  <si>
    <t>Temperatura</t>
  </si>
  <si>
    <t>Lectura temperatura Conducto impulsión</t>
  </si>
  <si>
    <t>Humedad</t>
  </si>
  <si>
    <t>Lectura temperatura y humedad Conducto impulsión</t>
  </si>
  <si>
    <t>CO2</t>
  </si>
  <si>
    <t>Lectura temperatura, humedad y CO2 Conducto retorno</t>
  </si>
  <si>
    <t>Sonda Temp, hdad y CO2 conducto</t>
  </si>
  <si>
    <t>Lectura CO2 Conducto retorno</t>
  </si>
  <si>
    <t>Sonda CO2 conducto</t>
  </si>
  <si>
    <t>Lectura temperatura Ambiente</t>
  </si>
  <si>
    <t>Sonda Temp Ambiente</t>
  </si>
  <si>
    <t>Lectura temperatura y humedad Ambiente</t>
  </si>
  <si>
    <t>Sonda Temp y hdad Ambiente</t>
  </si>
  <si>
    <t>Sonda Temp y CO2 Ambiente</t>
  </si>
  <si>
    <t>Consigna T</t>
  </si>
  <si>
    <t>Lectura temperatura con consigna y CO2 Ambiente</t>
  </si>
  <si>
    <t>Sonda Temp consigna y CO2 Ambiente</t>
  </si>
  <si>
    <t>Lectura temperatura, humedad y CO2 Ambiente</t>
  </si>
  <si>
    <t>Sonda Temp, hdad y CO2 Ambiente</t>
  </si>
  <si>
    <t>Lectura temperatura con consigna Ambiente</t>
  </si>
  <si>
    <t>Sonda Temp consigna Ambiente</t>
  </si>
  <si>
    <t>Lectura temperatura con consigna y humedad Ambiente</t>
  </si>
  <si>
    <t>Sonda Temp consigna y hdad Ambiente</t>
  </si>
  <si>
    <t>Lectura temperatura con consigna, humedad y CO2 Ambiente</t>
  </si>
  <si>
    <t>Sonda Temp consigna, hdad y CO2 Ambiente</t>
  </si>
  <si>
    <t>Filtraje</t>
  </si>
  <si>
    <t>Filtro sucio</t>
  </si>
  <si>
    <t>Alarma filtro sucio</t>
  </si>
  <si>
    <t>Presostato aire</t>
  </si>
  <si>
    <t>Prefiltro sucio</t>
  </si>
  <si>
    <t>Alarma prefiltro sucio</t>
  </si>
  <si>
    <t>CATEGORIA</t>
  </si>
  <si>
    <t>OPCIONES 6</t>
  </si>
  <si>
    <t>EA</t>
  </si>
  <si>
    <t>ED</t>
  </si>
  <si>
    <t>SA</t>
  </si>
  <si>
    <t>SD</t>
  </si>
  <si>
    <t>SI</t>
  </si>
  <si>
    <t>IRC</t>
  </si>
  <si>
    <t>REFERENCIA</t>
  </si>
  <si>
    <t>ACCESORIOS 1</t>
  </si>
  <si>
    <t>ACCESORIOS 2</t>
  </si>
  <si>
    <t>ACCESORIOS 3</t>
  </si>
  <si>
    <t>LINE-TCPRS</t>
  </si>
  <si>
    <t>0-250 Pa</t>
  </si>
  <si>
    <t>SDP0250-R8-AZ</t>
  </si>
  <si>
    <t>SDP2500-R8-AZ</t>
  </si>
  <si>
    <t>0-7000 Pa</t>
  </si>
  <si>
    <t>SDP7000-R8-AZ</t>
  </si>
  <si>
    <t>Display</t>
  </si>
  <si>
    <t>SDP0250-R8-AZ-D</t>
  </si>
  <si>
    <t>SDP2500-R8-AZ-D</t>
  </si>
  <si>
    <t>SDP7000-R8-AZ-D</t>
  </si>
  <si>
    <t>140-1000 Pa</t>
  </si>
  <si>
    <t>P233A-10-PHC</t>
  </si>
  <si>
    <t>50-400 Pa</t>
  </si>
  <si>
    <t>P233A-4-PHC</t>
  </si>
  <si>
    <t>4Nm</t>
  </si>
  <si>
    <t>24vac</t>
  </si>
  <si>
    <t>M9304-AGA-1N</t>
  </si>
  <si>
    <t>8Nm</t>
  </si>
  <si>
    <t>M9108-AGA-1N</t>
  </si>
  <si>
    <t>16Nm</t>
  </si>
  <si>
    <t>M9116-AGA-1N</t>
  </si>
  <si>
    <t>24Nm</t>
  </si>
  <si>
    <t>M9124-AGA-1N</t>
  </si>
  <si>
    <t>32Nm</t>
  </si>
  <si>
    <t>M9132-AGA-1N</t>
  </si>
  <si>
    <t>230vac</t>
  </si>
  <si>
    <t>M9108-ADA-1N</t>
  </si>
  <si>
    <t>M9116-ADA-1N</t>
  </si>
  <si>
    <t>M9124-ADA-1N</t>
  </si>
  <si>
    <t>M9132-ADA-1N</t>
  </si>
  <si>
    <t>M9304-ADA-1N</t>
  </si>
  <si>
    <t>M9304-AGC-1N</t>
  </si>
  <si>
    <t>M9108-AGC-1N</t>
  </si>
  <si>
    <t>M9116-AGC-1N</t>
  </si>
  <si>
    <t>M9124-AGC-1N</t>
  </si>
  <si>
    <t>M9132-AGC-1N</t>
  </si>
  <si>
    <t>M9108-ADC-1N</t>
  </si>
  <si>
    <t>M9116-ADC-1N</t>
  </si>
  <si>
    <t>M9124-ADC-1N</t>
  </si>
  <si>
    <t>M9132-ADC-1N</t>
  </si>
  <si>
    <t>M9304-ADC-1N</t>
  </si>
  <si>
    <t>M9304-GGA-1N</t>
  </si>
  <si>
    <t>M9108-GGA-1N</t>
  </si>
  <si>
    <t>M9116-GGA-1N</t>
  </si>
  <si>
    <t>M9124-GGA-1N</t>
  </si>
  <si>
    <t>M9132-GGA-1N</t>
  </si>
  <si>
    <t>M9108-GGC-1N</t>
  </si>
  <si>
    <t>M9116-GGC-1N</t>
  </si>
  <si>
    <t>M9124-GGC-1N</t>
  </si>
  <si>
    <t>M9132-GGC-1N</t>
  </si>
  <si>
    <t>NTCK2</t>
  </si>
  <si>
    <t>150mm</t>
  </si>
  <si>
    <t>STS-6330D-A10</t>
  </si>
  <si>
    <t>STS-6300D-000</t>
  </si>
  <si>
    <t>300mm</t>
  </si>
  <si>
    <t>STS-6330D-B10</t>
  </si>
  <si>
    <t>450mm</t>
  </si>
  <si>
    <t>STS-6330D-D10</t>
  </si>
  <si>
    <t>NTCK10</t>
  </si>
  <si>
    <t>STS-6340D-A10</t>
  </si>
  <si>
    <t>200mm</t>
  </si>
  <si>
    <t>STS-6340D-B10</t>
  </si>
  <si>
    <t>STS-6340D-C10</t>
  </si>
  <si>
    <t>STS-6340D-D10</t>
  </si>
  <si>
    <t>PT100</t>
  </si>
  <si>
    <t>STS-6350D-A10</t>
  </si>
  <si>
    <t>STS-6350D-B10</t>
  </si>
  <si>
    <t>STS-6350D-C10</t>
  </si>
  <si>
    <t>STS-6350D-D10</t>
  </si>
  <si>
    <t>PT1000</t>
  </si>
  <si>
    <t>STS-6360D-A10</t>
  </si>
  <si>
    <t>STS-6360D-B10</t>
  </si>
  <si>
    <t>STS-6360D-C10</t>
  </si>
  <si>
    <t>STS-6360D-D10</t>
  </si>
  <si>
    <t>100mm</t>
  </si>
  <si>
    <t>STS-6360D-G10</t>
  </si>
  <si>
    <t>250mm</t>
  </si>
  <si>
    <t>STS-6360D-H10</t>
  </si>
  <si>
    <t>0-10v</t>
  </si>
  <si>
    <t>50mm</t>
  </si>
  <si>
    <t>STS-6370C-E13</t>
  </si>
  <si>
    <t>STS-6370D-A11</t>
  </si>
  <si>
    <t>STS-6370D-B11</t>
  </si>
  <si>
    <t>STS-6370D-C11</t>
  </si>
  <si>
    <t>446mm</t>
  </si>
  <si>
    <t>STS-6370D-D11</t>
  </si>
  <si>
    <t>STS-6330E-000</t>
  </si>
  <si>
    <t>STS-6340E-000</t>
  </si>
  <si>
    <t>STS-6350E-000</t>
  </si>
  <si>
    <t>STS-6360E-000</t>
  </si>
  <si>
    <t>STS-6370E-001</t>
  </si>
  <si>
    <t>SCD-P1000-00-00</t>
  </si>
  <si>
    <t>4-20mA</t>
  </si>
  <si>
    <t>SCD-P2010-00-00</t>
  </si>
  <si>
    <t>SCD-P2B0-00-00</t>
  </si>
  <si>
    <t>SCD-P2M0-00-00</t>
  </si>
  <si>
    <t>Sonda CO2 ambiente</t>
  </si>
  <si>
    <t>NSB8BNC040-0</t>
  </si>
  <si>
    <t>NSB8BTC040-0</t>
  </si>
  <si>
    <t>Fixed segment display</t>
  </si>
  <si>
    <t>NSB8BTC240-0</t>
  </si>
  <si>
    <t>Graphical user interface</t>
  </si>
  <si>
    <t>NSB8BTC340-0</t>
  </si>
  <si>
    <t>ATM-CO2-SD-U</t>
  </si>
  <si>
    <t>140mm</t>
  </si>
  <si>
    <t>SHT-1301-UD1</t>
  </si>
  <si>
    <t>270mm</t>
  </si>
  <si>
    <t>SHT-1301-UD2</t>
  </si>
  <si>
    <t>400mm</t>
  </si>
  <si>
    <t>SHT-1301-UD4</t>
  </si>
  <si>
    <t>SHT-130B-UD1</t>
  </si>
  <si>
    <t>SHT-130B-UD2</t>
  </si>
  <si>
    <t>SHT-130M-UD1</t>
  </si>
  <si>
    <t>SHT-130M-UD2</t>
  </si>
  <si>
    <t>SHT-1301-UO</t>
  </si>
  <si>
    <t>SHT-130M-UO</t>
  </si>
  <si>
    <t>RHP-3S22</t>
  </si>
  <si>
    <t>RHRS</t>
  </si>
  <si>
    <t>SCD-P3B0-00-00</t>
  </si>
  <si>
    <t>SCD-P3M0-00-00</t>
  </si>
  <si>
    <t>NSB8BHC040-0</t>
  </si>
  <si>
    <t>NSB8BHC240-0</t>
  </si>
  <si>
    <t>NSB8BHC340-0</t>
  </si>
  <si>
    <t>Bus SA</t>
  </si>
  <si>
    <t>NSB8BTN040-0</t>
  </si>
  <si>
    <t>SRS-1140-0001</t>
  </si>
  <si>
    <t>STM-1140-0001</t>
  </si>
  <si>
    <t>STM-2140-0001</t>
  </si>
  <si>
    <t>No display</t>
  </si>
  <si>
    <t>NSB8BTN140-0</t>
  </si>
  <si>
    <t>NSB8BTN240-0</t>
  </si>
  <si>
    <t>NSB8BTN340-0</t>
  </si>
  <si>
    <t>SRS-1160-0005</t>
  </si>
  <si>
    <t>SRS-1180-0005</t>
  </si>
  <si>
    <t>SRS-1180-0007</t>
  </si>
  <si>
    <t>STM-1160-0005</t>
  </si>
  <si>
    <t>STM-1160-0007</t>
  </si>
  <si>
    <t>STM-2150-0005</t>
  </si>
  <si>
    <t>STM-2160-0002</t>
  </si>
  <si>
    <t>STM-2160-0005</t>
  </si>
  <si>
    <t>STM-2160-0007</t>
  </si>
  <si>
    <t>NSB8BHN040-0</t>
  </si>
  <si>
    <t>SHT-1301-UR</t>
  </si>
  <si>
    <t>SHT-130B-UR</t>
  </si>
  <si>
    <t>SHT-130M-UR</t>
  </si>
  <si>
    <t>NSB8BHN140-0</t>
  </si>
  <si>
    <t>NSB8BHN240-0</t>
  </si>
  <si>
    <t>NSB8BHN340-0</t>
  </si>
  <si>
    <t>NSB8BPN240-0</t>
  </si>
  <si>
    <t>IP21</t>
  </si>
  <si>
    <t>SIB-ACH580-IP21-1.1</t>
  </si>
  <si>
    <t>SIB-ACH580-IP21-1.5</t>
  </si>
  <si>
    <t>SIB-ACH580-IP21-2.2</t>
  </si>
  <si>
    <t>SIB-ACH580-IP21-3</t>
  </si>
  <si>
    <t>SIB-ACH580-IP21-4</t>
  </si>
  <si>
    <t>SIB-ACH580-IP21-5.5</t>
  </si>
  <si>
    <t>SIB-ACH580-IP21-7.5</t>
  </si>
  <si>
    <t>SIB-ACH580-IP21-11</t>
  </si>
  <si>
    <t>SIB-ACH580-IP21-15</t>
  </si>
  <si>
    <t>SIB-ACH580-IP21-18.5</t>
  </si>
  <si>
    <t>SIB-ACH580-IP21-22</t>
  </si>
  <si>
    <t>SIB-ACH580-IP21-30</t>
  </si>
  <si>
    <t>SIB-ACH580-IP21-37</t>
  </si>
  <si>
    <t>SIB-ACH580-IP21-45</t>
  </si>
  <si>
    <t>SIB-ACH580-IP21-55</t>
  </si>
  <si>
    <t>SIB-ACH580-IP21-75</t>
  </si>
  <si>
    <t>SIB-ACH580-IP21-90</t>
  </si>
  <si>
    <t>SIB-ACH580-IP21-110</t>
  </si>
  <si>
    <t>SIB-ACH580-IP21-132</t>
  </si>
  <si>
    <t>IP54</t>
  </si>
  <si>
    <t>SIB-ACH580-IP54-1.1</t>
  </si>
  <si>
    <t>SIB-ACH580-IP54-1.5</t>
  </si>
  <si>
    <t>SIB-ACH580-IP54-2.2</t>
  </si>
  <si>
    <t>SIB-ACH580-IP54-3</t>
  </si>
  <si>
    <t>SIB-ACH580-IP54-4</t>
  </si>
  <si>
    <t>SIB-ACH580-IP54-5.5</t>
  </si>
  <si>
    <t>SIB-ACH580-IP54-7.5</t>
  </si>
  <si>
    <t>SIB-ACH580-IP54-11</t>
  </si>
  <si>
    <t>SIB-ACH580-IP54-15</t>
  </si>
  <si>
    <t>SIB-ACH580-IP54-18.5</t>
  </si>
  <si>
    <t>SIB-ACH580-IP54-22</t>
  </si>
  <si>
    <t>SIB-ACH580-IP54-30</t>
  </si>
  <si>
    <t>SIB-ACH580-IP54-37</t>
  </si>
  <si>
    <t>SIB-ACH580-IP54-45</t>
  </si>
  <si>
    <t>SIB-ACH580-IP54-55</t>
  </si>
  <si>
    <t>SIB-ACH580-IP54-75</t>
  </si>
  <si>
    <t>SIB-ACH580-IP54-90</t>
  </si>
  <si>
    <t>SIB-ACH580-IP54-110</t>
  </si>
  <si>
    <t>SIB-ACH580-IP54-132</t>
  </si>
  <si>
    <t>DN15</t>
  </si>
  <si>
    <t>kvs 0,25</t>
  </si>
  <si>
    <t>2-120 ºC</t>
  </si>
  <si>
    <t>VG7201AS</t>
  </si>
  <si>
    <t>VA-7312-8001</t>
  </si>
  <si>
    <t>0,1185-0,1897 m3/h</t>
  </si>
  <si>
    <t>kvs 0,4</t>
  </si>
  <si>
    <t>VG7201BS</t>
  </si>
  <si>
    <t>0,1897-0,2988 m3/h</t>
  </si>
  <si>
    <t>kvs 0,63</t>
  </si>
  <si>
    <t>VG7201CS</t>
  </si>
  <si>
    <t>0,2988-0,4742 m3/h</t>
  </si>
  <si>
    <t>kvs 1,0</t>
  </si>
  <si>
    <t>VG7201DS</t>
  </si>
  <si>
    <t>0,4742-0,7587 m3/h</t>
  </si>
  <si>
    <t>kvs 1,6</t>
  </si>
  <si>
    <t>VG7201ES</t>
  </si>
  <si>
    <t>0,7587-1,1856 m3/h</t>
  </si>
  <si>
    <t>kvs 2,5</t>
  </si>
  <si>
    <t>VG7201FS</t>
  </si>
  <si>
    <t>1,1856-1,8971 m3/h</t>
  </si>
  <si>
    <t>kvs 4,0</t>
  </si>
  <si>
    <t>VG7201GS</t>
  </si>
  <si>
    <t>DN20</t>
  </si>
  <si>
    <t>1,8971-2,9878 m3/h</t>
  </si>
  <si>
    <t>kvs 6,3</t>
  </si>
  <si>
    <t>VG7201LS</t>
  </si>
  <si>
    <t>VG7201AT</t>
  </si>
  <si>
    <t>VA-7706-1001</t>
  </si>
  <si>
    <t>VG7201BT</t>
  </si>
  <si>
    <t>VG7201CT</t>
  </si>
  <si>
    <t>VG7201DT</t>
  </si>
  <si>
    <t>VG7201ET</t>
  </si>
  <si>
    <t>VG7201FT</t>
  </si>
  <si>
    <t>VG7201GT</t>
  </si>
  <si>
    <t>VG7201LT</t>
  </si>
  <si>
    <t>DN25</t>
  </si>
  <si>
    <t>2,9878-4,7428 m3/h</t>
  </si>
  <si>
    <t>kvs 10</t>
  </si>
  <si>
    <t>VG7201NT</t>
  </si>
  <si>
    <t>DN32</t>
  </si>
  <si>
    <t>4,7428-7,5879 m3/h</t>
  </si>
  <si>
    <t>kvs 16</t>
  </si>
  <si>
    <t>VG7201PT</t>
  </si>
  <si>
    <t>DN40</t>
  </si>
  <si>
    <t>7,5879-11,856 m3/h</t>
  </si>
  <si>
    <t>kvs 25</t>
  </si>
  <si>
    <t>VG7201RT</t>
  </si>
  <si>
    <t>DN50</t>
  </si>
  <si>
    <t>11,856-18,971 m3/h</t>
  </si>
  <si>
    <t>kvs 40</t>
  </si>
  <si>
    <t>VG7201ST</t>
  </si>
  <si>
    <t>Anulación manual</t>
  </si>
  <si>
    <t>VA-7746-1001</t>
  </si>
  <si>
    <t>0,009-0,4742 m3/h</t>
  </si>
  <si>
    <t>0-140 ºC</t>
  </si>
  <si>
    <t>VG82A4S1N</t>
  </si>
  <si>
    <t>VA1125-GGA-1</t>
  </si>
  <si>
    <t>VG82A3S1N</t>
  </si>
  <si>
    <t>VG82A2S1N</t>
  </si>
  <si>
    <t>VG82A1S1N</t>
  </si>
  <si>
    <t xml:space="preserve">VG82B1S1N </t>
  </si>
  <si>
    <t>VG82C1S1N</t>
  </si>
  <si>
    <t>VG82D1S1N</t>
  </si>
  <si>
    <t>VG82E1S1N</t>
  </si>
  <si>
    <t>VG82F1S1N</t>
  </si>
  <si>
    <t>DN65</t>
  </si>
  <si>
    <t>18,971-29,878 m3/h</t>
  </si>
  <si>
    <t>kvs 63</t>
  </si>
  <si>
    <t>VG82G1S1N</t>
  </si>
  <si>
    <t>DN80</t>
  </si>
  <si>
    <t>29,878-47,428 m3/h</t>
  </si>
  <si>
    <t>kvs 100</t>
  </si>
  <si>
    <t>VG82H1S1N</t>
  </si>
  <si>
    <t>DN100</t>
  </si>
  <si>
    <t>47,428-75,879 m3/h</t>
  </si>
  <si>
    <t>kvs 160</t>
  </si>
  <si>
    <t>VG82J1S1N</t>
  </si>
  <si>
    <t>DN125</t>
  </si>
  <si>
    <t>75,879-118,56 m3/h</t>
  </si>
  <si>
    <t>kvs 250</t>
  </si>
  <si>
    <t>VG82K1S1N</t>
  </si>
  <si>
    <t>DN150</t>
  </si>
  <si>
    <t>118,56-166,01 m3/h</t>
  </si>
  <si>
    <t>kvs 350</t>
  </si>
  <si>
    <t>VG82L1S1N</t>
  </si>
  <si>
    <t>-10-140 ºC</t>
  </si>
  <si>
    <t>VG82A3S1N20</t>
  </si>
  <si>
    <t>VG82A2S1N20</t>
  </si>
  <si>
    <t>VG82A1S1N20</t>
  </si>
  <si>
    <t>VG82B1S1N20</t>
  </si>
  <si>
    <t>VG82C1S1N20</t>
  </si>
  <si>
    <t>VG82D1S1N20</t>
  </si>
  <si>
    <t>VG82E1S1N20</t>
  </si>
  <si>
    <t>VG82F1S1N20</t>
  </si>
  <si>
    <t>VG82G1S1N20</t>
  </si>
  <si>
    <t>VG82H1S1N20</t>
  </si>
  <si>
    <t>VG82J1S1N20</t>
  </si>
  <si>
    <t>VG82K1S1N20</t>
  </si>
  <si>
    <t>VG82L1S1N20</t>
  </si>
  <si>
    <t>VA1000-P2</t>
  </si>
  <si>
    <t>VG7802AS</t>
  </si>
  <si>
    <t>VG7802BS</t>
  </si>
  <si>
    <t>VG7802CS</t>
  </si>
  <si>
    <t>VG7802DS</t>
  </si>
  <si>
    <t>VG7802ES</t>
  </si>
  <si>
    <t>VG7802FS</t>
  </si>
  <si>
    <t>VG7802GS</t>
  </si>
  <si>
    <t>VG7802LS</t>
  </si>
  <si>
    <t>VG7802AT</t>
  </si>
  <si>
    <t>VG7802BT</t>
  </si>
  <si>
    <t>VG7802CT</t>
  </si>
  <si>
    <t>VG7802DT</t>
  </si>
  <si>
    <t>VG7802ET</t>
  </si>
  <si>
    <t>VG7802FT</t>
  </si>
  <si>
    <t>VG7802GT</t>
  </si>
  <si>
    <t>VG7802LT</t>
  </si>
  <si>
    <t>VG7802NT</t>
  </si>
  <si>
    <t>VG7802PT</t>
  </si>
  <si>
    <t>VG7802RT</t>
  </si>
  <si>
    <t>VG7802ST</t>
  </si>
  <si>
    <t>VG88F1S1N</t>
  </si>
  <si>
    <t>VG88G1S1N</t>
  </si>
  <si>
    <t>VG88H1S1N</t>
  </si>
  <si>
    <t>VG88J1S1N</t>
  </si>
  <si>
    <t>VG88K1S1N</t>
  </si>
  <si>
    <t>VG88L1S1N</t>
  </si>
  <si>
    <t>VG88A3S1N20</t>
  </si>
  <si>
    <t>VG88A2S1N20</t>
  </si>
  <si>
    <t>VG88A1S1N20</t>
  </si>
  <si>
    <t>VG88B1S1N20</t>
  </si>
  <si>
    <t>VG88C1S1N20</t>
  </si>
  <si>
    <t>VG88D1S1N20</t>
  </si>
  <si>
    <t>VG88F1S1N20</t>
  </si>
  <si>
    <t>VG88G1S1N20</t>
  </si>
  <si>
    <t>VG88H1S1N20</t>
  </si>
  <si>
    <t>VG88J1S1N20</t>
  </si>
  <si>
    <t>VG88K1S1N20</t>
  </si>
  <si>
    <t>VG88L1S1N20</t>
  </si>
  <si>
    <t>0,009-0,15 m3/h</t>
  </si>
  <si>
    <t>VP100HAA</t>
  </si>
  <si>
    <t>VA-7482-1001</t>
  </si>
  <si>
    <t>0A7010</t>
  </si>
  <si>
    <t>0,15-0,45 m3/h</t>
  </si>
  <si>
    <t>VP100HDA</t>
  </si>
  <si>
    <t>0,45-0,85 m3/h</t>
  </si>
  <si>
    <t>VP100HDC</t>
  </si>
  <si>
    <t>0,85-1 m3/h</t>
  </si>
  <si>
    <t>VP100JAJ</t>
  </si>
  <si>
    <t>1-1,85 m3/h</t>
  </si>
  <si>
    <t>VP100JDB</t>
  </si>
  <si>
    <t>1,5-2,2 m3/h</t>
  </si>
  <si>
    <t>VP100CAU</t>
  </si>
  <si>
    <t>VA-7482-3001</t>
  </si>
  <si>
    <t>0A748X</t>
  </si>
  <si>
    <t>2,2-2,7 m3/h</t>
  </si>
  <si>
    <t>VP100CAW</t>
  </si>
  <si>
    <t>VP100DAW</t>
  </si>
  <si>
    <t>2,7-3 m3/h</t>
  </si>
  <si>
    <t>VP100DAY</t>
  </si>
  <si>
    <t>3-6 m3/h</t>
  </si>
  <si>
    <t>VP101DBB</t>
  </si>
  <si>
    <t>VA9310-HGA-1</t>
  </si>
  <si>
    <t>M9000-525-5</t>
  </si>
  <si>
    <t>VP101EBB</t>
  </si>
  <si>
    <t>6-9 m3/h</t>
  </si>
  <si>
    <t>VP101EBC</t>
  </si>
  <si>
    <t>9-11 m3/h</t>
  </si>
  <si>
    <t>VP101EBD</t>
  </si>
  <si>
    <t>11-12 m3/h</t>
  </si>
  <si>
    <t>VP101FBD</t>
  </si>
  <si>
    <t>12-18 m3/h</t>
  </si>
  <si>
    <t>VP101FBF</t>
  </si>
  <si>
    <t>VP101GBF</t>
  </si>
  <si>
    <t>18-21 m3/h</t>
  </si>
  <si>
    <t>VPMA6065P-C</t>
  </si>
  <si>
    <t>VAP600S-24-C</t>
  </si>
  <si>
    <t>21-28 m3/h</t>
  </si>
  <si>
    <t>VPMA6080P-C</t>
  </si>
  <si>
    <t>VAP1000L-24-C</t>
  </si>
  <si>
    <t>28-50 m3/h</t>
  </si>
  <si>
    <t>VPMA6100P-C</t>
  </si>
  <si>
    <t>50-90 m3/h</t>
  </si>
  <si>
    <t>VPMA6125P-C</t>
  </si>
  <si>
    <t>90-145 m3/h</t>
  </si>
  <si>
    <t>VPMA6150P-C</t>
  </si>
  <si>
    <t>DN200</t>
  </si>
  <si>
    <t>145-208 m3/h</t>
  </si>
  <si>
    <t>VPMA6200P-C</t>
  </si>
  <si>
    <t>VAP3000L-24-C</t>
  </si>
  <si>
    <t>DN250</t>
  </si>
  <si>
    <t>208-240 m3/h</t>
  </si>
  <si>
    <t>VPMA6250P-C</t>
  </si>
  <si>
    <t>0,1185-0,15 m3/h</t>
  </si>
  <si>
    <t>0,15-0,1897 m3/h</t>
  </si>
  <si>
    <t>0,2988-0,45 m3/h</t>
  </si>
  <si>
    <t>0,45-0,4742 m3/h</t>
  </si>
  <si>
    <t>-10-120 ºC</t>
  </si>
  <si>
    <t>0,7587-0,85 m3/h</t>
  </si>
  <si>
    <t>1-1,1856 m3/h</t>
  </si>
  <si>
    <t>1,1856-1,85 m3/h</t>
  </si>
  <si>
    <t>1,85-1,8971 m3/h</t>
  </si>
  <si>
    <t>1,8971-2,2 m3/h</t>
  </si>
  <si>
    <t>2,7-2,9878 m3/h</t>
  </si>
  <si>
    <t>4,7428-6 m3/h</t>
  </si>
  <si>
    <t>6-7,5879 m3/h</t>
  </si>
  <si>
    <t>7,5879-9 m3/h</t>
  </si>
  <si>
    <t>11-11,856 m3/h</t>
  </si>
  <si>
    <t>11,856-12 m3/h</t>
  </si>
  <si>
    <t>0-120 ºC</t>
  </si>
  <si>
    <t>18-18,971 m3/h</t>
  </si>
  <si>
    <t>18,971-21 m3/h</t>
  </si>
  <si>
    <t>28-29,878 m3/h</t>
  </si>
  <si>
    <t>47,428-50 m3/h</t>
  </si>
  <si>
    <t>50-75,879 m3/h</t>
  </si>
  <si>
    <t>75,879-90 m3/h</t>
  </si>
  <si>
    <t>90-118,56 m3/h</t>
  </si>
  <si>
    <t>118,56-145 m3/h</t>
  </si>
  <si>
    <t>145-166,01 m3/h</t>
  </si>
  <si>
    <t>Lectura temperatura, humedad y CO2 Exterior</t>
  </si>
  <si>
    <t>Sonda Temp, hdad y CO2 exterior</t>
  </si>
  <si>
    <t>CANT 1</t>
  </si>
  <si>
    <t>CANT 2</t>
  </si>
  <si>
    <t>CANT 3</t>
  </si>
  <si>
    <t>Batería</t>
  </si>
  <si>
    <t>Orden M/P Bomba batería recuperador</t>
  </si>
  <si>
    <t>Estado funcionamiento Bomba batería recuperador</t>
  </si>
  <si>
    <t>Regulación Motor EC Bomba batería recuperador</t>
  </si>
  <si>
    <t>Orden M/P Deshumectador</t>
  </si>
  <si>
    <t>Estado funcionamiento Deshumectador</t>
  </si>
  <si>
    <t>Regulación Motor EC Deshumectador</t>
  </si>
  <si>
    <t>Lectura temperatura y humedad Deshumectador</t>
  </si>
  <si>
    <t>Deshumectador</t>
  </si>
  <si>
    <t>CODIFICACIÓN</t>
  </si>
  <si>
    <t>ClimatizadorVentiladores1 Ventilador</t>
  </si>
  <si>
    <t>Integracion</t>
  </si>
  <si>
    <t>ClimatizadorIntegraciónBACnet MS/TP</t>
  </si>
  <si>
    <t>ClimatizadorIntegraciónModbus RTU</t>
  </si>
  <si>
    <t>ClimatizadorVentiladores1 VentiladorAlarma térmico</t>
  </si>
  <si>
    <t>ClimatizadorVentiladores1 VentiladorRegulación</t>
  </si>
  <si>
    <t>ClimatizadorVentiladores1 VentiladorRegulaciónMotor EC</t>
  </si>
  <si>
    <t>ClimatizadorVentiladores1 VentiladorRegulaciónVariador</t>
  </si>
  <si>
    <t>ClimatizadorVentiladores1 VentiladorRegulaciónVariadorBACnet MS/TP</t>
  </si>
  <si>
    <t>ClimatizadorVentiladores1 VentiladorRegulaciónVariadorModbus RTU</t>
  </si>
  <si>
    <t>ClimatizadorVentiladores2 ventiladores</t>
  </si>
  <si>
    <t>ClimatizadorVentiladores2 ventiladoresAlarma térmico</t>
  </si>
  <si>
    <t>ClimatizadorVentiladores2 ventiladoresRegulación</t>
  </si>
  <si>
    <t>ClimatizadorVentiladores2 ventiladoresRegulaciónMotor EC</t>
  </si>
  <si>
    <t>ClimatizadorVentiladores2 ventiladoresRegulaciónVariador</t>
  </si>
  <si>
    <t>ClimatizadorVentiladores2 ventiladoresRegulaciónVariadorBACnet MS/TP</t>
  </si>
  <si>
    <t>ClimatizadorVentiladores2 ventiladoresRegulaciónVariadorModbus RTU</t>
  </si>
  <si>
    <t>ClimatizadorVentiladores2 VentiladoresRegulaciónVariador</t>
  </si>
  <si>
    <t>ClimatizadorVentiladores2 VentiladoresRegulaciónVariadorBACnet MS/TP</t>
  </si>
  <si>
    <t>ClimatizadorVentiladores2 VentiladoresRegulaciónVariadorModbus RTU</t>
  </si>
  <si>
    <t>ClimatizadorAdmisión y expulsiónAcción T/N</t>
  </si>
  <si>
    <t>ClimatizadorAdmisión y expulsiónAcción T/NContactos FDC</t>
  </si>
  <si>
    <t>ClimatizadorAdmisión y expulsiónAcción proporcional</t>
  </si>
  <si>
    <t>ClimatizadorAdmisión y expulsiónAcción proporcionalContactos FDC</t>
  </si>
  <si>
    <t>ClimatizadorFree cooling2 compuertasAcción T/N</t>
  </si>
  <si>
    <t>ClimatizadorFree cooling2 compuertasAcción proporcional</t>
  </si>
  <si>
    <t>ClimatizadorFree cooling2 compuertasAcción T/NContactos FDC</t>
  </si>
  <si>
    <t>ClimatizadorFree cooling2 compuertasAcción proporcionalContactos FDC</t>
  </si>
  <si>
    <t>ClimatizadorFree cooling3 compuertasAcción T/N</t>
  </si>
  <si>
    <t>ClimatizadorFree cooling3 compuertasAcción proporcional</t>
  </si>
  <si>
    <t>ClimatizadorFree cooling3 compuertasAcción T/NContactos FDC</t>
  </si>
  <si>
    <t>ClimatizadorFree cooling3 compuertasAcción proporcionalContactos FDC</t>
  </si>
  <si>
    <t>ClimatizadorFree coolingTérmicoRetorno</t>
  </si>
  <si>
    <t>ClimatizadorFree coolingTérmicoAmbiente</t>
  </si>
  <si>
    <t>ClimatizadorFree coolingTérmicoAmbienteConsigna T</t>
  </si>
  <si>
    <t>ClimatizadorFree coolingTérmico</t>
  </si>
  <si>
    <t>ClimatizadorFree coolingTérmicoOcupaciónRetorno</t>
  </si>
  <si>
    <t>ClimatizadorFree coolingTérmicoOcupaciónAmbiente</t>
  </si>
  <si>
    <t>ClimatizadorFree coolingTérmicoOcupaciónAmbienteConsigna T</t>
  </si>
  <si>
    <t>ClimatizadorFree coolingTérmicoOcupación</t>
  </si>
  <si>
    <t>ClimatizadorFree coolingEntálpicoRetorno</t>
  </si>
  <si>
    <t>ClimatizadorFree coolingEntálpicoAmbiente</t>
  </si>
  <si>
    <t>ClimatizadorFree coolingEntálpicoAmbienteConsigna T</t>
  </si>
  <si>
    <t>ClimatizadorFree coolingEntálpico</t>
  </si>
  <si>
    <t>ClimatizadorFree coolingEntálpicoOcupaciónRetorno</t>
  </si>
  <si>
    <t>ClimatizadorFree coolingEntálpicoOcupaciónAmbiente</t>
  </si>
  <si>
    <t>ClimatizadorFree coolingEntálpicoOcupaciónAmbienteConsigna T</t>
  </si>
  <si>
    <t>ClimatizadorFree coolingEntálpicoOcupación</t>
  </si>
  <si>
    <t>ClimatizadorRecuperadorEstático</t>
  </si>
  <si>
    <t>ClimatizadorRecuperadorRotativoTérmico</t>
  </si>
  <si>
    <t>ClimatizadorRecuperadorRotativoEntálpico</t>
  </si>
  <si>
    <t>ClimatizadorRecuperadorRotativo</t>
  </si>
  <si>
    <t>ClimatizadorRecuperadorBatería</t>
  </si>
  <si>
    <t>ClimatizadorHumectador</t>
  </si>
  <si>
    <t>ClimatizadorDeshumectador</t>
  </si>
  <si>
    <t>ClimatizadorBaterías2 tubosVálvula 2 vías</t>
  </si>
  <si>
    <t>ClimatizadorBaterías2 tubosVálvula 3 vías</t>
  </si>
  <si>
    <t>ClimatizadorBaterías2 tubosVálvula 2 vías equilibrado</t>
  </si>
  <si>
    <t>ClimatizadorBaterías2 tubosVálvula 2 vías equilibrado FDL</t>
  </si>
  <si>
    <t>ClimatizadorBaterías2 tubosVálvula 2 víasEA feedback</t>
  </si>
  <si>
    <t>ClimatizadorBaterías2 tubosVálvula 3 víasEA feedback</t>
  </si>
  <si>
    <t>ClimatizadorBaterías2 tubosVálvula 2 vías equilibrado FDLEA feedback</t>
  </si>
  <si>
    <t>ClimatizadorBaterías4 tubosVálvulas 2 vías</t>
  </si>
  <si>
    <t>ClimatizadorBaterías4 tubosVálvulas 3 vías mezcladora</t>
  </si>
  <si>
    <t>ClimatizadorBaterías4 tubosVálvulas 2 vías equilibrado</t>
  </si>
  <si>
    <t>ClimatizadorBaterías4 tubosVálvulas 2 vías equilibrado FDL</t>
  </si>
  <si>
    <t>ClimatizadorBaterías4 tubosVálvulas 2 víasEA feedback</t>
  </si>
  <si>
    <t>ClimatizadorBaterías4 tubosVálvulas 3 vías mezcladoraEA feedback</t>
  </si>
  <si>
    <t>ClimatizadorBaterías4 tubosVálvulas 2 vías equilibrado FDLEA feedback</t>
  </si>
  <si>
    <t>ClimatizadorBaterías4 tubos y batería adicionalVálvulas 2 vías</t>
  </si>
  <si>
    <t>ClimatizadorBaterías4 tubos y batería adicionalVálvulas 3 vías mezcladora</t>
  </si>
  <si>
    <t>ClimatizadorBaterías4 tubos y batería adicionalVálvulas 2 vías equilibrado</t>
  </si>
  <si>
    <t>ClimatizadorBaterías4 tubos y batería adicionalVálvulas 2 vías equilibrado FDL</t>
  </si>
  <si>
    <t>ClimatizadorBaterías4 tubos y batería adicionalVálvulas 2 víasEA feedback</t>
  </si>
  <si>
    <t>ClimatizadorBaterías4 tubos y batería adicionalVálvulas 3 vías mezcladoraEA feedback</t>
  </si>
  <si>
    <t>ClimatizadorBaterías4 tubos y batería adicionalVálvulas 2 vías equilibrado FDLEA feedback</t>
  </si>
  <si>
    <t>ClimatizadorSensoresImpulsiónTemperatura</t>
  </si>
  <si>
    <t>ClimatizadorSensoresImpulsiónTemperaturaHumedad</t>
  </si>
  <si>
    <t>ClimatizadorSensoresRetornoTemperatura</t>
  </si>
  <si>
    <t>ClimatizadorSensoresRetornoTemperaturaHumedad</t>
  </si>
  <si>
    <t>ClimatizadorSensoresRetornoTemperaturaCO2</t>
  </si>
  <si>
    <t>ClimatizadorSensoresRetornoTemperaturaHumedadCO2</t>
  </si>
  <si>
    <t>ClimatizadorSensoresRetornoCO2</t>
  </si>
  <si>
    <t>ClimatizadorSensoresAmbienteTemperatura</t>
  </si>
  <si>
    <t>ClimatizadorSensoresAmbienteTemperaturaHumedad</t>
  </si>
  <si>
    <t>ClimatizadorSensoresAmbienteTemperaturaCO2</t>
  </si>
  <si>
    <t>ClimatizadorSensoresAmbienteConsigna TCO2</t>
  </si>
  <si>
    <t>ClimatizadorSensoresAmbienteTemperaturaHumedadCO2</t>
  </si>
  <si>
    <t>ClimatizadorSensoresAmbienteConsigna T</t>
  </si>
  <si>
    <t>ClimatizadorSensoresAmbienteConsigna THumedad</t>
  </si>
  <si>
    <t>ClimatizadorSensoresAmbienteConsigna THumedadCO2</t>
  </si>
  <si>
    <t>ORDEN</t>
  </si>
  <si>
    <t>1,1 kW</t>
  </si>
  <si>
    <t>1,5 kW</t>
  </si>
  <si>
    <t>2,2 kW</t>
  </si>
  <si>
    <t>3 kW</t>
  </si>
  <si>
    <t>4 kW</t>
  </si>
  <si>
    <t>5,5 kW</t>
  </si>
  <si>
    <t>7,5 kW</t>
  </si>
  <si>
    <t>11 kW</t>
  </si>
  <si>
    <t>15 kW</t>
  </si>
  <si>
    <t>18,5 kW</t>
  </si>
  <si>
    <t>22 kW</t>
  </si>
  <si>
    <t>30 kW</t>
  </si>
  <si>
    <t>37 kW</t>
  </si>
  <si>
    <t>Integración Climatizador BACnet MS/TP</t>
  </si>
  <si>
    <t>Integración Climatizador Modbus RTU</t>
  </si>
  <si>
    <t>NUM OPCIÓN</t>
  </si>
  <si>
    <t>CC</t>
  </si>
  <si>
    <t>45 kW</t>
  </si>
  <si>
    <t>55 kW</t>
  </si>
  <si>
    <t>75 kW</t>
  </si>
  <si>
    <t>90 kW</t>
  </si>
  <si>
    <t>110 kW</t>
  </si>
  <si>
    <t>132 kW</t>
  </si>
  <si>
    <t>0-2500 Pa</t>
  </si>
  <si>
    <t>A/C compuertas Free cooling contactos FDC</t>
  </si>
  <si>
    <t>Regulación copuertas Free cooling contactos FDC</t>
  </si>
  <si>
    <t>consigna</t>
  </si>
  <si>
    <t>co2</t>
  </si>
  <si>
    <t>no</t>
  </si>
  <si>
    <t>señal</t>
  </si>
  <si>
    <t>si</t>
  </si>
  <si>
    <t>interface</t>
  </si>
  <si>
    <t>fc termico</t>
  </si>
  <si>
    <t>fc entalpico</t>
  </si>
  <si>
    <t>AFTM-CO2-W</t>
  </si>
  <si>
    <t>SEÑAL</t>
  </si>
  <si>
    <t>0-10v / 4-20mA</t>
  </si>
  <si>
    <t>ED / SD</t>
  </si>
  <si>
    <t>ED / 0-10v</t>
  </si>
  <si>
    <t>Válvula 2 vías PI</t>
  </si>
  <si>
    <t>Válvula 2 vías PI FDL</t>
  </si>
  <si>
    <t>Válvula 3 vías mezcladora</t>
  </si>
  <si>
    <t>Regulación V2V proporcional Batería frío/calor</t>
  </si>
  <si>
    <t>Regulación V2V proporcional y feedback Batería frío/calor</t>
  </si>
  <si>
    <t>Regulación V2V proporcional Batería de frío</t>
  </si>
  <si>
    <t>Regulación V2V proporcional Batería de calor</t>
  </si>
  <si>
    <t>Regulación V2V proporcional y feedback Batería de frío</t>
  </si>
  <si>
    <t>Regulación V2V proporcional y feedback Batería de calor</t>
  </si>
  <si>
    <t>Regulación V2V proporcional Batería adicional</t>
  </si>
  <si>
    <t>Regulación V2V proporcional y feedback Batería adicional</t>
  </si>
  <si>
    <t>Regulación V2VPI proporcional Batería frío/calor</t>
  </si>
  <si>
    <t>Regulación V2VPI proporcional Batería de frío</t>
  </si>
  <si>
    <t>Regulación V2VPI proporcional Batería de calor</t>
  </si>
  <si>
    <t>Regulación V2VPI proporcional Batería adicional</t>
  </si>
  <si>
    <t>V2V proporcional EA feedback</t>
  </si>
  <si>
    <t>VG82B1S1N</t>
  </si>
  <si>
    <t>DN15+DN15</t>
  </si>
  <si>
    <t>DN20+DN15</t>
  </si>
  <si>
    <t>DN25+DN15</t>
  </si>
  <si>
    <t>DN25+DN20</t>
  </si>
  <si>
    <t>DN32+DN20</t>
  </si>
  <si>
    <t>DN40+DN25</t>
  </si>
  <si>
    <t>DN40+DN32</t>
  </si>
  <si>
    <t>DN40+DN40</t>
  </si>
  <si>
    <t>DN50+DN40</t>
  </si>
  <si>
    <t>DN50+DN50</t>
  </si>
  <si>
    <t>DN65+DN50</t>
  </si>
  <si>
    <t>DN65+DN65</t>
  </si>
  <si>
    <t>DN80+DN65</t>
  </si>
  <si>
    <t>DN100+DN65</t>
  </si>
  <si>
    <t>DN100+DN80</t>
  </si>
  <si>
    <t>DN100+DN100</t>
  </si>
  <si>
    <t>DN125+DN100</t>
  </si>
  <si>
    <t>DN125+DN125</t>
  </si>
  <si>
    <t>DN150+DN125</t>
  </si>
  <si>
    <t>DN150+DN150</t>
  </si>
  <si>
    <t>DN200+DN150</t>
  </si>
  <si>
    <t>Regulación V3VM proporcional Batería frío/calor</t>
  </si>
  <si>
    <t>Regulación V2VPI + V3VM proporcional Batería frío/calor</t>
  </si>
  <si>
    <t>Regulación V3VM proporcional y feedback Batería frío/calor</t>
  </si>
  <si>
    <t>Regulación V2VPI + V3VM proporcional y feedback Batería frío/calor</t>
  </si>
  <si>
    <t>Regulación V3VM proporcional Batería de frío</t>
  </si>
  <si>
    <t>Regulación V2VPI + V3VM proporcional Batería de frío</t>
  </si>
  <si>
    <t>Regulación V3VM proporcional Batería de calor</t>
  </si>
  <si>
    <t>Regulación V2VPI + V3VM proporcional Batería de calor</t>
  </si>
  <si>
    <t>Regulación V3VM proporcional y feedback Batería de frío</t>
  </si>
  <si>
    <t>Regulación V2VPI + V3VM proporcional y feedback Batería de frío</t>
  </si>
  <si>
    <t>Regulación V3VM proporcional y feedback Batería de calor</t>
  </si>
  <si>
    <t>Regulación V2VPI + V3VM proporcional y feedback Batería de calor</t>
  </si>
  <si>
    <t>Regulación V3VM proporcional Batería adicional</t>
  </si>
  <si>
    <t>Regulación V2VPI + V3VM proporcional Batería adicional</t>
  </si>
  <si>
    <t>Regulación V3VM proporcional y feedback Batería adicional</t>
  </si>
  <si>
    <t>Regulación V2VPI + V3VM proporcional y feedback Batería adicional</t>
  </si>
  <si>
    <t>V3VM proporcional</t>
  </si>
  <si>
    <t>V2V PI y V3VM proporcional</t>
  </si>
  <si>
    <t>V3VM proporcional EA feedback</t>
  </si>
  <si>
    <t>V2V PI y V3VM proporcional EA feedback</t>
  </si>
  <si>
    <t>Alarma</t>
  </si>
  <si>
    <t>Lectura analógica</t>
  </si>
  <si>
    <t>Presión filtro sucio</t>
  </si>
  <si>
    <t>Presión prefiltro sucio</t>
  </si>
  <si>
    <t>ClimatizadorSensoresFiltrajeFiltro sucioAlarma</t>
  </si>
  <si>
    <t>ClimatizadorSensoresFiltrajePrefiltro sucioAlarma</t>
  </si>
  <si>
    <t>ClimatizadorSensoresFiltrajeFiltro sucioLectura analógica</t>
  </si>
  <si>
    <t>ClimatizadorSensoresFiltrajePrefiltro sucioLectura analógica</t>
  </si>
  <si>
    <t>Lectura temperatura y CO2 Conducto impulsion</t>
  </si>
  <si>
    <t>ClimatizadorSensoresImpulsiónTemperaturaCO2</t>
  </si>
  <si>
    <t>ClimatizadorSensoresImpulsiónTemperaturaHumedadCO2</t>
  </si>
  <si>
    <t>Lectura temperatura, humedad y CO2 Conducto impulsión</t>
  </si>
  <si>
    <t>Lectura CO2 Conducto impulsión</t>
  </si>
  <si>
    <t>ClimatizadorSensoresImpulsiónCO2</t>
  </si>
  <si>
    <t>0,075-0,1185 m3/h</t>
  </si>
  <si>
    <t>SCD-200-E00-00</t>
  </si>
  <si>
    <t>SCD-201-E00-00</t>
  </si>
  <si>
    <t>SCD-220-E00-00</t>
  </si>
  <si>
    <t>SCD-221-E00-00</t>
  </si>
  <si>
    <t>SCD-310-E00-00</t>
  </si>
  <si>
    <t>SCD-311-E00-00</t>
  </si>
  <si>
    <t>SCD-3B0-E00-00</t>
  </si>
  <si>
    <t>SCD-3M0-E00-00</t>
  </si>
  <si>
    <t>Warmer/Cooler interface</t>
  </si>
  <si>
    <t>NSB8BHC140-0</t>
  </si>
  <si>
    <t>mostrar interface</t>
  </si>
  <si>
    <t>no mostrar interface</t>
  </si>
  <si>
    <t>por consigna</t>
  </si>
  <si>
    <t>temp+co2</t>
  </si>
  <si>
    <t>mostrar señal</t>
  </si>
  <si>
    <t>No mostrar señal</t>
  </si>
  <si>
    <t>Exterior</t>
  </si>
  <si>
    <t>Lectura temperatura, humedad y CO2 exterior</t>
  </si>
  <si>
    <t>ClimatizadorSensoresExteriorTemperatura</t>
  </si>
  <si>
    <t>ClimatizadorSensoresExteriorTemperaturaHumedad</t>
  </si>
  <si>
    <t>ClimatizadorSensoresExteriorTemperaturaCO2</t>
  </si>
  <si>
    <t>ClimatizadorSensoresExteriorTemperaturaHumedadCO2</t>
  </si>
  <si>
    <t>Lectura temperatura exterior</t>
  </si>
  <si>
    <t>Lectura temperatura y humedad exterior</t>
  </si>
  <si>
    <t>Lectura temperatura y CO2 exterior</t>
  </si>
  <si>
    <t>Presión</t>
  </si>
  <si>
    <t>Lectura presión Ambiente</t>
  </si>
  <si>
    <t>Lectura presión Conducto retorno</t>
  </si>
  <si>
    <t>Lectura presión Conducto impulsión</t>
  </si>
  <si>
    <t>EU</t>
  </si>
  <si>
    <t>SC</t>
  </si>
  <si>
    <t>TOTAL</t>
  </si>
  <si>
    <t>M4-CGE04060-0</t>
  </si>
  <si>
    <t>M4-CGE09090-0</t>
  </si>
  <si>
    <t>M4-CGE09090-0H</t>
  </si>
  <si>
    <t>LC-ATC1510-0</t>
  </si>
  <si>
    <t>M4-CGM04060-0</t>
  </si>
  <si>
    <t>M4-CGM09090-0</t>
  </si>
  <si>
    <t>M4-CGM09090-0H</t>
  </si>
  <si>
    <t>M4-XPM04060-0</t>
  </si>
  <si>
    <t>M4-XPM09090-0</t>
  </si>
  <si>
    <t>M4-XPM18000-0</t>
  </si>
  <si>
    <t xml:space="preserve">SEÑALES
</t>
  </si>
  <si>
    <t xml:space="preserve">TOTAL
</t>
  </si>
  <si>
    <t xml:space="preserve">RESERVA %
</t>
  </si>
  <si>
    <t xml:space="preserve">SISTEMA
</t>
  </si>
  <si>
    <t xml:space="preserve">MATERIALES
</t>
  </si>
  <si>
    <t xml:space="preserve">CANT
</t>
  </si>
  <si>
    <t>Nombre sistema</t>
  </si>
  <si>
    <t>Señales Reserva</t>
  </si>
  <si>
    <t>Total Diseño</t>
  </si>
  <si>
    <t>Capacidad Solución</t>
  </si>
  <si>
    <t>Señales Libres</t>
  </si>
  <si>
    <t>Total Sistema</t>
  </si>
  <si>
    <t>M4-CGEx</t>
  </si>
  <si>
    <t>LC-ATC1510x</t>
  </si>
  <si>
    <t>M4-CGMx</t>
  </si>
  <si>
    <t>M4-CGEx Display</t>
  </si>
  <si>
    <t>M4-CGMx Display</t>
  </si>
  <si>
    <t>SI($G104&gt;0;SI(Y($G104&gt;0;IZQUIERDA($A103;7)="M4-CGEx";ESERROR(ENCONTRAR("display";$A103));Y(C104&lt;=SUMA($C$2:$D$2);SUMA(C104:D104)&lt;=SUMA($C$2:$E$2);E104&lt;=SUMA($F$2:$G$2);SUMA(E104:F104)&lt;=SUMA($F$2:$H$2)));1;0);0)</t>
  </si>
  <si>
    <t>SI($G104&gt;0;SI(Y(IZQUIERDA($A103;7)="M4-CGEx";ESERROR(ENCONTRAR("display";$A103));$AC102=0);SI(O(A104&lt;&gt;"";A105&lt;&gt;"");REDONDEAR.MAS(MAX(SI.ERROR(G104/A104;0);SI.ERROR(E104/A105;0));0);1);0);0)</t>
  </si>
  <si>
    <t>SI($G104&gt;0;SI(Y(IZQUIERDA($A103;7)="M4-CGEx";NO(ESERROR(ENCONTRAR("display";$A103)));$AC102=0);SI(O(A104&lt;&gt;"";A105&lt;&gt;"");REDONDEAR.MAS(MAX(SI.ERROR(G104/A104;0);SI.ERROR(E104/A105;0));0);1);0);0)</t>
  </si>
  <si>
    <t>SI($G104&gt;0;SI($A103="LC-ATC1510x";SI(O(A104&lt;&gt;"";A105&lt;&gt;"");REDONDEAR.MAS(MAX(SI.ERROR(G104/A104;0);SI.ERROR(E104/A105;0));0);1);0);0)</t>
  </si>
  <si>
    <t>SI($G104&gt;0;SI(Y($G104&gt;0;IZQUIERDA($A103;7)="M4-CGMx";ESERROR(ENCONTRAR("display";$A103));Y(C104&lt;=SUMA($C$6:$D$6);SUMA(C104:D104)&lt;=SUMA($C$6:$E$6);E104&lt;=SUMA($F$6:$G$6);SUMA(E104:F104)&lt;=SUMA($F$6:$H$6)));1;0);0)</t>
  </si>
  <si>
    <t>SI($G104&gt;0;SI(Y(IZQUIERDA($A103;7)="M4-CGMx";ESERROR(ENCONTRAR("display";$A103));$AG102=0);SI(O(A104&lt;&gt;"";A105&lt;&gt;"");REDONDEAR.MAS(MAX(SI.ERROR(G104/A104;0);SI.ERROR(E104/A105;0));0);1);0);0)</t>
  </si>
  <si>
    <t>SI($G104&gt;0;SI(Y(IZQUIERDA($A103;7)="M4-CGMx";NO(ESERROR(ENCONTRAR("display";$A103)));$AG102=0);SI(O(A104&lt;&gt;"";A105&lt;&gt;"");REDONDEAR.MAS(MAX(SI.ERROR(G104/A104;0);SI.ERROR(E104/A105;0));0);1);0);0)</t>
  </si>
  <si>
    <t>SI($G104&gt;0;MAX(SI((C104-EA_y_EU_ControladoresPrevios)/BUSCARX($AK$101;TablaControladores[CONTROLADOR];TablaControladores[EU])&gt;0;REDONDEAR.MAS((C104-EA_y_EU_ControladoresPrevios)/BUSCARX($AK$101;TablaControladores[CONTROLADOR];TablaControladores[EU]);0);0);MIN(SI(E104-SA_Y_SC_ControladoresPrevios-(BUSCARX($AK$101;TablaControladores[CONTROLADOR];TablaControladores[SA])+BUSCARX($AK$101;TablaControladores[CONTROLADOR];TablaControladores[SC]))*SECUENCIA(90;1;0;1)&gt;0;"";SECUENCIA(90;1;0;1)));MIN(SI(F104-SC_Y_SD_ControladoresPrevios-(BUSCARX($AK$101;TablaControladores[CONTROLADOR];TablaControladores[SC])+BUSCARX($AK$101;TablaControladores[CONTROLADOR];TablaControladores[SD]))*SECUENCIA(90;1;0;1)&gt;0;"";SECUENCIA(90;1;0;1)));MIN(SI(SUMA(E104:F104)-Salidas_ControladoresPrevios-(BUSCARX($AK$101;TablaControladores[CONTROLADOR];TablaControladores[SA])+BUSCARX($AK$101;TablaControladores[CONTROLADOR];TablaControladores[SC])+BUSCARX($AK$101;TablaControladores[CONTROLADOR];TablaControladores[SD]))*SECUENCIA(90;1;0;1)&gt;0;"";SECUENCIA(90;1;0;1))));0)</t>
  </si>
  <si>
    <t>SI($G104&gt;0;SI(SUMA(C104:D104)&gt;=Entradas_ControladoresPrevios;REDONDEAR.MAS((SUMA(C104:D104)-Entradas_ControladoresPrevios)/BUSCARX($AL$101;TablaControladores[CONTROLADOR];TablaControladores[ED]);0);0);0)</t>
  </si>
  <si>
    <t>M4-SNC16122-04</t>
  </si>
  <si>
    <t>M4-SNE10502-0</t>
  </si>
  <si>
    <t>M4-SNE11002-0</t>
  </si>
  <si>
    <t>M4-SNE22002-0</t>
  </si>
  <si>
    <t>OBJETOS</t>
  </si>
  <si>
    <t>DISPOSITIVOS TOTAL</t>
  </si>
  <si>
    <t>BUS BACNET MS/TP</t>
  </si>
  <si>
    <t>BUS BACNET IP</t>
  </si>
  <si>
    <t>DISPOSITIVOS BACNET MS/TP JC</t>
  </si>
  <si>
    <t>DISPOSITIVOS BACNET MS/TP COMPATIBLES</t>
  </si>
  <si>
    <t>MS-ADS05U-0</t>
  </si>
  <si>
    <t>MS-ADS05U-6</t>
  </si>
  <si>
    <t>MS-ADS05U-8</t>
  </si>
  <si>
    <t>MS-ADSLE5U-0</t>
  </si>
  <si>
    <t>MS-ADSLE5U-6</t>
  </si>
  <si>
    <t>MS-ADX100SQL2-0</t>
  </si>
  <si>
    <t>MS-ADX100SQL2-6</t>
  </si>
  <si>
    <t>MS-ADX100SQL2-8</t>
  </si>
  <si>
    <t>MS-ADX100U-0</t>
  </si>
  <si>
    <t>MS-ADX100U-6</t>
  </si>
  <si>
    <t>MS-ADX100U-8</t>
  </si>
  <si>
    <t>MS-ADX10SQL-0</t>
  </si>
  <si>
    <t>MS-ADX10SQL-6</t>
  </si>
  <si>
    <t>MS-ADX10SQL-8</t>
  </si>
  <si>
    <t>MS-ADX10U-0</t>
  </si>
  <si>
    <t>MS-ADX10U-6</t>
  </si>
  <si>
    <t>MS-ADX10U-8</t>
  </si>
  <si>
    <t>MS-ADX25SQL-0</t>
  </si>
  <si>
    <t>MS-ADX25SQL-6</t>
  </si>
  <si>
    <t>MS-ADX25SQL-8</t>
  </si>
  <si>
    <t>MS-ADX25U-0</t>
  </si>
  <si>
    <t>MS-ADX25U-6</t>
  </si>
  <si>
    <t>MS-ADX25U-8</t>
  </si>
  <si>
    <t>MS-ADX50SQL2-0</t>
  </si>
  <si>
    <t>MS-ADX50SQL2-6</t>
  </si>
  <si>
    <t>MS-ADX50SQL2-8</t>
  </si>
  <si>
    <t>MS-ADX50U-0</t>
  </si>
  <si>
    <t>MS-ADX50U-6</t>
  </si>
  <si>
    <t>MS-ADX50U-8</t>
  </si>
  <si>
    <t>SUPERVISORES ADMITIDOS</t>
  </si>
  <si>
    <t>NÚMERO DE MAESTROS</t>
  </si>
  <si>
    <t>DISPOSIT. MSTP JC</t>
  </si>
  <si>
    <t>DISPOSIT COMPATIBLES</t>
  </si>
  <si>
    <t>DISPOSIT. OTROS</t>
  </si>
  <si>
    <t>BUSES MSTP</t>
  </si>
  <si>
    <t>BUSES OBJETOS</t>
  </si>
  <si>
    <t>TOTAL DISPOSITIVOS</t>
  </si>
  <si>
    <t>Actualización</t>
  </si>
  <si>
    <t>Migración</t>
  </si>
  <si>
    <t>SQL</t>
  </si>
  <si>
    <t>Incluido</t>
  </si>
  <si>
    <t>Excluido</t>
  </si>
  <si>
    <t>MAESTRO</t>
  </si>
  <si>
    <t>DISPOSITIVOS BACNET IP</t>
  </si>
  <si>
    <t>COSTE</t>
  </si>
  <si>
    <t>NÚMERO DE SUPERVISORES</t>
  </si>
  <si>
    <t>IMPLANTACIÓN</t>
  </si>
  <si>
    <t>ADMITIDO ADSLITE</t>
  </si>
  <si>
    <t>PC SOBREMESA</t>
  </si>
  <si>
    <t>PCMETASYS</t>
  </si>
  <si>
    <t>PCMETASYS_i7</t>
  </si>
  <si>
    <t>PCMWA</t>
  </si>
  <si>
    <t>COMPLEMENTOS</t>
  </si>
  <si>
    <t>TL-BUNDLEMS-0</t>
  </si>
  <si>
    <t>N/A</t>
  </si>
  <si>
    <t>M-bus</t>
  </si>
  <si>
    <t>JC-GTW11002-0</t>
  </si>
  <si>
    <t>ACC-USBMBUS-0</t>
  </si>
  <si>
    <t>PROTOCOLO</t>
  </si>
  <si>
    <t>CAPACIDAD DISPOSITIVOS</t>
  </si>
  <si>
    <t>Nueva</t>
  </si>
  <si>
    <t>INGENIERÍA (horas)</t>
  </si>
  <si>
    <t>SUPERVISORES</t>
  </si>
  <si>
    <t>CONTROLADORES DISTRIBUIDOS</t>
  </si>
  <si>
    <t>CONTROLADORES DE FANCOIL</t>
  </si>
  <si>
    <t>CUADROS DE CONTROL</t>
  </si>
  <si>
    <t>SENSORES</t>
  </si>
  <si>
    <t>VÁLVULAS</t>
  </si>
  <si>
    <t>CONTADORES DE ENERGÍA</t>
  </si>
  <si>
    <t>VARIADORES DE FRECUENCIA</t>
  </si>
  <si>
    <t>INTEGRACIONES</t>
  </si>
  <si>
    <t>INSTALACION Y CABLEADO</t>
  </si>
  <si>
    <t>INGENIERÍA</t>
  </si>
  <si>
    <t>OTROS</t>
  </si>
  <si>
    <t>PROPIEDAD</t>
  </si>
  <si>
    <t>INGENIERIA</t>
  </si>
  <si>
    <t>CONSTRUCTORA</t>
  </si>
  <si>
    <t>INSTALADORA</t>
  </si>
  <si>
    <t>detalle:</t>
  </si>
  <si>
    <t>carpeta</t>
  </si>
  <si>
    <t>ref1</t>
  </si>
  <si>
    <t>ref2</t>
  </si>
  <si>
    <t>ref3</t>
  </si>
  <si>
    <t>material</t>
  </si>
  <si>
    <t>coste</t>
  </si>
  <si>
    <t>neto</t>
  </si>
  <si>
    <t>mg</t>
  </si>
  <si>
    <t>instalacion</t>
  </si>
  <si>
    <t>ingenieria</t>
  </si>
  <si>
    <t>origen</t>
  </si>
  <si>
    <t>RDP15</t>
  </si>
  <si>
    <t>RDP18</t>
  </si>
  <si>
    <t>Controladores distribuidos - Instaladora</t>
  </si>
  <si>
    <t>RDP42</t>
  </si>
  <si>
    <t>Instalación / Instaladora</t>
  </si>
  <si>
    <t>categoría</t>
  </si>
  <si>
    <t>CONTROLADOR DISTRIBUIDO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</si>
</sst>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€&quot;* #,##0.00_);_(&quot;€&quot;* \(#,##0.00\);_(&quot;€&quot;* &quot;-&quot;??_);_(@_)"/>
    <numFmt numFmtId="165" formatCode="&quot;Máximo de &quot;#&quot; señales por sistema&quot;"/>
    <numFmt numFmtId="166" formatCode="&quot;Máximo de &quot;#&quot; SA por sistema&quot;"/>
    <numFmt numFmtId="167" formatCode="#,##0.00\ &quot;€&quot;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</cellStyleXfs>
  <cellXfs count="32">
    <xf numFmtId="0" fontId="0" fillId="0" borderId="0" xfId="0"/>
    <xf numFmtId="9" fontId="0" fillId="0" borderId="0" xfId="0" applyNumberFormat="1"/>
    <xf numFmtId="49" fontId="0" fillId="0" borderId="0" xfId="0" applyNumberFormat="1"/>
    <xf numFmtId="0" fontId="2" fillId="0" borderId="0" xfId="1" applyProtection="1">
      <protection hidden="1"/>
    </xf>
    <xf numFmtId="0" fontId="2" fillId="3" borderId="1" xfId="1" applyFill="1" applyBorder="1" applyAlignment="1" applyProtection="1">
      <alignment horizontal="center"/>
      <protection hidden="1"/>
    </xf>
    <xf numFmtId="0" fontId="2" fillId="3" borderId="2" xfId="1" applyFill="1" applyBorder="1" applyProtection="1">
      <protection hidden="1"/>
    </xf>
    <xf numFmtId="0" fontId="2" fillId="3" borderId="3" xfId="1" applyFill="1" applyBorder="1" applyAlignment="1" applyProtection="1">
      <alignment horizontal="center"/>
      <protection hidden="1"/>
    </xf>
    <xf numFmtId="0" fontId="2" fillId="3" borderId="7" xfId="1" applyFill="1" applyBorder="1" applyProtection="1">
      <protection hidden="1"/>
    </xf>
    <xf numFmtId="0" fontId="2" fillId="3" borderId="8" xfId="1" applyFill="1" applyBorder="1" applyAlignment="1" applyProtection="1">
      <alignment horizontal="center"/>
      <protection hidden="1"/>
    </xf>
    <xf numFmtId="0" fontId="2" fillId="3" borderId="9" xfId="1" applyFill="1" applyBorder="1" applyAlignment="1" applyProtection="1">
      <alignment horizontal="center"/>
      <protection hidden="1"/>
    </xf>
    <xf numFmtId="0" fontId="3" fillId="2" borderId="4" xfId="1" applyFont="1" applyFill="1" applyBorder="1" applyAlignment="1" applyProtection="1">
      <alignment vertical="center"/>
      <protection hidden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0" fontId="3" fillId="2" borderId="6" xfId="1" applyFont="1" applyFill="1" applyBorder="1" applyAlignment="1" applyProtection="1">
      <alignment horizontal="center" vertical="center"/>
      <protection hidden="1"/>
    </xf>
    <xf numFmtId="0" fontId="2" fillId="0" borderId="0" xfId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9" fontId="0" fillId="0" borderId="0" xfId="2" applyFont="1" applyAlignment="1">
      <alignment horizontal="center"/>
    </xf>
    <xf numFmtId="0" fontId="2" fillId="0" borderId="0" xfId="1" quotePrefix="1" applyAlignment="1" applyProtection="1">
      <alignment horizontal="left"/>
      <protection hidden="1"/>
    </xf>
    <xf numFmtId="165" fontId="2" fillId="4" borderId="11" xfId="1" applyNumberFormat="1" applyFill="1" applyBorder="1" applyAlignment="1" applyProtection="1">
      <alignment horizontal="left"/>
      <protection locked="0"/>
    </xf>
    <xf numFmtId="166" fontId="2" fillId="4" borderId="10" xfId="1" applyNumberFormat="1" applyFill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left" textRotation="90"/>
    </xf>
    <xf numFmtId="0" fontId="0" fillId="0" borderId="0" xfId="1" applyFont="1" applyAlignment="1" applyProtection="1">
      <alignment horizontal="center"/>
      <protection hidden="1"/>
    </xf>
    <xf numFmtId="0" fontId="3" fillId="5" borderId="12" xfId="0" applyFont="1" applyFill="1" applyBorder="1"/>
    <xf numFmtId="0" fontId="3" fillId="5" borderId="13" xfId="0" applyFont="1" applyFill="1" applyBorder="1" applyAlignment="1">
      <alignment wrapText="1"/>
    </xf>
    <xf numFmtId="0" fontId="0" fillId="3" borderId="2" xfId="1" applyFont="1" applyFill="1" applyBorder="1" applyProtection="1">
      <protection hidden="1"/>
    </xf>
    <xf numFmtId="164" fontId="0" fillId="0" borderId="0" xfId="3" applyFont="1"/>
    <xf numFmtId="0" fontId="3" fillId="5" borderId="0" xfId="0" applyFont="1" applyFill="1" applyAlignment="1">
      <alignment wrapText="1"/>
    </xf>
    <xf numFmtId="164" fontId="0" fillId="0" borderId="0" xfId="0" applyNumberFormat="1"/>
    <xf numFmtId="167" fontId="0" fillId="0" borderId="0" xfId="0" applyNumberFormat="1"/>
    <xf numFmtId="9" fontId="0" fillId="0" borderId="0" xfId="2" applyFont="1"/>
    <xf numFmtId="9" fontId="0" fillId="0" borderId="0" xfId="2" applyFont="1" applyAlignment="1">
      <alignment wrapText="1"/>
    </xf>
  </cellXfs>
  <cellStyles count="5">
    <cellStyle name="Moneda" xfId="3" builtinId="4"/>
    <cellStyle name="Normal" xfId="0" builtinId="0"/>
    <cellStyle name="Normal 2" xfId="4" xr:uid="{ECD79D26-12B4-42C2-AC92-87887BBAB857}"/>
    <cellStyle name="Normal 7" xfId="1" xr:uid="{5B720BAD-E206-4B81-8AB0-93D05C10F606}"/>
    <cellStyle name="Porcentaje" xfId="2" builtinId="5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€&quot;* #,##0.00_);_(&quot;€&quot;* \(#,##0.00\);_(&quot;€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ill>
        <patternFill patternType="solid">
          <fgColor indexed="64"/>
          <bgColor theme="3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numFmt numFmtId="30" formatCode="@"/>
    </dxf>
    <dxf>
      <alignment horizontal="centerContinuous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Johnson%20Controls/Equipo%20de%20estimaci&#243;n%20BMS%20-%20SDT-Tool/SDT-Tool%20v100.sdt" TargetMode="External"/><Relationship Id="rId2" Type="http://schemas.openxmlformats.org/officeDocument/2006/relationships/externalLinkPath" Target="file:///C:\Users\ccalpej\Johnson%20Controls\Equipo%20de%20estimaci&#243;n%20BMS%20-%20SDT-Tool\SDT-Tool%20v100.sdt" TargetMode="External"/><Relationship Id="rId1" Type="http://schemas.openxmlformats.org/officeDocument/2006/relationships/externalLinkPath" Target="/Users/ccalpej/Johnson%20Controls/Equipo%20de%20estimaci&#243;n%20BMS%20-%20SDT-Tool/SDT-Tool%20v100.sd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CANCE"/>
      <sheetName val="Instalación"/>
      <sheetName val="Periféricos"/>
      <sheetName val="BOQ"/>
      <sheetName val="DB CUSTOM"/>
      <sheetName val="DB PRODUCTOS"/>
      <sheetName val="Estructura BOQ"/>
      <sheetName val="Reglas de precio Local"/>
      <sheetName val="Personalización"/>
      <sheetName val="Controladores"/>
      <sheetName val="Integraciones"/>
      <sheetName val="Metasys"/>
      <sheetName val="Tablas Bussiness Logics"/>
      <sheetName val="Cuadros"/>
      <sheetName val="Reglas"/>
      <sheetName val="Subestaciones"/>
      <sheetName val="Configuración Sistema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Partidas individuales</v>
          </cell>
          <cell r="E2" t="str">
            <v>Partidas individuales</v>
          </cell>
        </row>
        <row r="3">
          <cell r="B3" t="str">
            <v>Agrupar</v>
          </cell>
          <cell r="C3" t="str">
            <v>Clásico2</v>
          </cell>
          <cell r="D3" t="str">
            <v>Subcapítulos</v>
          </cell>
          <cell r="F3" t="str">
            <v>Valorar instalación</v>
          </cell>
          <cell r="G3" t="str">
            <v>Prorratear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FACE3-F867-4A30-A6C3-AF2247BF4002}" name="TablaSistemas" displayName="TablaSistemas" ref="A1:M150" totalsRowShown="0">
  <autoFilter ref="A1:M150" xr:uid="{6545665D-0780-4CAD-B9A4-AEBC22E6E8E3}"/>
  <tableColumns count="13">
    <tableColumn id="1" xr3:uid="{98AB8AE0-AC8C-4290-B251-5E177F519E2F}" name="SISTEMA"/>
    <tableColumn id="2" xr3:uid="{92125DFB-63D0-4062-B63F-7C5266507E0C}" name="OPCIONES 1"/>
    <tableColumn id="3" xr3:uid="{500A5746-89C3-448E-A103-7C6254D4ACF1}" name="OPCIONES 2"/>
    <tableColumn id="4" xr3:uid="{3E6072F4-0268-4C2A-B2A2-F422AA747195}" name="OPCIONES 3"/>
    <tableColumn id="5" xr3:uid="{47330C0F-D75D-4297-979B-A6B7352A40BF}" name="OPCIONES 4"/>
    <tableColumn id="6" xr3:uid="{D16B34CE-6D57-4C7E-8D50-E194C4A218FF}" name="OPCIONES 5"/>
    <tableColumn id="7" xr3:uid="{ACD457DF-6CA4-4D41-BE76-5D3EAE1DFA14}" name="OPCIONES 6"/>
    <tableColumn id="20" xr3:uid="{1E636EEC-8318-4633-AE96-AA700C66157C}" name="NUM OPCIÓN"/>
    <tableColumn id="19" xr3:uid="{3CC9519C-70E4-4C6A-949F-6ECD594E92DD}" name="ORDEN"/>
    <tableColumn id="8" xr3:uid="{7E01017B-A159-4BC1-8948-85941A124A42}" name="DETALLE"/>
    <tableColumn id="9" xr3:uid="{79163C01-2C84-430E-9378-BF6ECABEA2FF}" name="TIPOLOGIA"/>
    <tableColumn id="10" xr3:uid="{4A5BD0D9-5A69-4032-BBC5-220B00EFF6B8}" name="CANT"/>
    <tableColumn id="12" xr3:uid="{F5FE35B4-B715-4644-937B-BC0346ABB426}" name="CODIFICACIÓN" dataDxfId="51">
      <calculatedColumnFormula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DCC394-8417-446D-926A-C2B812C6C2D8}" name="TablaCaracteristicasMateriales" displayName="TablaCaracteristicasMateriales" ref="A1:U887" totalsRowShown="0" headerRowDxfId="50">
  <autoFilter ref="A1:U887" xr:uid="{70DCC394-8417-446D-926A-C2B812C6C2D8}"/>
  <tableColumns count="21">
    <tableColumn id="1" xr3:uid="{1B1D3D3D-04B1-4929-A051-30629B9918AB}" name="CATEGORIA"/>
    <tableColumn id="2" xr3:uid="{036358C7-9BBB-4657-8264-57F154C1D2F8}" name="OPCIONES 1"/>
    <tableColumn id="3" xr3:uid="{2B0E4CF8-7CC8-4E17-BE8C-527EB486B346}" name="OPCIONES 2"/>
    <tableColumn id="4" xr3:uid="{2C345431-CE2F-429C-B1E9-33B56D93728A}" name="OPCIONES 3" dataDxfId="49"/>
    <tableColumn id="5" xr3:uid="{A04D74DA-4582-43E6-891F-073B2A747BAA}" name="OPCIONES 4"/>
    <tableColumn id="6" xr3:uid="{374A7D37-023E-49EC-BFE9-004498687069}" name="OPCIONES 5"/>
    <tableColumn id="7" xr3:uid="{E5F3C8FD-BF73-46B1-9D18-1A614016DC32}" name="OPCIONES 6"/>
    <tableColumn id="21" xr3:uid="{ABC416AB-7798-4868-9D18-C57A48696E8E}" name="SEÑAL"/>
    <tableColumn id="8" xr3:uid="{795D08D7-8B98-4196-A5F2-81322FC0286E}" name="EA"/>
    <tableColumn id="9" xr3:uid="{84F209A5-0B55-4711-9BE3-5DCD1A5FFE6C}" name="ED"/>
    <tableColumn id="10" xr3:uid="{9F1B5F1A-F398-4E44-BD3F-EED779C2D22A}" name="SA"/>
    <tableColumn id="11" xr3:uid="{559DECE4-F6E0-4E7F-8125-D474CDFA8F96}" name="SD"/>
    <tableColumn id="12" xr3:uid="{BC76DB56-9A9E-4EA6-AA86-6D2E9F5AA973}" name="SI"/>
    <tableColumn id="13" xr3:uid="{F06EBA8F-E942-43A2-9A1B-CC719477D3D3}" name="IRC"/>
    <tableColumn id="14" xr3:uid="{10B716D2-EC79-4726-B0A6-CCF5994F4BEC}" name="REFERENCIA"/>
    <tableColumn id="15" xr3:uid="{F4883D58-E272-4FC3-A2C1-167D347AB243}" name="ACCESORIOS 1"/>
    <tableColumn id="16" xr3:uid="{AA74DFE5-5848-4528-B3B3-12F72958B435}" name="CANT 1"/>
    <tableColumn id="17" xr3:uid="{720654EF-F7FB-422C-8316-62BCD25318F5}" name="ACCESORIOS 2"/>
    <tableColumn id="18" xr3:uid="{3BBBAF97-CD61-46AB-8073-B4EB6D1FFC43}" name="CANT 2"/>
    <tableColumn id="19" xr3:uid="{DD0E4644-A8D6-4813-A8E3-F8652B1B9C08}" name="ACCESORIOS 3"/>
    <tableColumn id="20" xr3:uid="{4309D35E-D4D1-4251-ABE4-463F6EA50C63}" name="CANT 3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794B55-94D6-47DE-81DF-F1BF1F2F8146}" name="TablaControladores" displayName="TablaControladores" ref="B1:I11" totalsRowShown="0" headerRowDxfId="48" dataDxfId="46" headerRowBorderDxfId="47" tableBorderDxfId="45" totalsRowBorderDxfId="44" headerRowCellStyle="Normal 7" dataCellStyle="Normal 7">
  <autoFilter ref="B1:I11" xr:uid="{6C794B55-94D6-47DE-81DF-F1BF1F2F8146}"/>
  <tableColumns count="8">
    <tableColumn id="1" xr3:uid="{C57F4FB1-0515-4AF4-95C1-B4022F925568}" name="REFERENCIA" dataDxfId="43" dataCellStyle="Normal 7"/>
    <tableColumn id="2" xr3:uid="{AA3FBBAE-AF59-4629-BF68-5FCE1BAB44CF}" name="EA" dataDxfId="42" dataCellStyle="Normal 7"/>
    <tableColumn id="3" xr3:uid="{37365A94-DE75-45CD-A8E2-27BB28030C3E}" name="EU" dataDxfId="41" dataCellStyle="Normal 7"/>
    <tableColumn id="4" xr3:uid="{16035435-660B-438B-9728-A76A231793A3}" name="ED" dataDxfId="40" dataCellStyle="Normal 7"/>
    <tableColumn id="5" xr3:uid="{8933C29D-82CA-460A-B234-F842B27AEA98}" name="SA" dataDxfId="39" dataCellStyle="Normal 7"/>
    <tableColumn id="6" xr3:uid="{EDEA5184-9A79-4A0C-AE03-7DA37084FF8B}" name="SC" dataDxfId="38" dataCellStyle="Normal 7"/>
    <tableColumn id="7" xr3:uid="{1304C596-AC98-4C9A-B093-61863AADE31C}" name="SD" dataDxfId="37" dataCellStyle="Normal 7"/>
    <tableColumn id="8" xr3:uid="{7006ADAE-7B92-4C5E-946C-066E894487BB}" name="TOTAL" dataDxfId="36" dataCellStyle="Normal 7">
      <calculatedColumnFormula>SUM(C2:H2)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3A4A66-FA2E-4FC8-958F-A350F4FFCEF3}" name="TablaSeleccionControladores" displayName="TablaSeleccionControladores" ref="Q110:AJ579" totalsRowShown="0" headerRowDxfId="35" dataDxfId="34">
  <autoFilter ref="Q110:AJ579" xr:uid="{E03A4A66-FA2E-4FC8-958F-A350F4FFCEF3}"/>
  <tableColumns count="20">
    <tableColumn id="1" xr3:uid="{CAC9C926-E7D1-4D0F-B0A9-4D3E980966A8}" name="ORDEN" dataDxfId="33">
      <calculatedColumnFormula>ROW()-110</calculatedColumnFormula>
    </tableColumn>
    <tableColumn id="2" xr3:uid="{1AB4D990-5F72-4D2F-9A87-73968A0AC3B3}" name="MAESTRO"/>
    <tableColumn id="4" xr3:uid="{FD23CB94-2323-4A35-B5FD-2C224C343B3A}" name="NÚMERO DE MAESTROS" dataDxfId="32">
      <calculatedColumnFormula>SUM(TablaSeleccionControladores[[#This Row],[M4-CGE04060-0]:[M4-CGM09090-0H]])</calculatedColumnFormula>
    </tableColumn>
    <tableColumn id="5" xr3:uid="{EEC3E392-74D0-4039-8C0D-13620100FAEA}" name="EA" dataDxfId="31">
      <calculatedColumnFormula array="1">SUM(_xlfn.XLOOKUP(TablaSeleccionControladores[[#Headers],[M4-CGE04060-0]:[M4-XPM18000-0]],TablaControladores[[REFERENCIA]:[REFERENCIA]],TablaControladores[EA])*$AA111:$AJ111)</calculatedColumnFormula>
    </tableColumn>
    <tableColumn id="6" xr3:uid="{722D7F79-BC31-45CC-9948-3100BB18789E}" name="EU" dataDxfId="30">
      <calculatedColumnFormula array="1">SUM(_xlfn.XLOOKUP(TablaSeleccionControladores[[#Headers],[M4-CGE04060-0]:[M4-XPM18000-0]],TablaControladores[[REFERENCIA]:[REFERENCIA]],TablaControladores[EU])*$AA111:$AJ111)</calculatedColumnFormula>
    </tableColumn>
    <tableColumn id="7" xr3:uid="{44F6F8E8-9B00-4FFF-A629-8F74B86E52DA}" name="ED" dataDxfId="29">
      <calculatedColumnFormula array="1">SUM(_xlfn.XLOOKUP(TablaSeleccionControladores[[#Headers],[M4-CGE04060-0]:[M4-XPM18000-0]],TablaControladores[[REFERENCIA]:[REFERENCIA]],TablaControladores[ED])*$AA111:$AJ111)</calculatedColumnFormula>
    </tableColumn>
    <tableColumn id="8" xr3:uid="{84D0500D-C1A8-41CA-86F1-CD6C4620FD70}" name="SA" dataDxfId="28">
      <calculatedColumnFormula array="1">SUM(_xlfn.XLOOKUP(TablaSeleccionControladores[[#Headers],[M4-CGE04060-0]:[M4-XPM18000-0]],TablaControladores[[REFERENCIA]:[REFERENCIA]],TablaControladores[SA])*$AA111:$AJ111)</calculatedColumnFormula>
    </tableColumn>
    <tableColumn id="9" xr3:uid="{02AD27BA-C97C-42C4-9912-0B265741200A}" name="SC" dataDxfId="27">
      <calculatedColumnFormula array="1">SUM(_xlfn.XLOOKUP(TablaSeleccionControladores[[#Headers],[M4-CGE04060-0]:[M4-XPM18000-0]],TablaControladores[[REFERENCIA]:[REFERENCIA]],TablaControladores[SC])*$AA111:$AJ111)</calculatedColumnFormula>
    </tableColumn>
    <tableColumn id="10" xr3:uid="{B2ACAD16-0247-46CA-AA80-986216929EB0}" name="SD" dataDxfId="26">
      <calculatedColumnFormula array="1">SUM(_xlfn.XLOOKUP(TablaSeleccionControladores[[#Headers],[M4-CGE04060-0]:[M4-XPM18000-0]],TablaControladores[[REFERENCIA]:[REFERENCIA]],TablaControladores[SD])*$AA111:$AJ111)</calculatedColumnFormula>
    </tableColumn>
    <tableColumn id="11" xr3:uid="{50EB5969-032A-4297-9518-AD4D1FCFABBB}" name="TOTAL" dataDxfId="25">
      <calculatedColumnFormula>SUM(TablaSeleccionControladores[[#This Row],[EA]:[SD]])</calculatedColumnFormula>
    </tableColumn>
    <tableColumn id="12" xr3:uid="{2429DE2A-18C3-42FB-AF8A-2C1B2D6FA044}" name="M4-CGE04060-0" dataDxfId="24"/>
    <tableColumn id="13" xr3:uid="{C908AE26-8B3F-4592-B5BB-4F2DB3B3E215}" name="M4-CGE09090-0" dataDxfId="23"/>
    <tableColumn id="14" xr3:uid="{0D6FF1D9-D78E-4499-BD00-17E4A356F9A4}" name="M4-CGE09090-0H" dataDxfId="22"/>
    <tableColumn id="15" xr3:uid="{478C94CF-EEA8-47BE-B97B-498D86431BF9}" name="LC-ATC1510-0" dataDxfId="21"/>
    <tableColumn id="16" xr3:uid="{098C12A1-7877-457F-9F77-BBC3859DD391}" name="M4-CGM04060-0" dataDxfId="20"/>
    <tableColumn id="17" xr3:uid="{41C49B35-36DF-4E94-90E9-96BFFF0014BC}" name="M4-CGM09090-0" dataDxfId="19"/>
    <tableColumn id="18" xr3:uid="{A9BE6004-57A6-44E4-BF0D-72F8E1F2B570}" name="M4-CGM09090-0H" dataDxfId="18"/>
    <tableColumn id="19" xr3:uid="{BAE802FC-7103-4DA4-805B-285B9F3C95CB}" name="M4-XPM04060-0" dataDxfId="17"/>
    <tableColumn id="20" xr3:uid="{A6FF4E82-9E39-4AF5-BB0E-E9817A99C173}" name="M4-XPM09090-0" dataDxfId="16"/>
    <tableColumn id="21" xr3:uid="{CF2ECB83-1FE2-4D8E-A1C5-331C5E18A0A6}" name="M4-XPM18000-0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3BCF46-B871-4D45-9642-BEF3D1ABB1E5}" name="TablaSupervisores" displayName="TablaSupervisores" ref="A1:I5" totalsRowShown="0" headerRowDxfId="14">
  <autoFilter ref="A1:I5" xr:uid="{E23BCF46-B871-4D45-9642-BEF3D1ABB1E5}"/>
  <tableColumns count="9">
    <tableColumn id="1" xr3:uid="{01A1330E-C77E-4A45-8A4B-5A52DC99C2F3}" name="REFERENCIA"/>
    <tableColumn id="2" xr3:uid="{9AC14273-2431-4B2B-B542-41372E36B69E}" name="BUS BACNET MS/TP"/>
    <tableColumn id="3" xr3:uid="{9C7E7542-C6DC-46AB-9612-74F6E1562617}" name="BUS BACNET IP"/>
    <tableColumn id="4" xr3:uid="{DB2A3FE3-C721-4E02-8D59-C12EAB1E0C06}" name="DISPOSITIVOS TOTAL"/>
    <tableColumn id="5" xr3:uid="{FB8FEC9A-EFFA-48BC-AA3F-814738A10453}" name="DISPOSITIVOS BACNET MS/TP JC"/>
    <tableColumn id="6" xr3:uid="{E4AE12A3-D38C-4E22-8025-87D36FE557DF}" name="DISPOSITIVOS BACNET MS/TP COMPATIBLES"/>
    <tableColumn id="7" xr3:uid="{7869E2D6-B4F8-4415-879E-FD9A323BE2A8}" name="DISPOSITIVOS BACNET IP"/>
    <tableColumn id="8" xr3:uid="{1E3AAC39-624C-4513-8229-C732AD26523A}" name="OBJETOS"/>
    <tableColumn id="9" xr3:uid="{A7635214-6DDC-4014-B695-F536854BFEF4}" name="COS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26C2D9-2BF8-417B-B330-0ECA74744F54}" name="TablaSeleccionSupervisores" displayName="TablaSeleccionSupervisores" ref="V1:AH495" totalsRowShown="0">
  <autoFilter ref="V1:AH495" xr:uid="{0826C2D9-2BF8-417B-B330-0ECA74744F54}"/>
  <sortState xmlns:xlrd2="http://schemas.microsoft.com/office/spreadsheetml/2017/richdata2" ref="V2:AH494">
    <sortCondition ref="V1:V494"/>
  </sortState>
  <tableColumns count="13">
    <tableColumn id="12" xr3:uid="{259136BF-86E7-492F-85AD-A25B185D227F}" name="ORDEN"/>
    <tableColumn id="2" xr3:uid="{6CFD6912-477B-4AB5-B89C-EB2B9260E8D7}" name="DISPOSITIVOS TOTAL" dataDxfId="13">
      <calculatedColumnFormula array="1">SUM(TablaSupervisores[DISPOSITIVOS TOTAL]*INDEX(TablaSeleccionSupervisores[],ROW(TablaSeleccionSupervisores[[#This Row],[ORDEN]])-1,_xlfn.XMATCH(TablaSupervisores[REFERENCIA],TablaSeleccionSupervisores[#Headers])))</calculatedColumnFormula>
    </tableColumn>
    <tableColumn id="3" xr3:uid="{8B6C0909-F092-41B1-8E73-D880456FAA42}" name="DISPOSITIVOS BACNET MS/TP JC" dataDxfId="12">
      <calculatedColumnFormula array="1">SUM(TablaSupervisores[DISPOSITIVOS BACNET MS/TP JC]*INDEX(TablaSeleccionSupervisores[],ROW(TablaSeleccionSupervisores[[#This Row],[ORDEN]])-1,_xlfn.XMATCH(TablaSupervisores[REFERENCIA],TablaSeleccionSupervisores[#Headers])))</calculatedColumnFormula>
    </tableColumn>
    <tableColumn id="4" xr3:uid="{62F70CA8-678B-4349-9495-4E2087A25F5F}" name="DISPOSITIVOS BACNET MS/TP COMPATIBLES" dataDxfId="11">
      <calculatedColumnFormula array="1">SUM(TablaSupervisores[DISPOSITIVOS BACNET MS/TP COMPATIBLES]*INDEX(TablaSeleccionSupervisores[],ROW(TablaSeleccionSupervisores[[#This Row],[ORDEN]])-1,_xlfn.XMATCH(TablaSupervisores[REFERENCIA],TablaSeleccionSupervisores[#Headers])))</calculatedColumnFormula>
    </tableColumn>
    <tableColumn id="11" xr3:uid="{CD946DA7-AACD-4B95-91CE-70279B6D87D4}" name="DISPOSITIVOS BACNET IP" dataDxfId="10">
      <calculatedColumnFormula array="1">SUM(TablaSupervisores[DISPOSITIVOS BACNET IP]*INDEX(TablaSeleccionSupervisores[],ROW(TablaSeleccionSupervisores[[#This Row],[ORDEN]])-1,_xlfn.XMATCH(TablaSupervisores[REFERENCIA],TablaSeleccionSupervisores[#Headers])))</calculatedColumnFormula>
    </tableColumn>
    <tableColumn id="5" xr3:uid="{9678B3CE-3DAA-4966-8858-CE264ABB7B06}" name="OBJETOS" dataDxfId="9">
      <calculatedColumnFormula array="1">SUM(TablaSupervisores[OBJETOS]*INDEX(TablaSeleccionSupervisores[],ROW(TablaSeleccionSupervisores[[#This Row],[ORDEN]])-1,_xlfn.XMATCH(TablaSupervisores[REFERENCIA],TablaSeleccionSupervisores[#Headers])))</calculatedColumnFormula>
    </tableColumn>
    <tableColumn id="6" xr3:uid="{66F5659C-C2F3-45EB-8E88-00048565C6FB}" name="COSTE" dataDxfId="8">
      <calculatedColumnFormula array="1">SUM(TablaSupervisores[COSTE]*INDEX(TablaSeleccionSupervisores[],ROW(TablaSeleccionSupervisores[[#This Row],[ORDEN]])-1,_xlfn.XMATCH(TablaSupervisores[REFERENCIA],TablaSeleccionSupervisores[#Headers])))</calculatedColumnFormula>
    </tableColumn>
    <tableColumn id="13" xr3:uid="{BEFB9EA6-3F0B-42FA-B33D-037E814ECE88}" name="NÚMERO DE SUPERVISORES" dataDxfId="7">
      <calculatedColumnFormula array="1">SUM(INDEX(TablaSeleccionSupervisores[],ROW(TablaSeleccionSupervisores[[#This Row],[ORDEN]])-1,_xlfn.XMATCH(TablaSupervisores[REFERENCIA],TablaSeleccionSupervisores[#Headers])))</calculatedColumnFormula>
    </tableColumn>
    <tableColumn id="14" xr3:uid="{67EB15EB-543F-4BE9-8B11-4B1CD21FF0D2}" name="ADMITIDO ADSLITE" dataDxfId="6">
      <calculatedColumnFormula array="1">IF(INDEX(TablaSeleccionSupervisores[],ROW(TablaSeleccionSupervisores[[#This Row],[ORDEN]])-1,_xlfn.XMATCH("ADMITIDO ADSLITE",TablaSeleccionSupervisores[#Headers])+1)=0,"Sí admitido","No admitido")</calculatedColumnFormula>
    </tableColumn>
    <tableColumn id="1" xr3:uid="{C8C674BE-773A-4F48-A8CB-8CBFD05B6DEC}" name="M4-SNE22002-0"/>
    <tableColumn id="16" xr3:uid="{639DCEDA-014F-4902-ADA7-455C7332DD51}" name="M4-SNE11002-0"/>
    <tableColumn id="17" xr3:uid="{3C1EF224-41F8-4C50-979E-3A760E484F09}" name="M4-SNE10502-0"/>
    <tableColumn id="7" xr3:uid="{9A1E5305-417F-4228-AD7B-E5A57535B43A}" name="M4-SNC16122-0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7600EE-E72D-48F3-B971-2A145E95D978}" name="TablaSoftwareMetasys" displayName="TablaSoftwareMetasys" ref="L1:T30" totalsRowShown="0">
  <autoFilter ref="L1:T30" xr:uid="{707600EE-E72D-48F3-B971-2A145E95D978}"/>
  <tableColumns count="9">
    <tableColumn id="7" xr3:uid="{BEC0F124-2053-4D32-A734-CF3FACE90A5B}" name="ORDEN" dataDxfId="5"/>
    <tableColumn id="1" xr3:uid="{E7591660-E5A9-4C6F-8CAF-24A9D1167200}" name="REFERENCIA"/>
    <tableColumn id="2" xr3:uid="{1EE4D0A8-B3E0-4D4B-9130-CFCD904C39EA}" name="IMPLANTACIÓN"/>
    <tableColumn id="4" xr3:uid="{AB6488B8-000D-4EC2-9A9A-1E7B32E4D626}" name="SQL"/>
    <tableColumn id="3" xr3:uid="{3AFA5DAD-D511-4D53-8DFB-499B3CCD7680}" name="SUPERVISORES ADMITIDOS"/>
    <tableColumn id="5" xr3:uid="{366A3A86-B1FE-4A4C-8DDD-564E25A49637}" name="COSTE" dataCellStyle="Moneda"/>
    <tableColumn id="9" xr3:uid="{A69EC27C-2A0F-4BEA-A8BE-9FE03EDAD3F6}" name="INGENIERÍA (horas)" dataDxfId="4" dataCellStyle="Moneda"/>
    <tableColumn id="6" xr3:uid="{F28CCDFE-21FE-43D5-B79A-F764F7472A26}" name="PC SOBREMESA"/>
    <tableColumn id="8" xr3:uid="{A2F0E978-5665-4B46-853F-BE4F51AEAF76}" name="COMPLEMENTO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DF3B36-A01B-413B-B632-978CEEE029FA}" name="TablaConversores" displayName="TablaConversores" ref="AK1:AM3" totalsRowShown="0">
  <autoFilter ref="AK1:AM3" xr:uid="{14DF3B36-A01B-413B-B632-978CEEE029FA}"/>
  <tableColumns count="3">
    <tableColumn id="1" xr3:uid="{C071ABB3-2CE5-4A79-8699-FA8EB048260B}" name="PROTOCOLO"/>
    <tableColumn id="10" xr3:uid="{A53EAE9A-624D-44DD-AA39-9599B42A036F}" name="REFERENCIA"/>
    <tableColumn id="9" xr3:uid="{A9AC933C-01A8-42D6-B9B7-F2B21027B095}" name="CAPACIDAD DISPOSITIV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06DF03-AA56-46A4-BBA6-EEDBC839717C}" name="TablaReglasDePrecio" displayName="TablaReglasDePrecio" ref="A1:E13" totalsRowShown="0" dataDxfId="3" dataCellStyle="Porcentaje">
  <autoFilter ref="A1:E13" xr:uid="{A70FAFAC-DAAF-4B2A-82C5-D3800249C60A}"/>
  <tableColumns count="5">
    <tableColumn id="1" xr3:uid="{C02B4F38-137D-4455-A480-3CDEAF3EB357}" name="CATEGORIA"/>
    <tableColumn id="4" xr3:uid="{A7F30787-B1D7-4653-8277-FB9AA37C2C7E}" name="PROPIEDAD" dataDxfId="2" dataCellStyle="Porcentaje">
      <calculatedColumnFormula>TablaReglasDePrecio[[#This Row],[INGENIERIA]]+0.1</calculatedColumnFormula>
    </tableColumn>
    <tableColumn id="5" xr3:uid="{098A02FA-9547-427E-96B6-E4B4DEF73313}" name="INGENIERIA">
      <calculatedColumnFormula>TablaReglasDePrecio[[#This Row],[CONSTRUCTORA]]+0.05</calculatedColumnFormula>
    </tableColumn>
    <tableColumn id="6" xr3:uid="{B52601A4-5393-48B7-B205-48E05359DD2E}" name="CONSTRUCTORA" dataDxfId="1" dataCellStyle="Porcentaje">
      <calculatedColumnFormula>TablaReglasDePrecio[[#This Row],[INSTALADORA]]+0.05</calculatedColumnFormula>
    </tableColumn>
    <tableColumn id="7" xr3:uid="{B233163C-ABD3-4DEB-8586-BE29DF693F62}" name="INSTALADORA" dataDxfId="0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F6E2A0-0B68-423C-A368-C42747E605C2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94059b9f-acf8-45d0-8c23-99434d894e4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3807-8446-4987-98DA-66EA245D86C8}">
  <sheetPr codeName="Hoja2"/>
  <dimension ref="A1:O150"/>
  <sheetViews>
    <sheetView topLeftCell="F1" zoomScale="85" zoomScaleNormal="85" workbookViewId="0">
      <pane ySplit="1" topLeftCell="A96" activePane="bottomLeft" state="frozen"/>
      <selection pane="bottomLeft" activeCell="E125" sqref="A125:XFD125"/>
    </sheetView>
  </sheetViews>
  <sheetFormatPr baseColWidth="10" defaultRowHeight="15" x14ac:dyDescent="0.25"/>
  <cols>
    <col min="1" max="1" width="12.28515625" bestFit="1" customWidth="1"/>
    <col min="2" max="2" width="19.85546875" bestFit="1" customWidth="1"/>
    <col min="3" max="3" width="24.5703125" bestFit="1" customWidth="1"/>
    <col min="4" max="4" width="28.7109375" bestFit="1" customWidth="1"/>
    <col min="5" max="5" width="16.28515625" bestFit="1" customWidth="1"/>
    <col min="6" max="6" width="14.28515625" customWidth="1"/>
    <col min="7" max="7" width="14.42578125" bestFit="1" customWidth="1"/>
    <col min="8" max="8" width="15.42578125" bestFit="1" customWidth="1"/>
    <col min="9" max="9" width="10" bestFit="1" customWidth="1"/>
    <col min="10" max="10" width="60" bestFit="1" customWidth="1"/>
    <col min="11" max="11" width="40.7109375" bestFit="1" customWidth="1"/>
    <col min="12" max="12" width="8.140625" customWidth="1"/>
    <col min="13" max="13" width="82.5703125" bestFit="1" customWidth="1"/>
    <col min="15" max="15" width="82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136</v>
      </c>
      <c r="H1" t="s">
        <v>677</v>
      </c>
      <c r="I1" t="s">
        <v>661</v>
      </c>
      <c r="J1" t="s">
        <v>6</v>
      </c>
      <c r="K1" t="s">
        <v>7</v>
      </c>
      <c r="L1" t="s">
        <v>8</v>
      </c>
      <c r="M1" t="s">
        <v>569</v>
      </c>
      <c r="O1" t="s">
        <v>569</v>
      </c>
    </row>
    <row r="2" spans="1:15" x14ac:dyDescent="0.25">
      <c r="A2" t="s">
        <v>9</v>
      </c>
      <c r="B2" t="s">
        <v>10</v>
      </c>
      <c r="C2" t="s">
        <v>11</v>
      </c>
      <c r="H2">
        <v>1</v>
      </c>
      <c r="I2">
        <v>1</v>
      </c>
      <c r="J2" t="s">
        <v>675</v>
      </c>
      <c r="K2" t="s">
        <v>571</v>
      </c>
      <c r="L2">
        <v>25</v>
      </c>
      <c r="M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ClimatizadorIntegraciónBACnet MS/TP</v>
      </c>
      <c r="O2" t="s">
        <v>572</v>
      </c>
    </row>
    <row r="3" spans="1:15" x14ac:dyDescent="0.25">
      <c r="A3" t="s">
        <v>9</v>
      </c>
      <c r="B3" t="s">
        <v>10</v>
      </c>
      <c r="C3" t="s">
        <v>12</v>
      </c>
      <c r="H3">
        <v>1</v>
      </c>
      <c r="I3">
        <v>2</v>
      </c>
      <c r="J3" t="s">
        <v>676</v>
      </c>
      <c r="K3" t="s">
        <v>571</v>
      </c>
      <c r="L3">
        <v>25</v>
      </c>
      <c r="M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ClimatizadorIntegraciónModbus RTU</v>
      </c>
      <c r="O3" t="s">
        <v>573</v>
      </c>
    </row>
    <row r="4" spans="1:15" x14ac:dyDescent="0.25">
      <c r="A4" t="s">
        <v>9</v>
      </c>
      <c r="B4" t="s">
        <v>14</v>
      </c>
      <c r="C4" t="s">
        <v>15</v>
      </c>
      <c r="H4">
        <v>2</v>
      </c>
      <c r="I4">
        <v>3</v>
      </c>
      <c r="J4" t="s">
        <v>16</v>
      </c>
      <c r="K4" t="s">
        <v>140</v>
      </c>
      <c r="L4">
        <v>1</v>
      </c>
      <c r="M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ClimatizadorVentiladores1 Ventilador</v>
      </c>
      <c r="O4" t="s">
        <v>570</v>
      </c>
    </row>
    <row r="5" spans="1:15" x14ac:dyDescent="0.25">
      <c r="A5" t="s">
        <v>9</v>
      </c>
      <c r="B5" t="s">
        <v>14</v>
      </c>
      <c r="C5" t="s">
        <v>15</v>
      </c>
      <c r="H5">
        <v>2</v>
      </c>
      <c r="I5">
        <v>4</v>
      </c>
      <c r="J5" t="s">
        <v>17</v>
      </c>
      <c r="K5" t="s">
        <v>138</v>
      </c>
      <c r="L5">
        <v>1</v>
      </c>
      <c r="M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ClimatizadorVentiladores1 Ventilador</v>
      </c>
      <c r="O5" t="s">
        <v>570</v>
      </c>
    </row>
    <row r="6" spans="1:15" x14ac:dyDescent="0.25">
      <c r="A6" t="s">
        <v>9</v>
      </c>
      <c r="B6" t="s">
        <v>14</v>
      </c>
      <c r="C6" t="s">
        <v>15</v>
      </c>
      <c r="D6" t="s">
        <v>18</v>
      </c>
      <c r="H6">
        <v>3</v>
      </c>
      <c r="I6">
        <v>5</v>
      </c>
      <c r="J6" t="s">
        <v>19</v>
      </c>
      <c r="K6" t="s">
        <v>138</v>
      </c>
      <c r="L6">
        <v>1</v>
      </c>
      <c r="M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ClimatizadorVentiladores1 VentiladorAlarma térmico</v>
      </c>
      <c r="O6" t="s">
        <v>574</v>
      </c>
    </row>
    <row r="7" spans="1:15" x14ac:dyDescent="0.25">
      <c r="A7" t="s">
        <v>9</v>
      </c>
      <c r="B7" t="s">
        <v>14</v>
      </c>
      <c r="C7" t="s">
        <v>15</v>
      </c>
      <c r="D7" t="s">
        <v>20</v>
      </c>
      <c r="H7">
        <v>4</v>
      </c>
      <c r="I7">
        <v>6</v>
      </c>
      <c r="J7" t="s">
        <v>21</v>
      </c>
      <c r="K7" t="s">
        <v>22</v>
      </c>
      <c r="L7">
        <v>1</v>
      </c>
      <c r="M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ClimatizadorVentiladores1 VentiladorRegulación</v>
      </c>
      <c r="O7" t="s">
        <v>575</v>
      </c>
    </row>
    <row r="8" spans="1:15" x14ac:dyDescent="0.25">
      <c r="A8" t="s">
        <v>9</v>
      </c>
      <c r="B8" t="s">
        <v>14</v>
      </c>
      <c r="C8" t="s">
        <v>15</v>
      </c>
      <c r="D8" t="s">
        <v>20</v>
      </c>
      <c r="E8" t="s">
        <v>23</v>
      </c>
      <c r="H8">
        <v>5</v>
      </c>
      <c r="I8">
        <v>7</v>
      </c>
      <c r="J8" t="s">
        <v>24</v>
      </c>
      <c r="K8" t="s">
        <v>139</v>
      </c>
      <c r="L8">
        <v>1</v>
      </c>
      <c r="M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ClimatizadorVentiladores1 VentiladorRegulaciónMotor EC</v>
      </c>
      <c r="O8" t="s">
        <v>576</v>
      </c>
    </row>
    <row r="9" spans="1:15" x14ac:dyDescent="0.25">
      <c r="A9" t="s">
        <v>9</v>
      </c>
      <c r="B9" t="s">
        <v>14</v>
      </c>
      <c r="C9" t="s">
        <v>15</v>
      </c>
      <c r="D9" t="s">
        <v>20</v>
      </c>
      <c r="E9" t="s">
        <v>25</v>
      </c>
      <c r="H9">
        <v>6</v>
      </c>
      <c r="I9">
        <v>8</v>
      </c>
      <c r="J9" t="s">
        <v>26</v>
      </c>
      <c r="K9" t="s">
        <v>27</v>
      </c>
      <c r="L9">
        <v>1</v>
      </c>
      <c r="M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ClimatizadorVentiladores1 VentiladorRegulaciónVariador</v>
      </c>
      <c r="O9" t="s">
        <v>577</v>
      </c>
    </row>
    <row r="10" spans="1:15" x14ac:dyDescent="0.25">
      <c r="A10" t="s">
        <v>9</v>
      </c>
      <c r="B10" t="s">
        <v>14</v>
      </c>
      <c r="C10" t="s">
        <v>15</v>
      </c>
      <c r="D10" t="s">
        <v>20</v>
      </c>
      <c r="E10" t="s">
        <v>25</v>
      </c>
      <c r="F10" t="s">
        <v>11</v>
      </c>
      <c r="H10">
        <v>6</v>
      </c>
      <c r="I10">
        <v>9</v>
      </c>
      <c r="J10" t="s">
        <v>28</v>
      </c>
      <c r="K10" t="s">
        <v>29</v>
      </c>
      <c r="L10">
        <v>1</v>
      </c>
      <c r="M1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ClimatizadorVentiladores1 VentiladorRegulaciónVariadorBACnet MS/TP</v>
      </c>
      <c r="O10" t="s">
        <v>578</v>
      </c>
    </row>
    <row r="11" spans="1:15" x14ac:dyDescent="0.25">
      <c r="A11" t="s">
        <v>9</v>
      </c>
      <c r="B11" t="s">
        <v>14</v>
      </c>
      <c r="C11" t="s">
        <v>15</v>
      </c>
      <c r="D11" t="s">
        <v>20</v>
      </c>
      <c r="E11" t="s">
        <v>25</v>
      </c>
      <c r="F11" t="s">
        <v>12</v>
      </c>
      <c r="H11">
        <v>6</v>
      </c>
      <c r="I11">
        <v>10</v>
      </c>
      <c r="J11" t="s">
        <v>30</v>
      </c>
      <c r="K11" t="s">
        <v>31</v>
      </c>
      <c r="L11">
        <v>1</v>
      </c>
      <c r="M1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ClimatizadorVentiladores1 VentiladorRegulaciónVariadorModbus RTU</v>
      </c>
      <c r="O11" t="s">
        <v>579</v>
      </c>
    </row>
    <row r="12" spans="1:15" x14ac:dyDescent="0.25">
      <c r="A12" t="s">
        <v>9</v>
      </c>
      <c r="B12" t="s">
        <v>14</v>
      </c>
      <c r="C12" t="s">
        <v>37</v>
      </c>
      <c r="H12">
        <v>2</v>
      </c>
      <c r="I12">
        <v>11</v>
      </c>
      <c r="J12" t="s">
        <v>16</v>
      </c>
      <c r="K12" t="s">
        <v>140</v>
      </c>
      <c r="L12">
        <v>1</v>
      </c>
      <c r="M1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</v>
      </c>
      <c r="O12" t="s">
        <v>580</v>
      </c>
    </row>
    <row r="13" spans="1:15" x14ac:dyDescent="0.25">
      <c r="A13" t="s">
        <v>9</v>
      </c>
      <c r="B13" t="s">
        <v>14</v>
      </c>
      <c r="C13" t="s">
        <v>37</v>
      </c>
      <c r="H13">
        <v>2</v>
      </c>
      <c r="I13">
        <v>12</v>
      </c>
      <c r="J13" t="s">
        <v>17</v>
      </c>
      <c r="K13" t="s">
        <v>138</v>
      </c>
      <c r="L13">
        <v>1</v>
      </c>
      <c r="M1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</v>
      </c>
      <c r="O13" t="s">
        <v>580</v>
      </c>
    </row>
    <row r="14" spans="1:15" x14ac:dyDescent="0.25">
      <c r="A14" t="s">
        <v>9</v>
      </c>
      <c r="B14" t="s">
        <v>14</v>
      </c>
      <c r="C14" t="s">
        <v>37</v>
      </c>
      <c r="D14" t="s">
        <v>18</v>
      </c>
      <c r="H14">
        <v>3</v>
      </c>
      <c r="I14">
        <v>13</v>
      </c>
      <c r="J14" t="s">
        <v>19</v>
      </c>
      <c r="K14" t="s">
        <v>138</v>
      </c>
      <c r="L14">
        <v>1</v>
      </c>
      <c r="M1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VentiladoresAlarma térmico</v>
      </c>
      <c r="O14" t="s">
        <v>581</v>
      </c>
    </row>
    <row r="15" spans="1:15" x14ac:dyDescent="0.25">
      <c r="A15" t="s">
        <v>9</v>
      </c>
      <c r="B15" t="s">
        <v>14</v>
      </c>
      <c r="C15" t="s">
        <v>37</v>
      </c>
      <c r="D15" t="s">
        <v>20</v>
      </c>
      <c r="H15">
        <v>4</v>
      </c>
      <c r="I15">
        <v>14</v>
      </c>
      <c r="J15" t="s">
        <v>21</v>
      </c>
      <c r="K15" t="s">
        <v>22</v>
      </c>
      <c r="L15">
        <v>1</v>
      </c>
      <c r="M1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VentiladoresRegulación</v>
      </c>
      <c r="O15" t="s">
        <v>582</v>
      </c>
    </row>
    <row r="16" spans="1:15" x14ac:dyDescent="0.25">
      <c r="A16" t="s">
        <v>9</v>
      </c>
      <c r="B16" t="s">
        <v>14</v>
      </c>
      <c r="C16" t="s">
        <v>37</v>
      </c>
      <c r="D16" t="s">
        <v>20</v>
      </c>
      <c r="E16" t="s">
        <v>23</v>
      </c>
      <c r="H16">
        <v>5</v>
      </c>
      <c r="I16">
        <v>15</v>
      </c>
      <c r="J16" t="s">
        <v>24</v>
      </c>
      <c r="K16" t="s">
        <v>139</v>
      </c>
      <c r="L16">
        <v>1</v>
      </c>
      <c r="M1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VentiladoresRegulaciónMotor EC</v>
      </c>
      <c r="O16" t="s">
        <v>583</v>
      </c>
    </row>
    <row r="17" spans="1:15" x14ac:dyDescent="0.25">
      <c r="A17" t="s">
        <v>9</v>
      </c>
      <c r="B17" t="s">
        <v>14</v>
      </c>
      <c r="C17" t="s">
        <v>37</v>
      </c>
      <c r="D17" t="s">
        <v>20</v>
      </c>
      <c r="E17" t="s">
        <v>25</v>
      </c>
      <c r="H17">
        <v>6</v>
      </c>
      <c r="I17">
        <v>16</v>
      </c>
      <c r="J17" t="s">
        <v>26</v>
      </c>
      <c r="K17" t="s">
        <v>27</v>
      </c>
      <c r="L17">
        <v>1</v>
      </c>
      <c r="M1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VentiladoresRegulaciónVariador</v>
      </c>
      <c r="O17" t="s">
        <v>584</v>
      </c>
    </row>
    <row r="18" spans="1:15" x14ac:dyDescent="0.25">
      <c r="A18" t="s">
        <v>9</v>
      </c>
      <c r="B18" t="s">
        <v>14</v>
      </c>
      <c r="C18" t="s">
        <v>37</v>
      </c>
      <c r="D18" t="s">
        <v>20</v>
      </c>
      <c r="E18" t="s">
        <v>25</v>
      </c>
      <c r="F18" t="s">
        <v>11</v>
      </c>
      <c r="H18">
        <v>6</v>
      </c>
      <c r="I18">
        <v>17</v>
      </c>
      <c r="J18" t="s">
        <v>28</v>
      </c>
      <c r="K18" t="s">
        <v>29</v>
      </c>
      <c r="L18">
        <v>1</v>
      </c>
      <c r="M1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VentiladoresRegulaciónVariadorBACnet MS/TP</v>
      </c>
      <c r="O18" t="s">
        <v>585</v>
      </c>
    </row>
    <row r="19" spans="1:15" x14ac:dyDescent="0.25">
      <c r="A19" t="s">
        <v>9</v>
      </c>
      <c r="B19" t="s">
        <v>14</v>
      </c>
      <c r="C19" t="s">
        <v>37</v>
      </c>
      <c r="D19" t="s">
        <v>20</v>
      </c>
      <c r="E19" t="s">
        <v>25</v>
      </c>
      <c r="F19" t="s">
        <v>12</v>
      </c>
      <c r="H19">
        <v>6</v>
      </c>
      <c r="I19">
        <v>18</v>
      </c>
      <c r="J19" t="s">
        <v>30</v>
      </c>
      <c r="K19" t="s">
        <v>31</v>
      </c>
      <c r="L19">
        <v>1</v>
      </c>
      <c r="M1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VentiladoresRegulaciónVariadorModbus RTU</v>
      </c>
      <c r="O19" t="s">
        <v>586</v>
      </c>
    </row>
    <row r="20" spans="1:15" x14ac:dyDescent="0.25">
      <c r="A20" t="s">
        <v>9</v>
      </c>
      <c r="B20" t="s">
        <v>14</v>
      </c>
      <c r="C20" t="s">
        <v>37</v>
      </c>
      <c r="H20">
        <v>2</v>
      </c>
      <c r="I20">
        <v>19</v>
      </c>
      <c r="J20" t="s">
        <v>32</v>
      </c>
      <c r="K20" t="s">
        <v>140</v>
      </c>
      <c r="L20">
        <v>1</v>
      </c>
      <c r="M2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</v>
      </c>
      <c r="O20" t="s">
        <v>580</v>
      </c>
    </row>
    <row r="21" spans="1:15" x14ac:dyDescent="0.25">
      <c r="A21" t="s">
        <v>9</v>
      </c>
      <c r="B21" t="s">
        <v>14</v>
      </c>
      <c r="C21" t="s">
        <v>37</v>
      </c>
      <c r="H21">
        <v>2</v>
      </c>
      <c r="I21">
        <v>20</v>
      </c>
      <c r="J21" t="s">
        <v>33</v>
      </c>
      <c r="K21" t="s">
        <v>138</v>
      </c>
      <c r="L21">
        <v>1</v>
      </c>
      <c r="M2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</v>
      </c>
      <c r="O21" t="s">
        <v>580</v>
      </c>
    </row>
    <row r="22" spans="1:15" x14ac:dyDescent="0.25">
      <c r="A22" t="s">
        <v>9</v>
      </c>
      <c r="B22" t="s">
        <v>14</v>
      </c>
      <c r="C22" t="s">
        <v>37</v>
      </c>
      <c r="D22" t="s">
        <v>18</v>
      </c>
      <c r="H22">
        <v>3</v>
      </c>
      <c r="I22">
        <v>21</v>
      </c>
      <c r="J22" t="s">
        <v>35</v>
      </c>
      <c r="K22" t="s">
        <v>138</v>
      </c>
      <c r="L22">
        <v>1</v>
      </c>
      <c r="M2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VentiladoresAlarma térmico</v>
      </c>
      <c r="O22" t="s">
        <v>581</v>
      </c>
    </row>
    <row r="23" spans="1:15" x14ac:dyDescent="0.25">
      <c r="A23" t="s">
        <v>9</v>
      </c>
      <c r="B23" t="s">
        <v>14</v>
      </c>
      <c r="C23" t="s">
        <v>37</v>
      </c>
      <c r="D23" t="s">
        <v>20</v>
      </c>
      <c r="H23">
        <v>4</v>
      </c>
      <c r="I23">
        <v>22</v>
      </c>
      <c r="J23" t="s">
        <v>34</v>
      </c>
      <c r="K23" t="s">
        <v>22</v>
      </c>
      <c r="L23">
        <v>1</v>
      </c>
      <c r="M2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VentiladoresRegulación</v>
      </c>
      <c r="O23" t="s">
        <v>582</v>
      </c>
    </row>
    <row r="24" spans="1:15" x14ac:dyDescent="0.25">
      <c r="A24" t="s">
        <v>9</v>
      </c>
      <c r="B24" t="s">
        <v>14</v>
      </c>
      <c r="C24" t="s">
        <v>37</v>
      </c>
      <c r="D24" t="s">
        <v>20</v>
      </c>
      <c r="E24" t="s">
        <v>23</v>
      </c>
      <c r="H24">
        <v>5</v>
      </c>
      <c r="I24">
        <v>23</v>
      </c>
      <c r="J24" t="s">
        <v>36</v>
      </c>
      <c r="K24" t="s">
        <v>139</v>
      </c>
      <c r="L24">
        <v>1</v>
      </c>
      <c r="M2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VentiladoresRegulaciónMotor EC</v>
      </c>
      <c r="O24" t="s">
        <v>583</v>
      </c>
    </row>
    <row r="25" spans="1:15" x14ac:dyDescent="0.25">
      <c r="A25" t="s">
        <v>9</v>
      </c>
      <c r="B25" t="s">
        <v>14</v>
      </c>
      <c r="C25" t="s">
        <v>37</v>
      </c>
      <c r="D25" t="s">
        <v>20</v>
      </c>
      <c r="E25" t="s">
        <v>25</v>
      </c>
      <c r="H25">
        <v>10</v>
      </c>
      <c r="I25">
        <v>24</v>
      </c>
      <c r="J25" t="s">
        <v>38</v>
      </c>
      <c r="K25" t="s">
        <v>27</v>
      </c>
      <c r="L25">
        <v>1</v>
      </c>
      <c r="M2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VentiladoresRegulaciónVariador</v>
      </c>
      <c r="O25" t="s">
        <v>587</v>
      </c>
    </row>
    <row r="26" spans="1:15" x14ac:dyDescent="0.25">
      <c r="A26" t="s">
        <v>9</v>
      </c>
      <c r="B26" t="s">
        <v>14</v>
      </c>
      <c r="C26" t="s">
        <v>37</v>
      </c>
      <c r="D26" t="s">
        <v>20</v>
      </c>
      <c r="E26" t="s">
        <v>25</v>
      </c>
      <c r="F26" t="s">
        <v>11</v>
      </c>
      <c r="H26">
        <v>10</v>
      </c>
      <c r="I26">
        <v>25</v>
      </c>
      <c r="J26" t="s">
        <v>39</v>
      </c>
      <c r="K26" t="s">
        <v>29</v>
      </c>
      <c r="L26">
        <v>1</v>
      </c>
      <c r="M2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VentiladoresRegulaciónVariadorBACnet MS/TP</v>
      </c>
      <c r="O26" t="s">
        <v>588</v>
      </c>
    </row>
    <row r="27" spans="1:15" x14ac:dyDescent="0.25">
      <c r="A27" t="s">
        <v>9</v>
      </c>
      <c r="B27" t="s">
        <v>14</v>
      </c>
      <c r="C27" t="s">
        <v>37</v>
      </c>
      <c r="D27" t="s">
        <v>20</v>
      </c>
      <c r="E27" t="s">
        <v>25</v>
      </c>
      <c r="F27" t="s">
        <v>12</v>
      </c>
      <c r="H27">
        <v>10</v>
      </c>
      <c r="I27">
        <v>26</v>
      </c>
      <c r="J27" t="s">
        <v>40</v>
      </c>
      <c r="K27" t="s">
        <v>31</v>
      </c>
      <c r="L27">
        <v>1</v>
      </c>
      <c r="M2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ClimatizadorVentiladores2 VentiladoresRegulaciónVariadorModbus RTU</v>
      </c>
      <c r="O27" t="s">
        <v>589</v>
      </c>
    </row>
    <row r="28" spans="1:15" x14ac:dyDescent="0.25">
      <c r="A28" t="s">
        <v>9</v>
      </c>
      <c r="B28" t="s">
        <v>41</v>
      </c>
      <c r="C28" t="s">
        <v>42</v>
      </c>
      <c r="H28">
        <v>11</v>
      </c>
      <c r="I28">
        <v>27</v>
      </c>
      <c r="J28" t="s">
        <v>43</v>
      </c>
      <c r="K28" t="s">
        <v>44</v>
      </c>
      <c r="L28">
        <v>1</v>
      </c>
      <c r="M2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ClimatizadorAdmisión y expulsiónAcción T/N</v>
      </c>
      <c r="O28" t="s">
        <v>590</v>
      </c>
    </row>
    <row r="29" spans="1:15" x14ac:dyDescent="0.25">
      <c r="A29" t="s">
        <v>9</v>
      </c>
      <c r="B29" t="s">
        <v>41</v>
      </c>
      <c r="C29" t="s">
        <v>42</v>
      </c>
      <c r="D29" t="s">
        <v>45</v>
      </c>
      <c r="H29">
        <v>11</v>
      </c>
      <c r="I29">
        <v>28</v>
      </c>
      <c r="J29" t="s">
        <v>46</v>
      </c>
      <c r="K29" t="s">
        <v>47</v>
      </c>
      <c r="L29">
        <v>1</v>
      </c>
      <c r="M2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ClimatizadorAdmisión y expulsiónAcción T/NContactos FDC</v>
      </c>
      <c r="O29" t="s">
        <v>591</v>
      </c>
    </row>
    <row r="30" spans="1:15" x14ac:dyDescent="0.25">
      <c r="A30" t="s">
        <v>9</v>
      </c>
      <c r="B30" t="s">
        <v>41</v>
      </c>
      <c r="C30" t="s">
        <v>42</v>
      </c>
      <c r="H30">
        <v>11</v>
      </c>
      <c r="I30">
        <v>29</v>
      </c>
      <c r="J30" t="s">
        <v>48</v>
      </c>
      <c r="K30" t="s">
        <v>44</v>
      </c>
      <c r="L30">
        <v>1</v>
      </c>
      <c r="M3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ClimatizadorAdmisión y expulsiónAcción T/N</v>
      </c>
      <c r="O30" t="s">
        <v>590</v>
      </c>
    </row>
    <row r="31" spans="1:15" x14ac:dyDescent="0.25">
      <c r="A31" t="s">
        <v>9</v>
      </c>
      <c r="B31" t="s">
        <v>41</v>
      </c>
      <c r="C31" t="s">
        <v>42</v>
      </c>
      <c r="D31" t="s">
        <v>45</v>
      </c>
      <c r="H31">
        <v>11</v>
      </c>
      <c r="I31">
        <v>30</v>
      </c>
      <c r="J31" t="s">
        <v>49</v>
      </c>
      <c r="K31" t="s">
        <v>47</v>
      </c>
      <c r="L31">
        <v>1</v>
      </c>
      <c r="M3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ClimatizadorAdmisión y expulsiónAcción T/NContactos FDC</v>
      </c>
      <c r="O31" t="s">
        <v>591</v>
      </c>
    </row>
    <row r="32" spans="1:15" x14ac:dyDescent="0.25">
      <c r="A32" t="s">
        <v>9</v>
      </c>
      <c r="B32" t="s">
        <v>41</v>
      </c>
      <c r="C32" t="s">
        <v>50</v>
      </c>
      <c r="H32">
        <v>12</v>
      </c>
      <c r="I32">
        <v>31</v>
      </c>
      <c r="J32" t="s">
        <v>51</v>
      </c>
      <c r="K32" t="s">
        <v>52</v>
      </c>
      <c r="L32">
        <v>1</v>
      </c>
      <c r="M3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ClimatizadorAdmisión y expulsiónAcción proporcional</v>
      </c>
      <c r="O32" t="s">
        <v>592</v>
      </c>
    </row>
    <row r="33" spans="1:15" x14ac:dyDescent="0.25">
      <c r="A33" t="s">
        <v>9</v>
      </c>
      <c r="B33" t="s">
        <v>41</v>
      </c>
      <c r="C33" t="s">
        <v>50</v>
      </c>
      <c r="D33" t="s">
        <v>45</v>
      </c>
      <c r="H33">
        <v>12</v>
      </c>
      <c r="I33">
        <v>32</v>
      </c>
      <c r="J33" t="s">
        <v>53</v>
      </c>
      <c r="K33" t="s">
        <v>54</v>
      </c>
      <c r="L33">
        <v>1</v>
      </c>
      <c r="M3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ClimatizadorAdmisión y expulsiónAcción proporcionalContactos FDC</v>
      </c>
      <c r="O33" t="s">
        <v>593</v>
      </c>
    </row>
    <row r="34" spans="1:15" x14ac:dyDescent="0.25">
      <c r="A34" t="s">
        <v>9</v>
      </c>
      <c r="B34" t="s">
        <v>41</v>
      </c>
      <c r="C34" t="s">
        <v>50</v>
      </c>
      <c r="H34">
        <v>12</v>
      </c>
      <c r="I34">
        <v>33</v>
      </c>
      <c r="J34" t="s">
        <v>55</v>
      </c>
      <c r="K34" t="s">
        <v>52</v>
      </c>
      <c r="L34">
        <v>1</v>
      </c>
      <c r="M3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ClimatizadorAdmisión y expulsiónAcción proporcional</v>
      </c>
      <c r="O34" t="s">
        <v>592</v>
      </c>
    </row>
    <row r="35" spans="1:15" x14ac:dyDescent="0.25">
      <c r="A35" t="s">
        <v>9</v>
      </c>
      <c r="B35" t="s">
        <v>41</v>
      </c>
      <c r="C35" t="s">
        <v>50</v>
      </c>
      <c r="D35" t="s">
        <v>45</v>
      </c>
      <c r="H35">
        <v>12</v>
      </c>
      <c r="I35">
        <v>34</v>
      </c>
      <c r="J35" t="s">
        <v>56</v>
      </c>
      <c r="K35" t="s">
        <v>54</v>
      </c>
      <c r="L35">
        <v>1</v>
      </c>
      <c r="M3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ClimatizadorAdmisión y expulsiónAcción proporcionalContactos FDC</v>
      </c>
      <c r="O35" t="s">
        <v>593</v>
      </c>
    </row>
    <row r="36" spans="1:15" x14ac:dyDescent="0.25">
      <c r="A36" t="s">
        <v>9</v>
      </c>
      <c r="B36" t="s">
        <v>57</v>
      </c>
      <c r="C36" t="s">
        <v>62</v>
      </c>
      <c r="E36" t="s">
        <v>68</v>
      </c>
      <c r="H36">
        <v>13</v>
      </c>
      <c r="I36">
        <v>35</v>
      </c>
      <c r="J36" t="s">
        <v>63</v>
      </c>
      <c r="K36" t="s">
        <v>64</v>
      </c>
      <c r="L36">
        <v>1</v>
      </c>
      <c r="M3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coolingTérmicoRetorno</v>
      </c>
      <c r="O36" t="s">
        <v>602</v>
      </c>
    </row>
    <row r="37" spans="1:15" x14ac:dyDescent="0.25">
      <c r="A37" t="s">
        <v>9</v>
      </c>
      <c r="B37" t="s">
        <v>57</v>
      </c>
      <c r="C37" t="s">
        <v>62</v>
      </c>
      <c r="E37" t="s">
        <v>71</v>
      </c>
      <c r="H37">
        <v>14</v>
      </c>
      <c r="I37">
        <v>36</v>
      </c>
      <c r="J37" t="s">
        <v>113</v>
      </c>
      <c r="K37" t="s">
        <v>114</v>
      </c>
      <c r="L37">
        <v>1</v>
      </c>
      <c r="M3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coolingTérmicoAmbiente</v>
      </c>
      <c r="O37" t="s">
        <v>603</v>
      </c>
    </row>
    <row r="38" spans="1:15" x14ac:dyDescent="0.25">
      <c r="A38" t="s">
        <v>9</v>
      </c>
      <c r="B38" t="s">
        <v>57</v>
      </c>
      <c r="C38" t="s">
        <v>62</v>
      </c>
      <c r="E38" t="s">
        <v>71</v>
      </c>
      <c r="F38" t="s">
        <v>118</v>
      </c>
      <c r="H38">
        <v>14</v>
      </c>
      <c r="I38">
        <v>37</v>
      </c>
      <c r="J38" t="s">
        <v>123</v>
      </c>
      <c r="K38" t="s">
        <v>124</v>
      </c>
      <c r="L38">
        <v>1</v>
      </c>
      <c r="M3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coolingTérmicoAmbienteConsigna T</v>
      </c>
      <c r="O38" t="s">
        <v>604</v>
      </c>
    </row>
    <row r="39" spans="1:15" x14ac:dyDescent="0.25">
      <c r="A39" t="s">
        <v>9</v>
      </c>
      <c r="B39" t="s">
        <v>57</v>
      </c>
      <c r="C39" t="s">
        <v>62</v>
      </c>
      <c r="H39">
        <v>15</v>
      </c>
      <c r="I39">
        <v>38</v>
      </c>
      <c r="J39" t="s">
        <v>65</v>
      </c>
      <c r="K39" t="s">
        <v>66</v>
      </c>
      <c r="L39">
        <v>1</v>
      </c>
      <c r="M3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coolingTérmico</v>
      </c>
      <c r="O39" t="s">
        <v>605</v>
      </c>
    </row>
    <row r="40" spans="1:15" x14ac:dyDescent="0.25">
      <c r="A40" t="s">
        <v>9</v>
      </c>
      <c r="B40" t="s">
        <v>57</v>
      </c>
      <c r="C40" t="s">
        <v>62</v>
      </c>
      <c r="D40" t="s">
        <v>67</v>
      </c>
      <c r="E40" t="s">
        <v>68</v>
      </c>
      <c r="H40">
        <v>13</v>
      </c>
      <c r="I40">
        <v>39</v>
      </c>
      <c r="J40" t="s">
        <v>69</v>
      </c>
      <c r="K40" t="s">
        <v>70</v>
      </c>
      <c r="L40">
        <v>1</v>
      </c>
      <c r="M4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coolingTérmicoOcupaciónRetorno</v>
      </c>
      <c r="O40" t="s">
        <v>606</v>
      </c>
    </row>
    <row r="41" spans="1:15" x14ac:dyDescent="0.25">
      <c r="A41" t="s">
        <v>9</v>
      </c>
      <c r="B41" t="s">
        <v>57</v>
      </c>
      <c r="C41" t="s">
        <v>62</v>
      </c>
      <c r="D41" t="s">
        <v>67</v>
      </c>
      <c r="E41" t="s">
        <v>71</v>
      </c>
      <c r="H41">
        <v>14</v>
      </c>
      <c r="I41">
        <v>40</v>
      </c>
      <c r="J41" t="s">
        <v>72</v>
      </c>
      <c r="K41" t="s">
        <v>73</v>
      </c>
      <c r="L41">
        <v>1</v>
      </c>
      <c r="M4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coolingTérmicoOcupaciónAmbiente</v>
      </c>
      <c r="O41" t="s">
        <v>607</v>
      </c>
    </row>
    <row r="42" spans="1:15" x14ac:dyDescent="0.25">
      <c r="A42" t="s">
        <v>9</v>
      </c>
      <c r="B42" t="s">
        <v>57</v>
      </c>
      <c r="C42" t="s">
        <v>62</v>
      </c>
      <c r="D42" t="s">
        <v>67</v>
      </c>
      <c r="E42" t="s">
        <v>71</v>
      </c>
      <c r="F42" t="s">
        <v>118</v>
      </c>
      <c r="H42">
        <v>14</v>
      </c>
      <c r="I42">
        <v>41</v>
      </c>
      <c r="J42" t="s">
        <v>119</v>
      </c>
      <c r="K42" t="s">
        <v>120</v>
      </c>
      <c r="L42">
        <v>1</v>
      </c>
      <c r="M4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coolingTérmicoOcupaciónAmbienteConsigna T</v>
      </c>
      <c r="O42" t="s">
        <v>608</v>
      </c>
    </row>
    <row r="43" spans="1:15" x14ac:dyDescent="0.25">
      <c r="A43" t="s">
        <v>9</v>
      </c>
      <c r="B43" t="s">
        <v>57</v>
      </c>
      <c r="C43" t="s">
        <v>62</v>
      </c>
      <c r="D43" t="s">
        <v>67</v>
      </c>
      <c r="H43">
        <v>15</v>
      </c>
      <c r="I43">
        <v>42</v>
      </c>
      <c r="J43" t="s">
        <v>74</v>
      </c>
      <c r="K43" t="s">
        <v>75</v>
      </c>
      <c r="L43">
        <v>1</v>
      </c>
      <c r="M4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coolingTérmicoOcupación</v>
      </c>
      <c r="O43" t="s">
        <v>609</v>
      </c>
    </row>
    <row r="44" spans="1:15" x14ac:dyDescent="0.25">
      <c r="A44" t="s">
        <v>9</v>
      </c>
      <c r="B44" t="s">
        <v>57</v>
      </c>
      <c r="C44" t="s">
        <v>76</v>
      </c>
      <c r="E44" t="s">
        <v>68</v>
      </c>
      <c r="H44">
        <v>13</v>
      </c>
      <c r="I44">
        <v>43</v>
      </c>
      <c r="J44" t="s">
        <v>77</v>
      </c>
      <c r="K44" t="s">
        <v>78</v>
      </c>
      <c r="L44">
        <v>1</v>
      </c>
      <c r="M4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coolingEntálpicoRetorno</v>
      </c>
      <c r="O44" t="s">
        <v>610</v>
      </c>
    </row>
    <row r="45" spans="1:15" x14ac:dyDescent="0.25">
      <c r="A45" t="s">
        <v>9</v>
      </c>
      <c r="B45" t="s">
        <v>57</v>
      </c>
      <c r="C45" t="s">
        <v>76</v>
      </c>
      <c r="E45" t="s">
        <v>71</v>
      </c>
      <c r="H45">
        <v>14</v>
      </c>
      <c r="I45">
        <v>44</v>
      </c>
      <c r="J45" t="s">
        <v>115</v>
      </c>
      <c r="K45" t="s">
        <v>116</v>
      </c>
      <c r="L45">
        <v>1</v>
      </c>
      <c r="M4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coolingEntálpicoAmbiente</v>
      </c>
      <c r="O45" t="s">
        <v>611</v>
      </c>
    </row>
    <row r="46" spans="1:15" x14ac:dyDescent="0.25">
      <c r="A46" t="s">
        <v>9</v>
      </c>
      <c r="B46" t="s">
        <v>57</v>
      </c>
      <c r="C46" t="s">
        <v>76</v>
      </c>
      <c r="E46" t="s">
        <v>71</v>
      </c>
      <c r="F46" t="s">
        <v>118</v>
      </c>
      <c r="H46">
        <v>14</v>
      </c>
      <c r="I46">
        <v>45</v>
      </c>
      <c r="J46" t="s">
        <v>125</v>
      </c>
      <c r="K46" t="s">
        <v>126</v>
      </c>
      <c r="L46">
        <v>1</v>
      </c>
      <c r="M4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coolingEntálpicoAmbienteConsigna T</v>
      </c>
      <c r="O46" t="s">
        <v>612</v>
      </c>
    </row>
    <row r="47" spans="1:15" x14ac:dyDescent="0.25">
      <c r="A47" t="s">
        <v>9</v>
      </c>
      <c r="B47" t="s">
        <v>57</v>
      </c>
      <c r="C47" t="s">
        <v>76</v>
      </c>
      <c r="H47">
        <v>15</v>
      </c>
      <c r="I47">
        <v>46</v>
      </c>
      <c r="J47" t="s">
        <v>79</v>
      </c>
      <c r="K47" t="s">
        <v>80</v>
      </c>
      <c r="L47">
        <v>1</v>
      </c>
      <c r="M4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coolingEntálpico</v>
      </c>
      <c r="O47" t="s">
        <v>613</v>
      </c>
    </row>
    <row r="48" spans="1:15" x14ac:dyDescent="0.25">
      <c r="A48" t="s">
        <v>9</v>
      </c>
      <c r="B48" t="s">
        <v>57</v>
      </c>
      <c r="C48" t="s">
        <v>76</v>
      </c>
      <c r="D48" t="s">
        <v>67</v>
      </c>
      <c r="E48" t="s">
        <v>68</v>
      </c>
      <c r="H48">
        <v>13</v>
      </c>
      <c r="I48">
        <v>47</v>
      </c>
      <c r="J48" t="s">
        <v>109</v>
      </c>
      <c r="K48" t="s">
        <v>110</v>
      </c>
      <c r="L48">
        <v>1</v>
      </c>
      <c r="M4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coolingEntálpicoOcupaciónRetorno</v>
      </c>
      <c r="O48" t="s">
        <v>614</v>
      </c>
    </row>
    <row r="49" spans="1:15" x14ac:dyDescent="0.25">
      <c r="A49" t="s">
        <v>9</v>
      </c>
      <c r="B49" t="s">
        <v>57</v>
      </c>
      <c r="C49" t="s">
        <v>76</v>
      </c>
      <c r="D49" t="s">
        <v>67</v>
      </c>
      <c r="E49" t="s">
        <v>71</v>
      </c>
      <c r="H49">
        <v>14</v>
      </c>
      <c r="I49">
        <v>48</v>
      </c>
      <c r="J49" t="s">
        <v>121</v>
      </c>
      <c r="K49" t="s">
        <v>122</v>
      </c>
      <c r="L49">
        <v>1</v>
      </c>
      <c r="M4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coolingEntálpicoOcupaciónAmbiente</v>
      </c>
      <c r="O49" t="s">
        <v>615</v>
      </c>
    </row>
    <row r="50" spans="1:15" x14ac:dyDescent="0.25">
      <c r="A50" t="s">
        <v>9</v>
      </c>
      <c r="B50" t="s">
        <v>57</v>
      </c>
      <c r="C50" t="s">
        <v>76</v>
      </c>
      <c r="D50" t="s">
        <v>67</v>
      </c>
      <c r="E50" t="s">
        <v>71</v>
      </c>
      <c r="F50" t="s">
        <v>118</v>
      </c>
      <c r="H50">
        <v>14</v>
      </c>
      <c r="I50">
        <v>49</v>
      </c>
      <c r="J50" t="s">
        <v>127</v>
      </c>
      <c r="K50" t="s">
        <v>128</v>
      </c>
      <c r="L50">
        <v>1</v>
      </c>
      <c r="M5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coolingEntálpicoOcupaciónAmbienteConsigna T</v>
      </c>
      <c r="O50" t="s">
        <v>616</v>
      </c>
    </row>
    <row r="51" spans="1:15" x14ac:dyDescent="0.25">
      <c r="A51" t="s">
        <v>9</v>
      </c>
      <c r="B51" t="s">
        <v>57</v>
      </c>
      <c r="C51" t="s">
        <v>76</v>
      </c>
      <c r="D51" t="s">
        <v>67</v>
      </c>
      <c r="H51">
        <v>15</v>
      </c>
      <c r="I51">
        <v>50</v>
      </c>
      <c r="J51" t="s">
        <v>555</v>
      </c>
      <c r="K51" t="s">
        <v>556</v>
      </c>
      <c r="L51">
        <v>1</v>
      </c>
      <c r="M5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coolingEntálpicoOcupación</v>
      </c>
      <c r="O51" t="s">
        <v>617</v>
      </c>
    </row>
    <row r="52" spans="1:15" x14ac:dyDescent="0.25">
      <c r="A52" t="s">
        <v>9</v>
      </c>
      <c r="B52" t="s">
        <v>57</v>
      </c>
      <c r="C52" t="s">
        <v>58</v>
      </c>
      <c r="D52" t="s">
        <v>42</v>
      </c>
      <c r="H52">
        <v>17</v>
      </c>
      <c r="I52">
        <v>51</v>
      </c>
      <c r="J52" t="s">
        <v>59</v>
      </c>
      <c r="K52" t="s">
        <v>44</v>
      </c>
      <c r="L52">
        <v>2</v>
      </c>
      <c r="M5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cooling2 compuertasAcción T/N</v>
      </c>
      <c r="O52" t="s">
        <v>594</v>
      </c>
    </row>
    <row r="53" spans="1:15" x14ac:dyDescent="0.25">
      <c r="A53" t="s">
        <v>9</v>
      </c>
      <c r="B53" t="s">
        <v>57</v>
      </c>
      <c r="C53" t="s">
        <v>58</v>
      </c>
      <c r="D53" t="s">
        <v>50</v>
      </c>
      <c r="H53">
        <v>18</v>
      </c>
      <c r="I53">
        <v>52</v>
      </c>
      <c r="J53" t="s">
        <v>60</v>
      </c>
      <c r="K53" t="s">
        <v>52</v>
      </c>
      <c r="L53">
        <v>2</v>
      </c>
      <c r="M5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cooling2 compuertasAcción proporcional</v>
      </c>
      <c r="O53" t="s">
        <v>595</v>
      </c>
    </row>
    <row r="54" spans="1:15" x14ac:dyDescent="0.25">
      <c r="A54" t="s">
        <v>9</v>
      </c>
      <c r="B54" t="s">
        <v>57</v>
      </c>
      <c r="C54" t="s">
        <v>58</v>
      </c>
      <c r="D54" t="s">
        <v>42</v>
      </c>
      <c r="E54" t="s">
        <v>45</v>
      </c>
      <c r="H54">
        <v>17</v>
      </c>
      <c r="I54">
        <v>53</v>
      </c>
      <c r="J54" t="s">
        <v>686</v>
      </c>
      <c r="K54" t="s">
        <v>47</v>
      </c>
      <c r="L54">
        <v>2</v>
      </c>
      <c r="M5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cooling2 compuertasAcción T/NContactos FDC</v>
      </c>
      <c r="O54" t="s">
        <v>596</v>
      </c>
    </row>
    <row r="55" spans="1:15" x14ac:dyDescent="0.25">
      <c r="A55" t="s">
        <v>9</v>
      </c>
      <c r="B55" t="s">
        <v>57</v>
      </c>
      <c r="C55" t="s">
        <v>58</v>
      </c>
      <c r="D55" t="s">
        <v>50</v>
      </c>
      <c r="E55" t="s">
        <v>45</v>
      </c>
      <c r="H55">
        <v>18</v>
      </c>
      <c r="I55">
        <v>54</v>
      </c>
      <c r="J55" t="s">
        <v>687</v>
      </c>
      <c r="K55" t="s">
        <v>54</v>
      </c>
      <c r="L55">
        <v>2</v>
      </c>
      <c r="M5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cooling2 compuertasAcción proporcionalContactos FDC</v>
      </c>
      <c r="O55" t="s">
        <v>597</v>
      </c>
    </row>
    <row r="56" spans="1:15" x14ac:dyDescent="0.25">
      <c r="A56" t="s">
        <v>9</v>
      </c>
      <c r="B56" t="s">
        <v>57</v>
      </c>
      <c r="C56" t="s">
        <v>61</v>
      </c>
      <c r="D56" t="s">
        <v>42</v>
      </c>
      <c r="H56">
        <v>17</v>
      </c>
      <c r="I56">
        <v>55</v>
      </c>
      <c r="J56" t="s">
        <v>59</v>
      </c>
      <c r="K56" t="s">
        <v>44</v>
      </c>
      <c r="L56">
        <v>3</v>
      </c>
      <c r="M5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cooling3 compuertasAcción T/N</v>
      </c>
      <c r="O56" t="s">
        <v>598</v>
      </c>
    </row>
    <row r="57" spans="1:15" x14ac:dyDescent="0.25">
      <c r="A57" t="s">
        <v>9</v>
      </c>
      <c r="B57" t="s">
        <v>57</v>
      </c>
      <c r="C57" t="s">
        <v>61</v>
      </c>
      <c r="D57" t="s">
        <v>50</v>
      </c>
      <c r="H57">
        <v>18</v>
      </c>
      <c r="I57">
        <v>56</v>
      </c>
      <c r="J57" t="s">
        <v>60</v>
      </c>
      <c r="K57" t="s">
        <v>52</v>
      </c>
      <c r="L57">
        <v>3</v>
      </c>
      <c r="M5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cooling3 compuertasAcción proporcional</v>
      </c>
      <c r="O57" t="s">
        <v>599</v>
      </c>
    </row>
    <row r="58" spans="1:15" x14ac:dyDescent="0.25">
      <c r="A58" t="s">
        <v>9</v>
      </c>
      <c r="B58" t="s">
        <v>57</v>
      </c>
      <c r="C58" t="s">
        <v>61</v>
      </c>
      <c r="D58" t="s">
        <v>42</v>
      </c>
      <c r="E58" t="s">
        <v>45</v>
      </c>
      <c r="H58">
        <v>17</v>
      </c>
      <c r="I58">
        <v>57</v>
      </c>
      <c r="J58" t="s">
        <v>686</v>
      </c>
      <c r="K58" t="s">
        <v>47</v>
      </c>
      <c r="L58">
        <v>3</v>
      </c>
      <c r="M5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cooling3 compuertasAcción T/NContactos FDC</v>
      </c>
      <c r="O58" t="s">
        <v>600</v>
      </c>
    </row>
    <row r="59" spans="1:15" x14ac:dyDescent="0.25">
      <c r="A59" t="s">
        <v>9</v>
      </c>
      <c r="B59" t="s">
        <v>57</v>
      </c>
      <c r="C59" t="s">
        <v>61</v>
      </c>
      <c r="D59" t="s">
        <v>50</v>
      </c>
      <c r="E59" t="s">
        <v>45</v>
      </c>
      <c r="H59">
        <v>18</v>
      </c>
      <c r="I59">
        <v>58</v>
      </c>
      <c r="J59" t="s">
        <v>687</v>
      </c>
      <c r="K59" t="s">
        <v>54</v>
      </c>
      <c r="L59">
        <v>3</v>
      </c>
      <c r="M5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ClimatizadorFree cooling3 compuertasAcción proporcionalContactos FDC</v>
      </c>
      <c r="O59" t="s">
        <v>601</v>
      </c>
    </row>
    <row r="60" spans="1:15" x14ac:dyDescent="0.25">
      <c r="A60" t="s">
        <v>9</v>
      </c>
      <c r="B60" t="s">
        <v>81</v>
      </c>
      <c r="C60" t="s">
        <v>82</v>
      </c>
      <c r="H60">
        <v>19</v>
      </c>
      <c r="I60">
        <v>59</v>
      </c>
      <c r="J60" t="s">
        <v>83</v>
      </c>
      <c r="K60" t="s">
        <v>64</v>
      </c>
      <c r="L60">
        <v>1</v>
      </c>
      <c r="M6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ClimatizadorRecuperadorEstático</v>
      </c>
      <c r="O60" t="s">
        <v>618</v>
      </c>
    </row>
    <row r="61" spans="1:15" x14ac:dyDescent="0.25">
      <c r="A61" t="s">
        <v>9</v>
      </c>
      <c r="B61" t="s">
        <v>81</v>
      </c>
      <c r="C61" t="s">
        <v>84</v>
      </c>
      <c r="D61" t="s">
        <v>62</v>
      </c>
      <c r="H61">
        <v>20</v>
      </c>
      <c r="I61">
        <v>60</v>
      </c>
      <c r="J61" t="s">
        <v>83</v>
      </c>
      <c r="K61" t="s">
        <v>64</v>
      </c>
      <c r="L61">
        <v>1</v>
      </c>
      <c r="M6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ClimatizadorRecuperadorRotativoTérmico</v>
      </c>
      <c r="O61" t="s">
        <v>619</v>
      </c>
    </row>
    <row r="62" spans="1:15" x14ac:dyDescent="0.25">
      <c r="A62" t="s">
        <v>9</v>
      </c>
      <c r="B62" t="s">
        <v>81</v>
      </c>
      <c r="C62" t="s">
        <v>84</v>
      </c>
      <c r="D62" t="s">
        <v>76</v>
      </c>
      <c r="H62">
        <v>21</v>
      </c>
      <c r="I62">
        <v>61</v>
      </c>
      <c r="J62" t="s">
        <v>85</v>
      </c>
      <c r="K62" t="s">
        <v>78</v>
      </c>
      <c r="L62">
        <v>1</v>
      </c>
      <c r="M6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ClimatizadorRecuperadorRotativoEntálpico</v>
      </c>
      <c r="O62" t="s">
        <v>620</v>
      </c>
    </row>
    <row r="63" spans="1:15" x14ac:dyDescent="0.25">
      <c r="A63" t="s">
        <v>9</v>
      </c>
      <c r="B63" t="s">
        <v>81</v>
      </c>
      <c r="C63" t="s">
        <v>84</v>
      </c>
      <c r="H63">
        <v>22</v>
      </c>
      <c r="I63">
        <v>62</v>
      </c>
      <c r="J63" t="s">
        <v>86</v>
      </c>
      <c r="K63" t="s">
        <v>140</v>
      </c>
      <c r="L63">
        <v>1</v>
      </c>
      <c r="M6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ClimatizadorRecuperadorRotativo</v>
      </c>
      <c r="O63" t="s">
        <v>621</v>
      </c>
    </row>
    <row r="64" spans="1:15" x14ac:dyDescent="0.25">
      <c r="A64" t="s">
        <v>9</v>
      </c>
      <c r="B64" t="s">
        <v>81</v>
      </c>
      <c r="C64" t="s">
        <v>84</v>
      </c>
      <c r="H64">
        <v>22</v>
      </c>
      <c r="I64">
        <v>63</v>
      </c>
      <c r="J64" t="s">
        <v>87</v>
      </c>
      <c r="K64" t="s">
        <v>138</v>
      </c>
      <c r="L64">
        <v>1</v>
      </c>
      <c r="M6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ClimatizadorRecuperadorRotativo</v>
      </c>
      <c r="O64" t="s">
        <v>621</v>
      </c>
    </row>
    <row r="65" spans="1:15" x14ac:dyDescent="0.25">
      <c r="A65" t="s">
        <v>9</v>
      </c>
      <c r="B65" t="s">
        <v>81</v>
      </c>
      <c r="C65" t="s">
        <v>84</v>
      </c>
      <c r="H65">
        <v>22</v>
      </c>
      <c r="I65">
        <v>64</v>
      </c>
      <c r="J65" t="s">
        <v>88</v>
      </c>
      <c r="K65" t="s">
        <v>139</v>
      </c>
      <c r="L65">
        <v>1</v>
      </c>
      <c r="M6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ClimatizadorRecuperadorRotativo</v>
      </c>
      <c r="O65" t="s">
        <v>621</v>
      </c>
    </row>
    <row r="66" spans="1:15" x14ac:dyDescent="0.25">
      <c r="A66" t="s">
        <v>9</v>
      </c>
      <c r="B66" t="s">
        <v>81</v>
      </c>
      <c r="C66" t="s">
        <v>560</v>
      </c>
      <c r="D66" t="s">
        <v>62</v>
      </c>
      <c r="H66">
        <v>20</v>
      </c>
      <c r="I66">
        <v>65</v>
      </c>
      <c r="J66" t="s">
        <v>83</v>
      </c>
      <c r="K66" t="s">
        <v>64</v>
      </c>
      <c r="L66">
        <v>1</v>
      </c>
      <c r="M6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ClimatizadorRecuperadorBateríaTérmico</v>
      </c>
      <c r="O66" t="s">
        <v>619</v>
      </c>
    </row>
    <row r="67" spans="1:15" x14ac:dyDescent="0.25">
      <c r="A67" t="s">
        <v>9</v>
      </c>
      <c r="B67" t="s">
        <v>81</v>
      </c>
      <c r="C67" t="s">
        <v>560</v>
      </c>
      <c r="D67" t="s">
        <v>76</v>
      </c>
      <c r="H67">
        <v>21</v>
      </c>
      <c r="I67">
        <v>66</v>
      </c>
      <c r="J67" t="s">
        <v>85</v>
      </c>
      <c r="K67" t="s">
        <v>78</v>
      </c>
      <c r="L67">
        <v>1</v>
      </c>
      <c r="M6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ClimatizadorRecuperadorBateríaEntálpico</v>
      </c>
      <c r="O67" t="s">
        <v>622</v>
      </c>
    </row>
    <row r="68" spans="1:15" x14ac:dyDescent="0.25">
      <c r="A68" t="s">
        <v>9</v>
      </c>
      <c r="B68" t="s">
        <v>81</v>
      </c>
      <c r="C68" t="s">
        <v>560</v>
      </c>
      <c r="H68">
        <v>22</v>
      </c>
      <c r="I68">
        <v>67</v>
      </c>
      <c r="J68" t="s">
        <v>561</v>
      </c>
      <c r="K68" t="s">
        <v>140</v>
      </c>
      <c r="L68">
        <v>1</v>
      </c>
      <c r="M6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ClimatizadorRecuperadorBatería</v>
      </c>
      <c r="O68" t="s">
        <v>622</v>
      </c>
    </row>
    <row r="69" spans="1:15" x14ac:dyDescent="0.25">
      <c r="A69" t="s">
        <v>9</v>
      </c>
      <c r="B69" t="s">
        <v>81</v>
      </c>
      <c r="C69" t="s">
        <v>560</v>
      </c>
      <c r="H69">
        <v>22</v>
      </c>
      <c r="I69">
        <v>68</v>
      </c>
      <c r="J69" t="s">
        <v>562</v>
      </c>
      <c r="K69" t="s">
        <v>138</v>
      </c>
      <c r="L69">
        <v>1</v>
      </c>
      <c r="M6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ClimatizadorRecuperadorBatería</v>
      </c>
      <c r="O69" t="s">
        <v>622</v>
      </c>
    </row>
    <row r="70" spans="1:15" x14ac:dyDescent="0.25">
      <c r="A70" t="s">
        <v>9</v>
      </c>
      <c r="B70" t="s">
        <v>81</v>
      </c>
      <c r="C70" t="s">
        <v>560</v>
      </c>
      <c r="H70">
        <v>22</v>
      </c>
      <c r="I70">
        <v>69</v>
      </c>
      <c r="J70" t="s">
        <v>563</v>
      </c>
      <c r="K70" t="s">
        <v>139</v>
      </c>
      <c r="L70">
        <v>1</v>
      </c>
      <c r="M7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ClimatizadorRecuperadorBatería</v>
      </c>
      <c r="O70" t="s">
        <v>622</v>
      </c>
    </row>
    <row r="71" spans="1:15" x14ac:dyDescent="0.25">
      <c r="A71" t="s">
        <v>9</v>
      </c>
      <c r="B71" t="s">
        <v>89</v>
      </c>
      <c r="H71">
        <v>23</v>
      </c>
      <c r="I71">
        <v>70</v>
      </c>
      <c r="J71" t="s">
        <v>90</v>
      </c>
      <c r="K71" t="s">
        <v>140</v>
      </c>
      <c r="L71">
        <v>1</v>
      </c>
      <c r="M7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ClimatizadorHumectador</v>
      </c>
      <c r="O71" t="s">
        <v>623</v>
      </c>
    </row>
    <row r="72" spans="1:15" x14ac:dyDescent="0.25">
      <c r="A72" t="s">
        <v>9</v>
      </c>
      <c r="B72" t="s">
        <v>89</v>
      </c>
      <c r="H72">
        <v>23</v>
      </c>
      <c r="I72">
        <v>71</v>
      </c>
      <c r="J72" t="s">
        <v>91</v>
      </c>
      <c r="K72" t="s">
        <v>138</v>
      </c>
      <c r="L72">
        <v>1</v>
      </c>
      <c r="M7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ClimatizadorHumectador</v>
      </c>
      <c r="O72" t="s">
        <v>623</v>
      </c>
    </row>
    <row r="73" spans="1:15" x14ac:dyDescent="0.25">
      <c r="A73" t="s">
        <v>9</v>
      </c>
      <c r="B73" t="s">
        <v>89</v>
      </c>
      <c r="H73">
        <v>23</v>
      </c>
      <c r="I73">
        <v>72</v>
      </c>
      <c r="J73" t="s">
        <v>92</v>
      </c>
      <c r="K73" t="s">
        <v>139</v>
      </c>
      <c r="L73">
        <v>1</v>
      </c>
      <c r="M7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ClimatizadorHumectador</v>
      </c>
      <c r="O73" t="s">
        <v>623</v>
      </c>
    </row>
    <row r="74" spans="1:15" x14ac:dyDescent="0.25">
      <c r="A74" t="s">
        <v>9</v>
      </c>
      <c r="B74" t="s">
        <v>89</v>
      </c>
      <c r="H74">
        <v>24</v>
      </c>
      <c r="I74">
        <v>73</v>
      </c>
      <c r="J74" t="s">
        <v>93</v>
      </c>
      <c r="K74" t="s">
        <v>78</v>
      </c>
      <c r="L74">
        <v>1</v>
      </c>
      <c r="M7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ClimatizadorHumectador</v>
      </c>
      <c r="O74" t="s">
        <v>623</v>
      </c>
    </row>
    <row r="75" spans="1:15" x14ac:dyDescent="0.25">
      <c r="A75" t="s">
        <v>9</v>
      </c>
      <c r="B75" t="s">
        <v>568</v>
      </c>
      <c r="H75">
        <v>25</v>
      </c>
      <c r="I75">
        <v>74</v>
      </c>
      <c r="J75" t="s">
        <v>564</v>
      </c>
      <c r="K75" t="s">
        <v>140</v>
      </c>
      <c r="L75">
        <v>1</v>
      </c>
      <c r="M7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ClimatizadorDeshumectador</v>
      </c>
      <c r="O75" t="s">
        <v>624</v>
      </c>
    </row>
    <row r="76" spans="1:15" x14ac:dyDescent="0.25">
      <c r="A76" t="s">
        <v>9</v>
      </c>
      <c r="B76" t="s">
        <v>568</v>
      </c>
      <c r="H76">
        <v>25</v>
      </c>
      <c r="I76">
        <v>75</v>
      </c>
      <c r="J76" t="s">
        <v>565</v>
      </c>
      <c r="K76" t="s">
        <v>138</v>
      </c>
      <c r="L76">
        <v>1</v>
      </c>
      <c r="M7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ClimatizadorDeshumectador</v>
      </c>
      <c r="O76" t="s">
        <v>624</v>
      </c>
    </row>
    <row r="77" spans="1:15" x14ac:dyDescent="0.25">
      <c r="A77" t="s">
        <v>9</v>
      </c>
      <c r="B77" t="s">
        <v>568</v>
      </c>
      <c r="H77">
        <v>25</v>
      </c>
      <c r="I77">
        <v>76</v>
      </c>
      <c r="J77" t="s">
        <v>566</v>
      </c>
      <c r="K77" t="s">
        <v>139</v>
      </c>
      <c r="L77">
        <v>1</v>
      </c>
      <c r="M7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ClimatizadorDeshumectador</v>
      </c>
      <c r="O77" t="s">
        <v>624</v>
      </c>
    </row>
    <row r="78" spans="1:15" x14ac:dyDescent="0.25">
      <c r="A78" t="s">
        <v>9</v>
      </c>
      <c r="B78" t="s">
        <v>568</v>
      </c>
      <c r="H78">
        <v>26</v>
      </c>
      <c r="I78">
        <v>77</v>
      </c>
      <c r="J78" t="s">
        <v>567</v>
      </c>
      <c r="K78" t="s">
        <v>78</v>
      </c>
      <c r="L78">
        <v>1</v>
      </c>
      <c r="M7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ClimatizadorDeshumectador</v>
      </c>
      <c r="O78" t="s">
        <v>624</v>
      </c>
    </row>
    <row r="79" spans="1:15" x14ac:dyDescent="0.25">
      <c r="A79" t="s">
        <v>9</v>
      </c>
      <c r="B79" t="s">
        <v>102</v>
      </c>
      <c r="C79" t="s">
        <v>129</v>
      </c>
      <c r="D79" t="s">
        <v>130</v>
      </c>
      <c r="E79" t="s">
        <v>759</v>
      </c>
      <c r="H79">
        <v>27</v>
      </c>
      <c r="I79">
        <v>78</v>
      </c>
      <c r="J79" t="s">
        <v>131</v>
      </c>
      <c r="K79" t="s">
        <v>132</v>
      </c>
      <c r="L79">
        <v>1</v>
      </c>
      <c r="M7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ClimatizadorSensoresFiltrajeFiltro sucioAlarma</v>
      </c>
      <c r="O79" t="s">
        <v>763</v>
      </c>
    </row>
    <row r="80" spans="1:15" x14ac:dyDescent="0.25">
      <c r="A80" t="s">
        <v>9</v>
      </c>
      <c r="B80" t="s">
        <v>102</v>
      </c>
      <c r="C80" t="s">
        <v>129</v>
      </c>
      <c r="D80" t="s">
        <v>133</v>
      </c>
      <c r="E80" t="s">
        <v>759</v>
      </c>
      <c r="H80">
        <v>28</v>
      </c>
      <c r="I80">
        <v>79</v>
      </c>
      <c r="J80" t="s">
        <v>134</v>
      </c>
      <c r="K80" t="s">
        <v>132</v>
      </c>
      <c r="L80">
        <v>1</v>
      </c>
      <c r="M8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ClimatizadorSensoresFiltrajePrefiltro sucioAlarma</v>
      </c>
      <c r="O80" t="s">
        <v>764</v>
      </c>
    </row>
    <row r="81" spans="1:15" x14ac:dyDescent="0.25">
      <c r="A81" t="s">
        <v>9</v>
      </c>
      <c r="B81" t="s">
        <v>102</v>
      </c>
      <c r="C81" t="s">
        <v>129</v>
      </c>
      <c r="D81" t="s">
        <v>130</v>
      </c>
      <c r="E81" t="s">
        <v>760</v>
      </c>
      <c r="H81">
        <v>27</v>
      </c>
      <c r="I81">
        <v>80</v>
      </c>
      <c r="J81" t="s">
        <v>761</v>
      </c>
      <c r="K81" t="s">
        <v>22</v>
      </c>
      <c r="L81">
        <v>1</v>
      </c>
      <c r="M8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ClimatizadorSensoresFiltrajeFiltro sucioLectura analógica</v>
      </c>
      <c r="O81" t="s">
        <v>765</v>
      </c>
    </row>
    <row r="82" spans="1:15" x14ac:dyDescent="0.25">
      <c r="A82" t="s">
        <v>9</v>
      </c>
      <c r="B82" t="s">
        <v>102</v>
      </c>
      <c r="C82" t="s">
        <v>129</v>
      </c>
      <c r="D82" t="s">
        <v>133</v>
      </c>
      <c r="E82" t="s">
        <v>760</v>
      </c>
      <c r="H82">
        <v>28</v>
      </c>
      <c r="I82">
        <v>81</v>
      </c>
      <c r="J82" t="s">
        <v>762</v>
      </c>
      <c r="K82" t="s">
        <v>22</v>
      </c>
      <c r="L82">
        <v>1</v>
      </c>
      <c r="M8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ClimatizadorSensoresFiltrajePrefiltro sucioLectura analógica</v>
      </c>
      <c r="O82" t="s">
        <v>766</v>
      </c>
    </row>
    <row r="83" spans="1:15" x14ac:dyDescent="0.25">
      <c r="A83" t="s">
        <v>9</v>
      </c>
      <c r="B83" t="s">
        <v>102</v>
      </c>
      <c r="C83" t="s">
        <v>103</v>
      </c>
      <c r="D83" t="s">
        <v>104</v>
      </c>
      <c r="H83">
        <v>29</v>
      </c>
      <c r="I83">
        <v>82</v>
      </c>
      <c r="J83" t="s">
        <v>105</v>
      </c>
      <c r="K83" t="s">
        <v>64</v>
      </c>
      <c r="L83">
        <v>1</v>
      </c>
      <c r="M8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ClimatizadorSensoresImpulsiónTemperatura</v>
      </c>
      <c r="O83" t="s">
        <v>646</v>
      </c>
    </row>
    <row r="84" spans="1:15" x14ac:dyDescent="0.25">
      <c r="A84" t="s">
        <v>9</v>
      </c>
      <c r="B84" t="s">
        <v>102</v>
      </c>
      <c r="C84" t="s">
        <v>103</v>
      </c>
      <c r="D84" t="s">
        <v>104</v>
      </c>
      <c r="E84" t="s">
        <v>106</v>
      </c>
      <c r="H84">
        <v>29</v>
      </c>
      <c r="I84">
        <v>83</v>
      </c>
      <c r="J84" t="s">
        <v>107</v>
      </c>
      <c r="K84" t="s">
        <v>78</v>
      </c>
      <c r="L84">
        <v>1</v>
      </c>
      <c r="M8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ClimatizadorSensoresImpulsiónTemperaturaHumedad</v>
      </c>
      <c r="O84" t="s">
        <v>647</v>
      </c>
    </row>
    <row r="85" spans="1:15" x14ac:dyDescent="0.25">
      <c r="A85" t="s">
        <v>9</v>
      </c>
      <c r="B85" t="s">
        <v>102</v>
      </c>
      <c r="C85" t="s">
        <v>103</v>
      </c>
      <c r="D85" t="s">
        <v>104</v>
      </c>
      <c r="E85" t="s">
        <v>108</v>
      </c>
      <c r="H85">
        <v>29</v>
      </c>
      <c r="I85">
        <v>84</v>
      </c>
      <c r="J85" t="s">
        <v>767</v>
      </c>
      <c r="K85" t="s">
        <v>70</v>
      </c>
      <c r="L85">
        <v>1</v>
      </c>
      <c r="M8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ClimatizadorSensoresImpulsiónTemperaturaCO2</v>
      </c>
      <c r="O85" t="s">
        <v>768</v>
      </c>
    </row>
    <row r="86" spans="1:15" x14ac:dyDescent="0.25">
      <c r="A86" t="s">
        <v>9</v>
      </c>
      <c r="B86" t="s">
        <v>102</v>
      </c>
      <c r="C86" t="s">
        <v>103</v>
      </c>
      <c r="D86" t="s">
        <v>104</v>
      </c>
      <c r="E86" t="s">
        <v>106</v>
      </c>
      <c r="F86" t="s">
        <v>108</v>
      </c>
      <c r="H86">
        <v>29</v>
      </c>
      <c r="I86">
        <v>85</v>
      </c>
      <c r="J86" t="s">
        <v>770</v>
      </c>
      <c r="K86" t="s">
        <v>110</v>
      </c>
      <c r="L86">
        <v>1</v>
      </c>
      <c r="M8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ClimatizadorSensoresImpulsiónTemperaturaHumedadCO2</v>
      </c>
      <c r="O86" t="s">
        <v>769</v>
      </c>
    </row>
    <row r="87" spans="1:15" x14ac:dyDescent="0.25">
      <c r="A87" t="s">
        <v>9</v>
      </c>
      <c r="B87" t="s">
        <v>102</v>
      </c>
      <c r="C87" t="s">
        <v>103</v>
      </c>
      <c r="D87" t="s">
        <v>108</v>
      </c>
      <c r="H87">
        <v>29</v>
      </c>
      <c r="I87">
        <v>86</v>
      </c>
      <c r="J87" t="s">
        <v>771</v>
      </c>
      <c r="K87" t="s">
        <v>112</v>
      </c>
      <c r="L87">
        <v>1</v>
      </c>
      <c r="M8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ClimatizadorSensoresImpulsiónCO2</v>
      </c>
      <c r="O87" t="s">
        <v>772</v>
      </c>
    </row>
    <row r="88" spans="1:15" x14ac:dyDescent="0.25">
      <c r="A88" t="s">
        <v>9</v>
      </c>
      <c r="B88" t="s">
        <v>102</v>
      </c>
      <c r="C88" t="s">
        <v>103</v>
      </c>
      <c r="D88" t="s">
        <v>799</v>
      </c>
      <c r="H88">
        <v>36</v>
      </c>
      <c r="I88">
        <v>87</v>
      </c>
      <c r="J88" t="s">
        <v>802</v>
      </c>
      <c r="K88" t="s">
        <v>22</v>
      </c>
      <c r="L88">
        <v>1</v>
      </c>
      <c r="M8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ClimatizadorSensoresImpulsiónPresión</v>
      </c>
    </row>
    <row r="89" spans="1:15" x14ac:dyDescent="0.25">
      <c r="A89" t="s">
        <v>9</v>
      </c>
      <c r="B89" t="s">
        <v>102</v>
      </c>
      <c r="C89" t="s">
        <v>68</v>
      </c>
      <c r="D89" t="s">
        <v>104</v>
      </c>
      <c r="H89">
        <v>30</v>
      </c>
      <c r="I89">
        <v>88</v>
      </c>
      <c r="J89" t="s">
        <v>63</v>
      </c>
      <c r="K89" t="s">
        <v>64</v>
      </c>
      <c r="L89">
        <v>1</v>
      </c>
      <c r="M8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ClimatizadorSensoresRetornoTemperatura</v>
      </c>
      <c r="O89" t="s">
        <v>648</v>
      </c>
    </row>
    <row r="90" spans="1:15" x14ac:dyDescent="0.25">
      <c r="A90" t="s">
        <v>9</v>
      </c>
      <c r="B90" t="s">
        <v>102</v>
      </c>
      <c r="C90" t="s">
        <v>68</v>
      </c>
      <c r="D90" t="s">
        <v>104</v>
      </c>
      <c r="E90" t="s">
        <v>106</v>
      </c>
      <c r="H90">
        <v>30</v>
      </c>
      <c r="I90">
        <v>89</v>
      </c>
      <c r="J90" t="s">
        <v>77</v>
      </c>
      <c r="K90" t="s">
        <v>78</v>
      </c>
      <c r="L90">
        <v>1</v>
      </c>
      <c r="M9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ClimatizadorSensoresRetornoTemperaturaHumedad</v>
      </c>
      <c r="O90" t="s">
        <v>649</v>
      </c>
    </row>
    <row r="91" spans="1:15" x14ac:dyDescent="0.25">
      <c r="A91" t="s">
        <v>9</v>
      </c>
      <c r="B91" t="s">
        <v>102</v>
      </c>
      <c r="C91" t="s">
        <v>68</v>
      </c>
      <c r="D91" t="s">
        <v>104</v>
      </c>
      <c r="E91" t="s">
        <v>108</v>
      </c>
      <c r="H91">
        <v>30</v>
      </c>
      <c r="I91">
        <v>90</v>
      </c>
      <c r="J91" t="s">
        <v>69</v>
      </c>
      <c r="K91" t="s">
        <v>70</v>
      </c>
      <c r="L91">
        <v>1</v>
      </c>
      <c r="M9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ClimatizadorSensoresRetornoTemperaturaCO2</v>
      </c>
      <c r="O91" t="s">
        <v>650</v>
      </c>
    </row>
    <row r="92" spans="1:15" x14ac:dyDescent="0.25">
      <c r="A92" t="s">
        <v>9</v>
      </c>
      <c r="B92" t="s">
        <v>102</v>
      </c>
      <c r="C92" t="s">
        <v>68</v>
      </c>
      <c r="D92" t="s">
        <v>104</v>
      </c>
      <c r="E92" t="s">
        <v>106</v>
      </c>
      <c r="F92" t="s">
        <v>108</v>
      </c>
      <c r="H92">
        <v>30</v>
      </c>
      <c r="I92">
        <v>91</v>
      </c>
      <c r="J92" t="s">
        <v>109</v>
      </c>
      <c r="K92" t="s">
        <v>110</v>
      </c>
      <c r="L92">
        <v>1</v>
      </c>
      <c r="M9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ClimatizadorSensoresRetornoTemperaturaHumedadCO2</v>
      </c>
      <c r="O92" t="s">
        <v>651</v>
      </c>
    </row>
    <row r="93" spans="1:15" x14ac:dyDescent="0.25">
      <c r="A93" t="s">
        <v>9</v>
      </c>
      <c r="B93" t="s">
        <v>102</v>
      </c>
      <c r="C93" t="s">
        <v>68</v>
      </c>
      <c r="D93" t="s">
        <v>108</v>
      </c>
      <c r="H93">
        <v>30</v>
      </c>
      <c r="I93">
        <v>92</v>
      </c>
      <c r="J93" t="s">
        <v>111</v>
      </c>
      <c r="K93" t="s">
        <v>112</v>
      </c>
      <c r="L93">
        <v>1</v>
      </c>
      <c r="M9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ClimatizadorSensoresRetornoCO2</v>
      </c>
      <c r="O93" t="s">
        <v>652</v>
      </c>
    </row>
    <row r="94" spans="1:15" x14ac:dyDescent="0.25">
      <c r="A94" t="s">
        <v>9</v>
      </c>
      <c r="B94" t="s">
        <v>102</v>
      </c>
      <c r="C94" t="s">
        <v>68</v>
      </c>
      <c r="D94" t="s">
        <v>799</v>
      </c>
      <c r="H94">
        <v>37</v>
      </c>
      <c r="I94">
        <v>93</v>
      </c>
      <c r="J94" t="s">
        <v>801</v>
      </c>
      <c r="K94" t="s">
        <v>22</v>
      </c>
      <c r="L94">
        <v>1</v>
      </c>
      <c r="M9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ClimatizadorSensoresRetornoPresión</v>
      </c>
    </row>
    <row r="95" spans="1:15" x14ac:dyDescent="0.25">
      <c r="A95" t="s">
        <v>9</v>
      </c>
      <c r="B95" t="s">
        <v>102</v>
      </c>
      <c r="C95" t="s">
        <v>71</v>
      </c>
      <c r="D95" t="s">
        <v>104</v>
      </c>
      <c r="H95">
        <v>31</v>
      </c>
      <c r="I95">
        <v>94</v>
      </c>
      <c r="J95" t="s">
        <v>113</v>
      </c>
      <c r="K95" t="s">
        <v>114</v>
      </c>
      <c r="L95">
        <v>1</v>
      </c>
      <c r="M9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ClimatizadorSensoresAmbienteTemperatura</v>
      </c>
      <c r="O95" t="s">
        <v>653</v>
      </c>
    </row>
    <row r="96" spans="1:15" x14ac:dyDescent="0.25">
      <c r="A96" t="s">
        <v>9</v>
      </c>
      <c r="B96" t="s">
        <v>102</v>
      </c>
      <c r="C96" t="s">
        <v>71</v>
      </c>
      <c r="D96" t="s">
        <v>104</v>
      </c>
      <c r="E96" t="s">
        <v>106</v>
      </c>
      <c r="H96">
        <v>31</v>
      </c>
      <c r="I96">
        <v>95</v>
      </c>
      <c r="J96" t="s">
        <v>115</v>
      </c>
      <c r="K96" t="s">
        <v>116</v>
      </c>
      <c r="L96">
        <v>1</v>
      </c>
      <c r="M9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ClimatizadorSensoresAmbienteTemperaturaHumedad</v>
      </c>
      <c r="O96" t="s">
        <v>654</v>
      </c>
    </row>
    <row r="97" spans="1:15" x14ac:dyDescent="0.25">
      <c r="A97" t="s">
        <v>9</v>
      </c>
      <c r="B97" t="s">
        <v>102</v>
      </c>
      <c r="C97" t="s">
        <v>71</v>
      </c>
      <c r="D97" t="s">
        <v>104</v>
      </c>
      <c r="E97" t="s">
        <v>108</v>
      </c>
      <c r="H97">
        <v>31</v>
      </c>
      <c r="I97">
        <v>96</v>
      </c>
      <c r="J97" t="s">
        <v>72</v>
      </c>
      <c r="K97" t="s">
        <v>117</v>
      </c>
      <c r="L97">
        <v>1</v>
      </c>
      <c r="M9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ClimatizadorSensoresAmbienteTemperaturaCO2</v>
      </c>
      <c r="O97" t="s">
        <v>655</v>
      </c>
    </row>
    <row r="98" spans="1:15" x14ac:dyDescent="0.25">
      <c r="A98" t="s">
        <v>9</v>
      </c>
      <c r="B98" t="s">
        <v>102</v>
      </c>
      <c r="C98" t="s">
        <v>71</v>
      </c>
      <c r="D98" t="s">
        <v>118</v>
      </c>
      <c r="E98" t="s">
        <v>108</v>
      </c>
      <c r="H98">
        <v>31</v>
      </c>
      <c r="I98">
        <v>97</v>
      </c>
      <c r="J98" t="s">
        <v>119</v>
      </c>
      <c r="K98" t="s">
        <v>120</v>
      </c>
      <c r="L98">
        <v>1</v>
      </c>
      <c r="M9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ClimatizadorSensoresAmbienteConsigna TCO2</v>
      </c>
      <c r="O98" t="s">
        <v>656</v>
      </c>
    </row>
    <row r="99" spans="1:15" x14ac:dyDescent="0.25">
      <c r="A99" t="s">
        <v>9</v>
      </c>
      <c r="B99" t="s">
        <v>102</v>
      </c>
      <c r="C99" t="s">
        <v>71</v>
      </c>
      <c r="D99" t="s">
        <v>104</v>
      </c>
      <c r="E99" t="s">
        <v>106</v>
      </c>
      <c r="F99" t="s">
        <v>108</v>
      </c>
      <c r="H99">
        <v>31</v>
      </c>
      <c r="I99">
        <v>98</v>
      </c>
      <c r="J99" t="s">
        <v>121</v>
      </c>
      <c r="K99" t="s">
        <v>122</v>
      </c>
      <c r="L99">
        <v>1</v>
      </c>
      <c r="M9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ClimatizadorSensoresAmbienteTemperaturaHumedadCO2</v>
      </c>
      <c r="O99" t="s">
        <v>657</v>
      </c>
    </row>
    <row r="100" spans="1:15" x14ac:dyDescent="0.25">
      <c r="A100" t="s">
        <v>9</v>
      </c>
      <c r="B100" t="s">
        <v>102</v>
      </c>
      <c r="C100" t="s">
        <v>71</v>
      </c>
      <c r="D100" t="s">
        <v>118</v>
      </c>
      <c r="H100">
        <v>31</v>
      </c>
      <c r="I100">
        <v>99</v>
      </c>
      <c r="J100" t="s">
        <v>123</v>
      </c>
      <c r="K100" t="s">
        <v>124</v>
      </c>
      <c r="L100">
        <v>1</v>
      </c>
      <c r="M10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ClimatizadorSensoresAmbienteConsigna T</v>
      </c>
      <c r="O100" t="s">
        <v>658</v>
      </c>
    </row>
    <row r="101" spans="1:15" x14ac:dyDescent="0.25">
      <c r="A101" t="s">
        <v>9</v>
      </c>
      <c r="B101" t="s">
        <v>102</v>
      </c>
      <c r="C101" t="s">
        <v>71</v>
      </c>
      <c r="D101" t="s">
        <v>118</v>
      </c>
      <c r="E101" t="s">
        <v>106</v>
      </c>
      <c r="H101">
        <v>31</v>
      </c>
      <c r="I101">
        <v>100</v>
      </c>
      <c r="J101" t="s">
        <v>125</v>
      </c>
      <c r="K101" t="s">
        <v>126</v>
      </c>
      <c r="L101">
        <v>1</v>
      </c>
      <c r="M10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ClimatizadorSensoresAmbienteConsigna THumedad</v>
      </c>
      <c r="O101" t="s">
        <v>659</v>
      </c>
    </row>
    <row r="102" spans="1:15" x14ac:dyDescent="0.25">
      <c r="A102" t="s">
        <v>9</v>
      </c>
      <c r="B102" t="s">
        <v>102</v>
      </c>
      <c r="C102" t="s">
        <v>71</v>
      </c>
      <c r="D102" t="s">
        <v>118</v>
      </c>
      <c r="E102" t="s">
        <v>106</v>
      </c>
      <c r="F102" t="s">
        <v>108</v>
      </c>
      <c r="H102">
        <v>31</v>
      </c>
      <c r="I102">
        <v>101</v>
      </c>
      <c r="J102" t="s">
        <v>127</v>
      </c>
      <c r="K102" t="s">
        <v>128</v>
      </c>
      <c r="L102">
        <v>1</v>
      </c>
      <c r="M10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ClimatizadorSensoresAmbienteConsigna THumedadCO2</v>
      </c>
      <c r="O102" t="s">
        <v>660</v>
      </c>
    </row>
    <row r="103" spans="1:15" x14ac:dyDescent="0.25">
      <c r="A103" t="s">
        <v>9</v>
      </c>
      <c r="B103" t="s">
        <v>102</v>
      </c>
      <c r="C103" t="s">
        <v>71</v>
      </c>
      <c r="D103" t="s">
        <v>799</v>
      </c>
      <c r="H103">
        <v>38</v>
      </c>
      <c r="I103">
        <v>102</v>
      </c>
      <c r="J103" t="s">
        <v>800</v>
      </c>
      <c r="K103" t="s">
        <v>22</v>
      </c>
      <c r="L103">
        <v>1</v>
      </c>
      <c r="M10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ClimatizadorSensoresAmbientePresión</v>
      </c>
    </row>
    <row r="104" spans="1:15" x14ac:dyDescent="0.25">
      <c r="A104" t="s">
        <v>9</v>
      </c>
      <c r="B104" t="s">
        <v>102</v>
      </c>
      <c r="C104" t="s">
        <v>790</v>
      </c>
      <c r="D104" t="s">
        <v>104</v>
      </c>
      <c r="H104">
        <v>35</v>
      </c>
      <c r="I104">
        <v>103</v>
      </c>
      <c r="J104" t="s">
        <v>796</v>
      </c>
      <c r="K104" t="s">
        <v>66</v>
      </c>
      <c r="L104">
        <v>1</v>
      </c>
      <c r="M10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ClimatizadorSensoresExteriorTemperatura</v>
      </c>
      <c r="O104" t="s">
        <v>792</v>
      </c>
    </row>
    <row r="105" spans="1:15" x14ac:dyDescent="0.25">
      <c r="A105" t="s">
        <v>9</v>
      </c>
      <c r="B105" t="s">
        <v>102</v>
      </c>
      <c r="C105" t="s">
        <v>790</v>
      </c>
      <c r="D105" t="s">
        <v>104</v>
      </c>
      <c r="E105" t="s">
        <v>106</v>
      </c>
      <c r="H105">
        <v>35</v>
      </c>
      <c r="I105">
        <v>104</v>
      </c>
      <c r="J105" t="s">
        <v>797</v>
      </c>
      <c r="K105" t="s">
        <v>80</v>
      </c>
      <c r="L105">
        <v>1</v>
      </c>
      <c r="M10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ClimatizadorSensoresExteriorTemperaturaHumedad</v>
      </c>
      <c r="O105" t="s">
        <v>793</v>
      </c>
    </row>
    <row r="106" spans="1:15" x14ac:dyDescent="0.25">
      <c r="A106" t="s">
        <v>9</v>
      </c>
      <c r="B106" t="s">
        <v>102</v>
      </c>
      <c r="C106" t="s">
        <v>790</v>
      </c>
      <c r="D106" t="s">
        <v>104</v>
      </c>
      <c r="E106" t="s">
        <v>108</v>
      </c>
      <c r="H106">
        <v>35</v>
      </c>
      <c r="I106">
        <v>105</v>
      </c>
      <c r="J106" t="s">
        <v>798</v>
      </c>
      <c r="K106" t="s">
        <v>75</v>
      </c>
      <c r="L106">
        <v>1</v>
      </c>
      <c r="M10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ClimatizadorSensoresExteriorTemperaturaCO2</v>
      </c>
      <c r="O106" t="s">
        <v>794</v>
      </c>
    </row>
    <row r="107" spans="1:15" x14ac:dyDescent="0.25">
      <c r="A107" t="s">
        <v>9</v>
      </c>
      <c r="B107" t="s">
        <v>102</v>
      </c>
      <c r="C107" t="s">
        <v>790</v>
      </c>
      <c r="D107" t="s">
        <v>104</v>
      </c>
      <c r="E107" t="s">
        <v>106</v>
      </c>
      <c r="F107" t="s">
        <v>108</v>
      </c>
      <c r="H107">
        <v>35</v>
      </c>
      <c r="I107">
        <v>106</v>
      </c>
      <c r="J107" t="s">
        <v>791</v>
      </c>
      <c r="K107" t="s">
        <v>556</v>
      </c>
      <c r="L107">
        <v>1</v>
      </c>
      <c r="M10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ClimatizadorSensoresExteriorTemperaturaHumedadCO2</v>
      </c>
      <c r="O107" t="s">
        <v>795</v>
      </c>
    </row>
    <row r="108" spans="1:15" x14ac:dyDescent="0.25">
      <c r="A108" t="s">
        <v>9</v>
      </c>
      <c r="B108" t="s">
        <v>94</v>
      </c>
      <c r="C108" t="s">
        <v>95</v>
      </c>
      <c r="D108" t="s">
        <v>96</v>
      </c>
      <c r="H108">
        <v>32</v>
      </c>
      <c r="I108">
        <v>107</v>
      </c>
      <c r="J108" t="s">
        <v>704</v>
      </c>
      <c r="K108" t="s">
        <v>97</v>
      </c>
      <c r="L108">
        <v>1</v>
      </c>
      <c r="M10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ClimatizadorBaterías2 tubosVálvula 2 vías</v>
      </c>
      <c r="O108" t="s">
        <v>625</v>
      </c>
    </row>
    <row r="109" spans="1:15" x14ac:dyDescent="0.25">
      <c r="A109" t="s">
        <v>9</v>
      </c>
      <c r="B109" t="s">
        <v>94</v>
      </c>
      <c r="C109" t="s">
        <v>95</v>
      </c>
      <c r="D109" t="s">
        <v>703</v>
      </c>
      <c r="H109">
        <v>32</v>
      </c>
      <c r="I109">
        <v>108</v>
      </c>
      <c r="J109" t="s">
        <v>739</v>
      </c>
      <c r="K109" t="s">
        <v>755</v>
      </c>
      <c r="L109">
        <v>1</v>
      </c>
      <c r="M10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ClimatizadorBaterías2 tubosVálvula 3 vías mezcladora</v>
      </c>
      <c r="O109" t="s">
        <v>626</v>
      </c>
    </row>
    <row r="110" spans="1:15" x14ac:dyDescent="0.25">
      <c r="A110" t="s">
        <v>9</v>
      </c>
      <c r="B110" t="s">
        <v>94</v>
      </c>
      <c r="C110" t="s">
        <v>95</v>
      </c>
      <c r="D110" t="s">
        <v>701</v>
      </c>
      <c r="H110">
        <v>32</v>
      </c>
      <c r="I110">
        <v>109</v>
      </c>
      <c r="J110" t="s">
        <v>712</v>
      </c>
      <c r="K110" t="s">
        <v>98</v>
      </c>
      <c r="L110">
        <v>1</v>
      </c>
      <c r="M11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ClimatizadorBaterías2 tubosVálvula 2 vías PI</v>
      </c>
      <c r="O110" t="s">
        <v>627</v>
      </c>
    </row>
    <row r="111" spans="1:15" x14ac:dyDescent="0.25">
      <c r="A111" t="s">
        <v>9</v>
      </c>
      <c r="B111" t="s">
        <v>94</v>
      </c>
      <c r="C111" t="s">
        <v>95</v>
      </c>
      <c r="D111" t="s">
        <v>702</v>
      </c>
      <c r="H111">
        <v>32</v>
      </c>
      <c r="I111">
        <v>110</v>
      </c>
      <c r="J111" t="s">
        <v>740</v>
      </c>
      <c r="K111" t="s">
        <v>756</v>
      </c>
      <c r="L111">
        <v>1</v>
      </c>
      <c r="M11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ClimatizadorBaterías2 tubosVálvula 2 vías PI FDL</v>
      </c>
      <c r="O111" t="s">
        <v>628</v>
      </c>
    </row>
    <row r="112" spans="1:15" x14ac:dyDescent="0.25">
      <c r="A112" t="s">
        <v>9</v>
      </c>
      <c r="B112" t="s">
        <v>94</v>
      </c>
      <c r="C112" t="s">
        <v>95</v>
      </c>
      <c r="D112" t="s">
        <v>96</v>
      </c>
      <c r="E112" t="s">
        <v>99</v>
      </c>
      <c r="H112">
        <v>32</v>
      </c>
      <c r="I112">
        <v>111</v>
      </c>
      <c r="J112" t="s">
        <v>705</v>
      </c>
      <c r="K112" t="s">
        <v>716</v>
      </c>
      <c r="L112">
        <v>1</v>
      </c>
      <c r="M11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ClimatizadorBaterías2 tubosVálvula 2 víasEA feedback</v>
      </c>
      <c r="O112" t="s">
        <v>629</v>
      </c>
    </row>
    <row r="113" spans="1:15" x14ac:dyDescent="0.25">
      <c r="A113" t="s">
        <v>9</v>
      </c>
      <c r="B113" t="s">
        <v>94</v>
      </c>
      <c r="C113" t="s">
        <v>95</v>
      </c>
      <c r="D113" t="s">
        <v>703</v>
      </c>
      <c r="E113" t="s">
        <v>99</v>
      </c>
      <c r="H113">
        <v>32</v>
      </c>
      <c r="I113">
        <v>112</v>
      </c>
      <c r="J113" t="s">
        <v>741</v>
      </c>
      <c r="K113" t="s">
        <v>757</v>
      </c>
      <c r="L113">
        <v>1</v>
      </c>
      <c r="M11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ClimatizadorBaterías2 tubosVálvula 3 vías mezcladoraEA feedback</v>
      </c>
      <c r="O113" t="s">
        <v>630</v>
      </c>
    </row>
    <row r="114" spans="1:15" x14ac:dyDescent="0.25">
      <c r="A114" t="s">
        <v>9</v>
      </c>
      <c r="B114" t="s">
        <v>94</v>
      </c>
      <c r="C114" t="s">
        <v>95</v>
      </c>
      <c r="D114" t="s">
        <v>702</v>
      </c>
      <c r="E114" t="s">
        <v>99</v>
      </c>
      <c r="H114">
        <v>32</v>
      </c>
      <c r="I114">
        <v>113</v>
      </c>
      <c r="J114" t="s">
        <v>742</v>
      </c>
      <c r="K114" t="s">
        <v>758</v>
      </c>
      <c r="L114">
        <v>1</v>
      </c>
      <c r="M11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ClimatizadorBaterías2 tubosVálvula 2 vías PI FDLEA feedback</v>
      </c>
      <c r="O114" t="s">
        <v>631</v>
      </c>
    </row>
    <row r="115" spans="1:15" x14ac:dyDescent="0.25">
      <c r="A115" t="s">
        <v>9</v>
      </c>
      <c r="B115" t="s">
        <v>94</v>
      </c>
      <c r="C115" t="s">
        <v>100</v>
      </c>
      <c r="D115" t="s">
        <v>96</v>
      </c>
      <c r="H115">
        <v>32</v>
      </c>
      <c r="I115">
        <v>114</v>
      </c>
      <c r="J115" t="s">
        <v>706</v>
      </c>
      <c r="K115" t="s">
        <v>97</v>
      </c>
      <c r="L115">
        <v>1</v>
      </c>
      <c r="M11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2 vías</v>
      </c>
      <c r="O115" t="s">
        <v>632</v>
      </c>
    </row>
    <row r="116" spans="1:15" x14ac:dyDescent="0.25">
      <c r="A116" t="s">
        <v>9</v>
      </c>
      <c r="B116" t="s">
        <v>94</v>
      </c>
      <c r="C116" t="s">
        <v>100</v>
      </c>
      <c r="D116" t="s">
        <v>703</v>
      </c>
      <c r="H116">
        <v>32</v>
      </c>
      <c r="I116">
        <v>115</v>
      </c>
      <c r="J116" t="s">
        <v>743</v>
      </c>
      <c r="K116" t="s">
        <v>755</v>
      </c>
      <c r="L116">
        <v>1</v>
      </c>
      <c r="M11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3 vías mezcladora</v>
      </c>
      <c r="O116" t="s">
        <v>633</v>
      </c>
    </row>
    <row r="117" spans="1:15" x14ac:dyDescent="0.25">
      <c r="A117" t="s">
        <v>9</v>
      </c>
      <c r="B117" t="s">
        <v>94</v>
      </c>
      <c r="C117" t="s">
        <v>100</v>
      </c>
      <c r="D117" t="s">
        <v>701</v>
      </c>
      <c r="H117">
        <v>32</v>
      </c>
      <c r="I117">
        <v>116</v>
      </c>
      <c r="J117" t="s">
        <v>713</v>
      </c>
      <c r="K117" t="s">
        <v>98</v>
      </c>
      <c r="L117">
        <v>1</v>
      </c>
      <c r="M11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2 vías PI</v>
      </c>
      <c r="O117" t="s">
        <v>634</v>
      </c>
    </row>
    <row r="118" spans="1:15" x14ac:dyDescent="0.25">
      <c r="A118" t="s">
        <v>9</v>
      </c>
      <c r="B118" t="s">
        <v>94</v>
      </c>
      <c r="C118" t="s">
        <v>100</v>
      </c>
      <c r="D118" t="s">
        <v>702</v>
      </c>
      <c r="H118">
        <v>32</v>
      </c>
      <c r="I118">
        <v>117</v>
      </c>
      <c r="J118" t="s">
        <v>744</v>
      </c>
      <c r="K118" t="s">
        <v>756</v>
      </c>
      <c r="L118">
        <v>1</v>
      </c>
      <c r="M11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2 vías PI FDL</v>
      </c>
      <c r="O118" t="s">
        <v>635</v>
      </c>
    </row>
    <row r="119" spans="1:15" x14ac:dyDescent="0.25">
      <c r="A119" t="s">
        <v>9</v>
      </c>
      <c r="B119" t="s">
        <v>94</v>
      </c>
      <c r="C119" t="s">
        <v>100</v>
      </c>
      <c r="D119" t="s">
        <v>96</v>
      </c>
      <c r="H119">
        <v>33</v>
      </c>
      <c r="I119">
        <v>118</v>
      </c>
      <c r="J119" t="s">
        <v>707</v>
      </c>
      <c r="K119" t="s">
        <v>97</v>
      </c>
      <c r="L119">
        <v>1</v>
      </c>
      <c r="M11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2 vías</v>
      </c>
      <c r="O119" t="s">
        <v>632</v>
      </c>
    </row>
    <row r="120" spans="1:15" x14ac:dyDescent="0.25">
      <c r="A120" t="s">
        <v>9</v>
      </c>
      <c r="B120" t="s">
        <v>94</v>
      </c>
      <c r="C120" t="s">
        <v>100</v>
      </c>
      <c r="D120" t="s">
        <v>703</v>
      </c>
      <c r="H120">
        <v>33</v>
      </c>
      <c r="I120">
        <v>119</v>
      </c>
      <c r="J120" t="s">
        <v>745</v>
      </c>
      <c r="K120" t="s">
        <v>755</v>
      </c>
      <c r="L120">
        <v>1</v>
      </c>
      <c r="M12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3 vías mezcladora</v>
      </c>
      <c r="O120" t="s">
        <v>633</v>
      </c>
    </row>
    <row r="121" spans="1:15" x14ac:dyDescent="0.25">
      <c r="A121" t="s">
        <v>9</v>
      </c>
      <c r="B121" t="s">
        <v>94</v>
      </c>
      <c r="C121" t="s">
        <v>100</v>
      </c>
      <c r="D121" t="s">
        <v>701</v>
      </c>
      <c r="H121">
        <v>33</v>
      </c>
      <c r="I121">
        <v>120</v>
      </c>
      <c r="J121" t="s">
        <v>714</v>
      </c>
      <c r="K121" t="s">
        <v>98</v>
      </c>
      <c r="L121">
        <v>1</v>
      </c>
      <c r="M12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2 vías PI</v>
      </c>
      <c r="O121" t="s">
        <v>634</v>
      </c>
    </row>
    <row r="122" spans="1:15" x14ac:dyDescent="0.25">
      <c r="A122" t="s">
        <v>9</v>
      </c>
      <c r="B122" t="s">
        <v>94</v>
      </c>
      <c r="C122" t="s">
        <v>100</v>
      </c>
      <c r="D122" t="s">
        <v>702</v>
      </c>
      <c r="H122">
        <v>33</v>
      </c>
      <c r="I122">
        <v>121</v>
      </c>
      <c r="J122" t="s">
        <v>746</v>
      </c>
      <c r="K122" t="s">
        <v>756</v>
      </c>
      <c r="L122">
        <v>1</v>
      </c>
      <c r="M12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2 vías PI FDL</v>
      </c>
      <c r="O122" t="s">
        <v>635</v>
      </c>
    </row>
    <row r="123" spans="1:15" x14ac:dyDescent="0.25">
      <c r="A123" t="s">
        <v>9</v>
      </c>
      <c r="B123" t="s">
        <v>94</v>
      </c>
      <c r="C123" t="s">
        <v>100</v>
      </c>
      <c r="D123" t="s">
        <v>96</v>
      </c>
      <c r="E123" t="s">
        <v>99</v>
      </c>
      <c r="H123">
        <v>32</v>
      </c>
      <c r="I123">
        <v>122</v>
      </c>
      <c r="J123" t="s">
        <v>708</v>
      </c>
      <c r="K123" t="s">
        <v>716</v>
      </c>
      <c r="L123">
        <v>1</v>
      </c>
      <c r="M12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2 víasEA feedback</v>
      </c>
      <c r="O123" t="s">
        <v>636</v>
      </c>
    </row>
    <row r="124" spans="1:15" x14ac:dyDescent="0.25">
      <c r="A124" t="s">
        <v>9</v>
      </c>
      <c r="B124" t="s">
        <v>94</v>
      </c>
      <c r="C124" t="s">
        <v>100</v>
      </c>
      <c r="D124" t="s">
        <v>703</v>
      </c>
      <c r="E124" t="s">
        <v>99</v>
      </c>
      <c r="H124">
        <v>32</v>
      </c>
      <c r="I124">
        <v>123</v>
      </c>
      <c r="J124" t="s">
        <v>747</v>
      </c>
      <c r="K124" t="s">
        <v>757</v>
      </c>
      <c r="L124">
        <v>1</v>
      </c>
      <c r="M12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3 vías mezcladoraEA feedback</v>
      </c>
      <c r="O124" t="s">
        <v>637</v>
      </c>
    </row>
    <row r="125" spans="1:15" x14ac:dyDescent="0.25">
      <c r="A125" t="s">
        <v>9</v>
      </c>
      <c r="B125" t="s">
        <v>94</v>
      </c>
      <c r="C125" t="s">
        <v>100</v>
      </c>
      <c r="D125" t="s">
        <v>702</v>
      </c>
      <c r="E125" t="s">
        <v>99</v>
      </c>
      <c r="H125">
        <v>32</v>
      </c>
      <c r="I125">
        <v>124</v>
      </c>
      <c r="J125" t="s">
        <v>748</v>
      </c>
      <c r="K125" t="s">
        <v>758</v>
      </c>
      <c r="L125">
        <v>1</v>
      </c>
      <c r="M12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2 vías PI FDLEA feedback</v>
      </c>
      <c r="O125" t="s">
        <v>638</v>
      </c>
    </row>
    <row r="126" spans="1:15" x14ac:dyDescent="0.25">
      <c r="A126" t="s">
        <v>9</v>
      </c>
      <c r="B126" t="s">
        <v>94</v>
      </c>
      <c r="C126" t="s">
        <v>100</v>
      </c>
      <c r="D126" t="s">
        <v>96</v>
      </c>
      <c r="E126" t="s">
        <v>99</v>
      </c>
      <c r="H126">
        <v>33</v>
      </c>
      <c r="I126">
        <v>125</v>
      </c>
      <c r="J126" t="s">
        <v>709</v>
      </c>
      <c r="K126" t="s">
        <v>716</v>
      </c>
      <c r="L126">
        <v>1</v>
      </c>
      <c r="M12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2 víasEA feedback</v>
      </c>
      <c r="O126" t="s">
        <v>636</v>
      </c>
    </row>
    <row r="127" spans="1:15" x14ac:dyDescent="0.25">
      <c r="A127" t="s">
        <v>9</v>
      </c>
      <c r="B127" t="s">
        <v>94</v>
      </c>
      <c r="C127" t="s">
        <v>100</v>
      </c>
      <c r="D127" t="s">
        <v>703</v>
      </c>
      <c r="E127" t="s">
        <v>99</v>
      </c>
      <c r="H127">
        <v>33</v>
      </c>
      <c r="I127">
        <v>126</v>
      </c>
      <c r="J127" t="s">
        <v>749</v>
      </c>
      <c r="K127" t="s">
        <v>757</v>
      </c>
      <c r="L127">
        <v>1</v>
      </c>
      <c r="M12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3 vías mezcladoraEA feedback</v>
      </c>
      <c r="O127" t="s">
        <v>637</v>
      </c>
    </row>
    <row r="128" spans="1:15" x14ac:dyDescent="0.25">
      <c r="A128" t="s">
        <v>9</v>
      </c>
      <c r="B128" t="s">
        <v>94</v>
      </c>
      <c r="C128" t="s">
        <v>100</v>
      </c>
      <c r="D128" t="s">
        <v>702</v>
      </c>
      <c r="E128" t="s">
        <v>99</v>
      </c>
      <c r="H128">
        <v>33</v>
      </c>
      <c r="I128">
        <v>127</v>
      </c>
      <c r="J128" t="s">
        <v>750</v>
      </c>
      <c r="K128" t="s">
        <v>758</v>
      </c>
      <c r="L128">
        <v>1</v>
      </c>
      <c r="M12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tubosVálvula 2 vías PI FDLEA feedback</v>
      </c>
      <c r="O128" t="s">
        <v>638</v>
      </c>
    </row>
    <row r="129" spans="1:15" x14ac:dyDescent="0.25">
      <c r="A129" t="s">
        <v>9</v>
      </c>
      <c r="B129" t="s">
        <v>94</v>
      </c>
      <c r="C129" t="s">
        <v>101</v>
      </c>
      <c r="D129" t="s">
        <v>96</v>
      </c>
      <c r="H129">
        <v>32</v>
      </c>
      <c r="I129">
        <v>128</v>
      </c>
      <c r="J129" t="s">
        <v>706</v>
      </c>
      <c r="K129" t="s">
        <v>97</v>
      </c>
      <c r="L129">
        <v>1</v>
      </c>
      <c r="M12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</v>
      </c>
      <c r="O129" t="s">
        <v>639</v>
      </c>
    </row>
    <row r="130" spans="1:15" x14ac:dyDescent="0.25">
      <c r="A130" t="s">
        <v>9</v>
      </c>
      <c r="B130" t="s">
        <v>94</v>
      </c>
      <c r="C130" t="s">
        <v>101</v>
      </c>
      <c r="D130" t="s">
        <v>703</v>
      </c>
      <c r="H130">
        <v>32</v>
      </c>
      <c r="I130">
        <v>129</v>
      </c>
      <c r="J130" t="s">
        <v>743</v>
      </c>
      <c r="K130" t="s">
        <v>755</v>
      </c>
      <c r="L130">
        <v>1</v>
      </c>
      <c r="M13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3 vías mezcladora</v>
      </c>
      <c r="O130" t="s">
        <v>640</v>
      </c>
    </row>
    <row r="131" spans="1:15" x14ac:dyDescent="0.25">
      <c r="A131" t="s">
        <v>9</v>
      </c>
      <c r="B131" t="s">
        <v>94</v>
      </c>
      <c r="C131" t="s">
        <v>101</v>
      </c>
      <c r="D131" t="s">
        <v>701</v>
      </c>
      <c r="H131">
        <v>32</v>
      </c>
      <c r="I131">
        <v>130</v>
      </c>
      <c r="J131" t="s">
        <v>713</v>
      </c>
      <c r="K131" t="s">
        <v>98</v>
      </c>
      <c r="L131">
        <v>1</v>
      </c>
      <c r="M13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 PI</v>
      </c>
      <c r="O131" t="s">
        <v>641</v>
      </c>
    </row>
    <row r="132" spans="1:15" x14ac:dyDescent="0.25">
      <c r="A132" t="s">
        <v>9</v>
      </c>
      <c r="B132" t="s">
        <v>94</v>
      </c>
      <c r="C132" t="s">
        <v>101</v>
      </c>
      <c r="D132" t="s">
        <v>702</v>
      </c>
      <c r="H132">
        <v>32</v>
      </c>
      <c r="I132">
        <v>131</v>
      </c>
      <c r="J132" t="s">
        <v>744</v>
      </c>
      <c r="K132" t="s">
        <v>756</v>
      </c>
      <c r="L132">
        <v>1</v>
      </c>
      <c r="M13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 PI FDL</v>
      </c>
      <c r="O132" t="s">
        <v>642</v>
      </c>
    </row>
    <row r="133" spans="1:15" x14ac:dyDescent="0.25">
      <c r="A133" t="s">
        <v>9</v>
      </c>
      <c r="B133" t="s">
        <v>94</v>
      </c>
      <c r="C133" t="s">
        <v>101</v>
      </c>
      <c r="D133" t="s">
        <v>96</v>
      </c>
      <c r="H133">
        <v>33</v>
      </c>
      <c r="I133">
        <v>132</v>
      </c>
      <c r="J133" t="s">
        <v>707</v>
      </c>
      <c r="K133" t="s">
        <v>97</v>
      </c>
      <c r="L133">
        <v>1</v>
      </c>
      <c r="M13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</v>
      </c>
      <c r="O133" t="s">
        <v>639</v>
      </c>
    </row>
    <row r="134" spans="1:15" x14ac:dyDescent="0.25">
      <c r="A134" t="s">
        <v>9</v>
      </c>
      <c r="B134" t="s">
        <v>94</v>
      </c>
      <c r="C134" t="s">
        <v>101</v>
      </c>
      <c r="D134" t="s">
        <v>703</v>
      </c>
      <c r="H134">
        <v>33</v>
      </c>
      <c r="I134">
        <v>133</v>
      </c>
      <c r="J134" t="s">
        <v>745</v>
      </c>
      <c r="K134" t="s">
        <v>755</v>
      </c>
      <c r="L134">
        <v>1</v>
      </c>
      <c r="M13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3 vías mezcladora</v>
      </c>
      <c r="O134" t="s">
        <v>640</v>
      </c>
    </row>
    <row r="135" spans="1:15" x14ac:dyDescent="0.25">
      <c r="A135" t="s">
        <v>9</v>
      </c>
      <c r="B135" t="s">
        <v>94</v>
      </c>
      <c r="C135" t="s">
        <v>101</v>
      </c>
      <c r="D135" t="s">
        <v>701</v>
      </c>
      <c r="H135">
        <v>33</v>
      </c>
      <c r="I135">
        <v>134</v>
      </c>
      <c r="J135" t="s">
        <v>714</v>
      </c>
      <c r="K135" t="s">
        <v>98</v>
      </c>
      <c r="L135">
        <v>1</v>
      </c>
      <c r="M13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 PI</v>
      </c>
      <c r="O135" t="s">
        <v>641</v>
      </c>
    </row>
    <row r="136" spans="1:15" x14ac:dyDescent="0.25">
      <c r="A136" t="s">
        <v>9</v>
      </c>
      <c r="B136" t="s">
        <v>94</v>
      </c>
      <c r="C136" t="s">
        <v>101</v>
      </c>
      <c r="D136" t="s">
        <v>702</v>
      </c>
      <c r="H136">
        <v>33</v>
      </c>
      <c r="I136">
        <v>135</v>
      </c>
      <c r="J136" t="s">
        <v>746</v>
      </c>
      <c r="K136" t="s">
        <v>756</v>
      </c>
      <c r="L136">
        <v>1</v>
      </c>
      <c r="M13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 PI FDL</v>
      </c>
      <c r="O136" t="s">
        <v>642</v>
      </c>
    </row>
    <row r="137" spans="1:15" x14ac:dyDescent="0.25">
      <c r="A137" t="s">
        <v>9</v>
      </c>
      <c r="B137" t="s">
        <v>94</v>
      </c>
      <c r="C137" t="s">
        <v>101</v>
      </c>
      <c r="D137" t="s">
        <v>96</v>
      </c>
      <c r="H137">
        <v>34</v>
      </c>
      <c r="I137">
        <v>136</v>
      </c>
      <c r="J137" t="s">
        <v>710</v>
      </c>
      <c r="K137" t="s">
        <v>97</v>
      </c>
      <c r="L137">
        <v>1</v>
      </c>
      <c r="M13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</v>
      </c>
      <c r="O137" t="s">
        <v>639</v>
      </c>
    </row>
    <row r="138" spans="1:15" x14ac:dyDescent="0.25">
      <c r="A138" t="s">
        <v>9</v>
      </c>
      <c r="B138" t="s">
        <v>94</v>
      </c>
      <c r="C138" t="s">
        <v>101</v>
      </c>
      <c r="D138" t="s">
        <v>703</v>
      </c>
      <c r="H138">
        <v>34</v>
      </c>
      <c r="I138">
        <v>137</v>
      </c>
      <c r="J138" t="s">
        <v>751</v>
      </c>
      <c r="K138" t="s">
        <v>755</v>
      </c>
      <c r="L138">
        <v>1</v>
      </c>
      <c r="M13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3 vías mezcladora</v>
      </c>
      <c r="O138" t="s">
        <v>640</v>
      </c>
    </row>
    <row r="139" spans="1:15" x14ac:dyDescent="0.25">
      <c r="A139" t="s">
        <v>9</v>
      </c>
      <c r="B139" t="s">
        <v>94</v>
      </c>
      <c r="C139" t="s">
        <v>101</v>
      </c>
      <c r="D139" t="s">
        <v>701</v>
      </c>
      <c r="H139">
        <v>34</v>
      </c>
      <c r="I139">
        <v>138</v>
      </c>
      <c r="J139" t="s">
        <v>715</v>
      </c>
      <c r="K139" t="s">
        <v>98</v>
      </c>
      <c r="L139">
        <v>1</v>
      </c>
      <c r="M13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 PI</v>
      </c>
      <c r="O139" t="s">
        <v>641</v>
      </c>
    </row>
    <row r="140" spans="1:15" x14ac:dyDescent="0.25">
      <c r="A140" t="s">
        <v>9</v>
      </c>
      <c r="B140" t="s">
        <v>94</v>
      </c>
      <c r="C140" t="s">
        <v>101</v>
      </c>
      <c r="D140" t="s">
        <v>702</v>
      </c>
      <c r="H140">
        <v>34</v>
      </c>
      <c r="I140">
        <v>139</v>
      </c>
      <c r="J140" t="s">
        <v>752</v>
      </c>
      <c r="K140" t="s">
        <v>756</v>
      </c>
      <c r="L140">
        <v>1</v>
      </c>
      <c r="M14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 PI FDL</v>
      </c>
      <c r="O140" t="s">
        <v>642</v>
      </c>
    </row>
    <row r="141" spans="1:15" x14ac:dyDescent="0.25">
      <c r="A141" t="s">
        <v>9</v>
      </c>
      <c r="B141" t="s">
        <v>94</v>
      </c>
      <c r="C141" t="s">
        <v>101</v>
      </c>
      <c r="D141" t="s">
        <v>96</v>
      </c>
      <c r="E141" t="s">
        <v>99</v>
      </c>
      <c r="H141">
        <v>32</v>
      </c>
      <c r="I141">
        <v>140</v>
      </c>
      <c r="J141" t="s">
        <v>708</v>
      </c>
      <c r="K141" t="s">
        <v>716</v>
      </c>
      <c r="L141">
        <v>1</v>
      </c>
      <c r="M141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víasEA feedback</v>
      </c>
      <c r="O141" t="s">
        <v>643</v>
      </c>
    </row>
    <row r="142" spans="1:15" x14ac:dyDescent="0.25">
      <c r="A142" t="s">
        <v>9</v>
      </c>
      <c r="B142" t="s">
        <v>94</v>
      </c>
      <c r="C142" t="s">
        <v>101</v>
      </c>
      <c r="D142" t="s">
        <v>703</v>
      </c>
      <c r="E142" t="s">
        <v>99</v>
      </c>
      <c r="H142">
        <v>32</v>
      </c>
      <c r="I142">
        <v>141</v>
      </c>
      <c r="J142" t="s">
        <v>747</v>
      </c>
      <c r="K142" t="s">
        <v>757</v>
      </c>
      <c r="L142">
        <v>1</v>
      </c>
      <c r="M142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3 vías mezcladoraEA feedback</v>
      </c>
      <c r="O142" t="s">
        <v>644</v>
      </c>
    </row>
    <row r="143" spans="1:15" x14ac:dyDescent="0.25">
      <c r="A143" t="s">
        <v>9</v>
      </c>
      <c r="B143" t="s">
        <v>94</v>
      </c>
      <c r="C143" t="s">
        <v>101</v>
      </c>
      <c r="D143" t="s">
        <v>702</v>
      </c>
      <c r="E143" t="s">
        <v>99</v>
      </c>
      <c r="H143">
        <v>32</v>
      </c>
      <c r="I143">
        <v>142</v>
      </c>
      <c r="J143" t="s">
        <v>748</v>
      </c>
      <c r="K143" t="s">
        <v>758</v>
      </c>
      <c r="L143">
        <v>1</v>
      </c>
      <c r="M143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 PI FDLEA feedback</v>
      </c>
      <c r="O143" t="s">
        <v>645</v>
      </c>
    </row>
    <row r="144" spans="1:15" x14ac:dyDescent="0.25">
      <c r="A144" t="s">
        <v>9</v>
      </c>
      <c r="B144" t="s">
        <v>94</v>
      </c>
      <c r="C144" t="s">
        <v>101</v>
      </c>
      <c r="D144" t="s">
        <v>96</v>
      </c>
      <c r="E144" t="s">
        <v>99</v>
      </c>
      <c r="H144">
        <v>33</v>
      </c>
      <c r="I144">
        <v>143</v>
      </c>
      <c r="J144" t="s">
        <v>709</v>
      </c>
      <c r="K144" t="s">
        <v>716</v>
      </c>
      <c r="L144">
        <v>1</v>
      </c>
      <c r="M144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víasEA feedback</v>
      </c>
      <c r="O144" t="s">
        <v>643</v>
      </c>
    </row>
    <row r="145" spans="1:15" x14ac:dyDescent="0.25">
      <c r="A145" t="s">
        <v>9</v>
      </c>
      <c r="B145" t="s">
        <v>94</v>
      </c>
      <c r="C145" t="s">
        <v>101</v>
      </c>
      <c r="D145" t="s">
        <v>703</v>
      </c>
      <c r="E145" t="s">
        <v>99</v>
      </c>
      <c r="H145">
        <v>33</v>
      </c>
      <c r="I145">
        <v>144</v>
      </c>
      <c r="J145" t="s">
        <v>749</v>
      </c>
      <c r="K145" t="s">
        <v>757</v>
      </c>
      <c r="L145">
        <v>1</v>
      </c>
      <c r="M145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3 vías mezcladoraEA feedback</v>
      </c>
      <c r="O145" t="s">
        <v>644</v>
      </c>
    </row>
    <row r="146" spans="1:15" x14ac:dyDescent="0.25">
      <c r="A146" t="s">
        <v>9</v>
      </c>
      <c r="B146" t="s">
        <v>94</v>
      </c>
      <c r="C146" t="s">
        <v>101</v>
      </c>
      <c r="D146" t="s">
        <v>702</v>
      </c>
      <c r="E146" t="s">
        <v>99</v>
      </c>
      <c r="H146">
        <v>33</v>
      </c>
      <c r="I146">
        <v>145</v>
      </c>
      <c r="J146" t="s">
        <v>750</v>
      </c>
      <c r="K146" t="s">
        <v>758</v>
      </c>
      <c r="L146">
        <v>1</v>
      </c>
      <c r="M146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 PI FDLEA feedback</v>
      </c>
      <c r="O146" t="s">
        <v>645</v>
      </c>
    </row>
    <row r="147" spans="1:15" x14ac:dyDescent="0.25">
      <c r="A147" t="s">
        <v>9</v>
      </c>
      <c r="B147" t="s">
        <v>94</v>
      </c>
      <c r="C147" t="s">
        <v>101</v>
      </c>
      <c r="D147" t="s">
        <v>96</v>
      </c>
      <c r="E147" t="s">
        <v>99</v>
      </c>
      <c r="H147">
        <v>34</v>
      </c>
      <c r="I147">
        <v>146</v>
      </c>
      <c r="J147" t="s">
        <v>711</v>
      </c>
      <c r="K147" t="s">
        <v>716</v>
      </c>
      <c r="L147">
        <v>1</v>
      </c>
      <c r="M147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víasEA feedback</v>
      </c>
      <c r="O147" t="s">
        <v>643</v>
      </c>
    </row>
    <row r="148" spans="1:15" x14ac:dyDescent="0.25">
      <c r="A148" t="s">
        <v>9</v>
      </c>
      <c r="B148" t="s">
        <v>94</v>
      </c>
      <c r="C148" t="s">
        <v>101</v>
      </c>
      <c r="D148" t="s">
        <v>703</v>
      </c>
      <c r="E148" t="s">
        <v>99</v>
      </c>
      <c r="H148">
        <v>34</v>
      </c>
      <c r="I148">
        <v>147</v>
      </c>
      <c r="J148" t="s">
        <v>753</v>
      </c>
      <c r="K148" t="s">
        <v>757</v>
      </c>
      <c r="L148">
        <v>1</v>
      </c>
      <c r="M148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3 vías mezcladoraEA feedback</v>
      </c>
      <c r="O148" t="s">
        <v>644</v>
      </c>
    </row>
    <row r="149" spans="1:15" x14ac:dyDescent="0.25">
      <c r="A149" t="s">
        <v>9</v>
      </c>
      <c r="B149" t="s">
        <v>94</v>
      </c>
      <c r="C149" t="s">
        <v>101</v>
      </c>
      <c r="D149" t="s">
        <v>702</v>
      </c>
      <c r="E149" t="s">
        <v>99</v>
      </c>
      <c r="H149">
        <v>34</v>
      </c>
      <c r="I149">
        <v>148</v>
      </c>
      <c r="J149" t="s">
        <v>754</v>
      </c>
      <c r="K149" t="s">
        <v>758</v>
      </c>
      <c r="L149">
        <v>1</v>
      </c>
      <c r="M149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ClimatizadorBaterías4 tubos y batería adicionalVálvula 2 vías PI FDLEA feedback</v>
      </c>
      <c r="O149" t="s">
        <v>645</v>
      </c>
    </row>
    <row r="150" spans="1:15" x14ac:dyDescent="0.25">
      <c r="A150" t="s">
        <v>10</v>
      </c>
      <c r="M150" t="str">
        <f>CONCATENATE(TablaSistemas[[#This Row],[SISTEMA]],TablaSistemas[[#This Row],[OPCIONES 1]],TablaSistemas[[#This Row],[OPCIONES 2]],TablaSistemas[[#This Row],[OPCIONES 3]],TablaSistemas[[#This Row],[OPCIONES 4]],TablaSistemas[[#This Row],[OPCIONES 5]],TablaSistemas[[#This Row],[OPCIONES 6]])</f>
        <v>Integración</v>
      </c>
      <c r="O150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B962-A14C-4A53-88D0-8F84EF6F59B2}">
  <sheetPr codeName="Hoja3"/>
  <dimension ref="A1:U1000"/>
  <sheetViews>
    <sheetView zoomScale="85" zoomScaleNormal="85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54.5703125" bestFit="1" customWidth="1"/>
    <col min="2" max="2" width="19.5703125" customWidth="1"/>
    <col min="3" max="3" width="22.85546875" bestFit="1" customWidth="1"/>
    <col min="4" max="4" width="14.28515625" customWidth="1"/>
    <col min="5" max="5" width="17.42578125" bestFit="1" customWidth="1"/>
    <col min="6" max="8" width="19.5703125" customWidth="1"/>
    <col min="9" max="9" width="5.5703125" customWidth="1"/>
    <col min="10" max="10" width="5.7109375" customWidth="1"/>
    <col min="11" max="11" width="5.5703125" customWidth="1"/>
    <col min="12" max="12" width="5.7109375" customWidth="1"/>
    <col min="13" max="13" width="5.5703125" customWidth="1"/>
    <col min="14" max="14" width="6.42578125" customWidth="1"/>
    <col min="15" max="15" width="19.7109375" customWidth="1"/>
    <col min="16" max="16" width="17.28515625" customWidth="1"/>
    <col min="17" max="17" width="9.7109375" bestFit="1" customWidth="1"/>
    <col min="18" max="18" width="17.28515625" customWidth="1"/>
    <col min="19" max="19" width="9.7109375" bestFit="1" customWidth="1"/>
    <col min="20" max="20" width="17.28515625" customWidth="1"/>
    <col min="21" max="21" width="9.7109375" bestFit="1" customWidth="1"/>
  </cols>
  <sheetData>
    <row r="1" spans="1:21" x14ac:dyDescent="0.25">
      <c r="A1" t="s">
        <v>135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136</v>
      </c>
      <c r="H1" t="s">
        <v>697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557</v>
      </c>
      <c r="R1" t="s">
        <v>145</v>
      </c>
      <c r="S1" t="s">
        <v>558</v>
      </c>
      <c r="T1" t="s">
        <v>146</v>
      </c>
      <c r="U1" t="s">
        <v>559</v>
      </c>
    </row>
    <row r="2" spans="1:21" x14ac:dyDescent="0.25">
      <c r="A2" t="s">
        <v>13</v>
      </c>
      <c r="O2" t="s">
        <v>147</v>
      </c>
    </row>
    <row r="3" spans="1:21" x14ac:dyDescent="0.25">
      <c r="A3" t="s">
        <v>22</v>
      </c>
      <c r="B3" t="s">
        <v>148</v>
      </c>
      <c r="C3" t="s">
        <v>275</v>
      </c>
      <c r="H3" t="s">
        <v>698</v>
      </c>
      <c r="I3">
        <v>1</v>
      </c>
      <c r="O3" t="s">
        <v>149</v>
      </c>
      <c r="P3" t="s">
        <v>678</v>
      </c>
      <c r="Q3">
        <v>1</v>
      </c>
    </row>
    <row r="4" spans="1:21" x14ac:dyDescent="0.25">
      <c r="A4" t="s">
        <v>22</v>
      </c>
      <c r="B4" t="s">
        <v>685</v>
      </c>
      <c r="C4" t="s">
        <v>275</v>
      </c>
      <c r="H4" t="s">
        <v>698</v>
      </c>
      <c r="I4">
        <v>1</v>
      </c>
      <c r="O4" t="s">
        <v>150</v>
      </c>
    </row>
    <row r="5" spans="1:21" x14ac:dyDescent="0.25">
      <c r="A5" t="s">
        <v>22</v>
      </c>
      <c r="B5" t="s">
        <v>151</v>
      </c>
      <c r="C5" t="s">
        <v>275</v>
      </c>
      <c r="H5" t="s">
        <v>698</v>
      </c>
      <c r="I5">
        <v>1</v>
      </c>
      <c r="O5" t="s">
        <v>152</v>
      </c>
    </row>
    <row r="6" spans="1:21" x14ac:dyDescent="0.25">
      <c r="A6" t="s">
        <v>22</v>
      </c>
      <c r="B6" t="s">
        <v>148</v>
      </c>
      <c r="C6" t="s">
        <v>153</v>
      </c>
      <c r="H6" t="s">
        <v>698</v>
      </c>
      <c r="I6">
        <v>1</v>
      </c>
      <c r="O6" t="s">
        <v>154</v>
      </c>
    </row>
    <row r="7" spans="1:21" x14ac:dyDescent="0.25">
      <c r="A7" t="s">
        <v>22</v>
      </c>
      <c r="B7" t="s">
        <v>685</v>
      </c>
      <c r="C7" t="s">
        <v>153</v>
      </c>
      <c r="H7" t="s">
        <v>698</v>
      </c>
      <c r="I7">
        <v>1</v>
      </c>
      <c r="O7" t="s">
        <v>155</v>
      </c>
    </row>
    <row r="8" spans="1:21" x14ac:dyDescent="0.25">
      <c r="A8" t="s">
        <v>22</v>
      </c>
      <c r="B8" t="s">
        <v>151</v>
      </c>
      <c r="C8" t="s">
        <v>153</v>
      </c>
      <c r="H8" t="s">
        <v>698</v>
      </c>
      <c r="I8">
        <v>1</v>
      </c>
      <c r="O8" t="s">
        <v>156</v>
      </c>
    </row>
    <row r="9" spans="1:21" x14ac:dyDescent="0.25">
      <c r="A9" t="s">
        <v>132</v>
      </c>
      <c r="B9" t="s">
        <v>157</v>
      </c>
      <c r="H9" t="s">
        <v>138</v>
      </c>
      <c r="J9">
        <v>1</v>
      </c>
      <c r="O9" t="s">
        <v>158</v>
      </c>
    </row>
    <row r="10" spans="1:21" x14ac:dyDescent="0.25">
      <c r="A10" t="s">
        <v>132</v>
      </c>
      <c r="B10" t="s">
        <v>159</v>
      </c>
      <c r="H10" t="s">
        <v>138</v>
      </c>
      <c r="J10">
        <v>1</v>
      </c>
      <c r="O10" t="s">
        <v>160</v>
      </c>
    </row>
    <row r="11" spans="1:21" x14ac:dyDescent="0.25">
      <c r="A11" t="s">
        <v>44</v>
      </c>
      <c r="B11" t="s">
        <v>161</v>
      </c>
      <c r="C11" t="s">
        <v>162</v>
      </c>
      <c r="H11" t="s">
        <v>140</v>
      </c>
      <c r="L11">
        <v>1</v>
      </c>
      <c r="O11" t="s">
        <v>163</v>
      </c>
    </row>
    <row r="12" spans="1:21" x14ac:dyDescent="0.25">
      <c r="A12" t="s">
        <v>44</v>
      </c>
      <c r="B12" t="s">
        <v>164</v>
      </c>
      <c r="C12" t="s">
        <v>162</v>
      </c>
      <c r="H12" t="s">
        <v>140</v>
      </c>
      <c r="L12">
        <v>1</v>
      </c>
      <c r="O12" t="s">
        <v>165</v>
      </c>
    </row>
    <row r="13" spans="1:21" x14ac:dyDescent="0.25">
      <c r="A13" t="s">
        <v>44</v>
      </c>
      <c r="B13" t="s">
        <v>166</v>
      </c>
      <c r="C13" t="s">
        <v>162</v>
      </c>
      <c r="H13" t="s">
        <v>140</v>
      </c>
      <c r="L13">
        <v>1</v>
      </c>
      <c r="O13" t="s">
        <v>167</v>
      </c>
    </row>
    <row r="14" spans="1:21" x14ac:dyDescent="0.25">
      <c r="A14" t="s">
        <v>44</v>
      </c>
      <c r="B14" t="s">
        <v>168</v>
      </c>
      <c r="C14" t="s">
        <v>162</v>
      </c>
      <c r="H14" t="s">
        <v>140</v>
      </c>
      <c r="L14">
        <v>1</v>
      </c>
      <c r="O14" t="s">
        <v>169</v>
      </c>
    </row>
    <row r="15" spans="1:21" x14ac:dyDescent="0.25">
      <c r="A15" t="s">
        <v>44</v>
      </c>
      <c r="B15" t="s">
        <v>170</v>
      </c>
      <c r="C15" t="s">
        <v>162</v>
      </c>
      <c r="H15" t="s">
        <v>140</v>
      </c>
      <c r="L15">
        <v>1</v>
      </c>
      <c r="O15" t="s">
        <v>171</v>
      </c>
    </row>
    <row r="16" spans="1:21" x14ac:dyDescent="0.25">
      <c r="A16" t="s">
        <v>44</v>
      </c>
      <c r="B16" t="s">
        <v>161</v>
      </c>
      <c r="C16" t="s">
        <v>172</v>
      </c>
      <c r="H16" t="s">
        <v>140</v>
      </c>
      <c r="L16">
        <v>1</v>
      </c>
      <c r="O16" t="s">
        <v>177</v>
      </c>
    </row>
    <row r="17" spans="1:15" x14ac:dyDescent="0.25">
      <c r="A17" t="s">
        <v>44</v>
      </c>
      <c r="B17" t="s">
        <v>164</v>
      </c>
      <c r="C17" t="s">
        <v>172</v>
      </c>
      <c r="H17" t="s">
        <v>140</v>
      </c>
      <c r="L17">
        <v>1</v>
      </c>
      <c r="O17" t="s">
        <v>173</v>
      </c>
    </row>
    <row r="18" spans="1:15" x14ac:dyDescent="0.25">
      <c r="A18" t="s">
        <v>44</v>
      </c>
      <c r="B18" t="s">
        <v>166</v>
      </c>
      <c r="C18" t="s">
        <v>172</v>
      </c>
      <c r="H18" t="s">
        <v>140</v>
      </c>
      <c r="L18">
        <v>1</v>
      </c>
      <c r="O18" t="s">
        <v>174</v>
      </c>
    </row>
    <row r="19" spans="1:15" x14ac:dyDescent="0.25">
      <c r="A19" t="s">
        <v>44</v>
      </c>
      <c r="B19" t="s">
        <v>168</v>
      </c>
      <c r="C19" t="s">
        <v>172</v>
      </c>
      <c r="H19" t="s">
        <v>140</v>
      </c>
      <c r="L19">
        <v>1</v>
      </c>
      <c r="O19" t="s">
        <v>175</v>
      </c>
    </row>
    <row r="20" spans="1:15" x14ac:dyDescent="0.25">
      <c r="A20" t="s">
        <v>44</v>
      </c>
      <c r="B20" t="s">
        <v>170</v>
      </c>
      <c r="C20" t="s">
        <v>172</v>
      </c>
      <c r="H20" t="s">
        <v>140</v>
      </c>
      <c r="L20">
        <v>1</v>
      </c>
      <c r="O20" t="s">
        <v>176</v>
      </c>
    </row>
    <row r="21" spans="1:15" x14ac:dyDescent="0.25">
      <c r="A21" t="s">
        <v>47</v>
      </c>
      <c r="B21" t="s">
        <v>161</v>
      </c>
      <c r="C21" t="s">
        <v>162</v>
      </c>
      <c r="D21" t="s">
        <v>45</v>
      </c>
      <c r="H21" t="s">
        <v>699</v>
      </c>
      <c r="J21">
        <v>2</v>
      </c>
      <c r="L21">
        <v>1</v>
      </c>
      <c r="O21" t="s">
        <v>178</v>
      </c>
    </row>
    <row r="22" spans="1:15" x14ac:dyDescent="0.25">
      <c r="A22" t="s">
        <v>47</v>
      </c>
      <c r="B22" t="s">
        <v>164</v>
      </c>
      <c r="C22" t="s">
        <v>162</v>
      </c>
      <c r="D22" t="s">
        <v>45</v>
      </c>
      <c r="H22" t="s">
        <v>699</v>
      </c>
      <c r="J22">
        <v>2</v>
      </c>
      <c r="L22">
        <v>1</v>
      </c>
      <c r="O22" t="s">
        <v>179</v>
      </c>
    </row>
    <row r="23" spans="1:15" x14ac:dyDescent="0.25">
      <c r="A23" t="s">
        <v>47</v>
      </c>
      <c r="B23" t="s">
        <v>166</v>
      </c>
      <c r="C23" t="s">
        <v>162</v>
      </c>
      <c r="D23" t="s">
        <v>45</v>
      </c>
      <c r="H23" t="s">
        <v>699</v>
      </c>
      <c r="J23">
        <v>2</v>
      </c>
      <c r="L23">
        <v>1</v>
      </c>
      <c r="O23" t="s">
        <v>180</v>
      </c>
    </row>
    <row r="24" spans="1:15" x14ac:dyDescent="0.25">
      <c r="A24" t="s">
        <v>47</v>
      </c>
      <c r="B24" t="s">
        <v>168</v>
      </c>
      <c r="C24" t="s">
        <v>162</v>
      </c>
      <c r="D24" t="s">
        <v>45</v>
      </c>
      <c r="H24" t="s">
        <v>699</v>
      </c>
      <c r="J24">
        <v>2</v>
      </c>
      <c r="L24">
        <v>1</v>
      </c>
      <c r="O24" t="s">
        <v>181</v>
      </c>
    </row>
    <row r="25" spans="1:15" x14ac:dyDescent="0.25">
      <c r="A25" t="s">
        <v>47</v>
      </c>
      <c r="B25" t="s">
        <v>170</v>
      </c>
      <c r="C25" t="s">
        <v>162</v>
      </c>
      <c r="D25" t="s">
        <v>45</v>
      </c>
      <c r="H25" t="s">
        <v>699</v>
      </c>
      <c r="J25">
        <v>2</v>
      </c>
      <c r="L25">
        <v>1</v>
      </c>
      <c r="O25" t="s">
        <v>182</v>
      </c>
    </row>
    <row r="26" spans="1:15" x14ac:dyDescent="0.25">
      <c r="A26" t="s">
        <v>47</v>
      </c>
      <c r="B26" t="s">
        <v>161</v>
      </c>
      <c r="C26" t="s">
        <v>172</v>
      </c>
      <c r="D26" t="s">
        <v>45</v>
      </c>
      <c r="H26" t="s">
        <v>699</v>
      </c>
      <c r="J26">
        <v>2</v>
      </c>
      <c r="L26">
        <v>1</v>
      </c>
      <c r="O26" t="s">
        <v>187</v>
      </c>
    </row>
    <row r="27" spans="1:15" x14ac:dyDescent="0.25">
      <c r="A27" t="s">
        <v>47</v>
      </c>
      <c r="B27" t="s">
        <v>164</v>
      </c>
      <c r="C27" t="s">
        <v>172</v>
      </c>
      <c r="D27" t="s">
        <v>45</v>
      </c>
      <c r="H27" t="s">
        <v>699</v>
      </c>
      <c r="J27">
        <v>2</v>
      </c>
      <c r="L27">
        <v>1</v>
      </c>
      <c r="O27" t="s">
        <v>183</v>
      </c>
    </row>
    <row r="28" spans="1:15" x14ac:dyDescent="0.25">
      <c r="A28" t="s">
        <v>47</v>
      </c>
      <c r="B28" t="s">
        <v>166</v>
      </c>
      <c r="C28" t="s">
        <v>172</v>
      </c>
      <c r="D28" t="s">
        <v>45</v>
      </c>
      <c r="H28" t="s">
        <v>699</v>
      </c>
      <c r="J28">
        <v>2</v>
      </c>
      <c r="L28">
        <v>1</v>
      </c>
      <c r="O28" t="s">
        <v>184</v>
      </c>
    </row>
    <row r="29" spans="1:15" x14ac:dyDescent="0.25">
      <c r="A29" t="s">
        <v>47</v>
      </c>
      <c r="B29" t="s">
        <v>168</v>
      </c>
      <c r="C29" t="s">
        <v>172</v>
      </c>
      <c r="D29" t="s">
        <v>45</v>
      </c>
      <c r="H29" t="s">
        <v>699</v>
      </c>
      <c r="J29">
        <v>2</v>
      </c>
      <c r="L29">
        <v>1</v>
      </c>
      <c r="O29" t="s">
        <v>185</v>
      </c>
    </row>
    <row r="30" spans="1:15" x14ac:dyDescent="0.25">
      <c r="A30" t="s">
        <v>47</v>
      </c>
      <c r="B30" t="s">
        <v>170</v>
      </c>
      <c r="C30" t="s">
        <v>172</v>
      </c>
      <c r="D30" t="s">
        <v>45</v>
      </c>
      <c r="H30" t="s">
        <v>699</v>
      </c>
      <c r="J30">
        <v>2</v>
      </c>
      <c r="L30">
        <v>1</v>
      </c>
      <c r="O30" t="s">
        <v>186</v>
      </c>
    </row>
    <row r="31" spans="1:15" x14ac:dyDescent="0.25">
      <c r="A31" t="s">
        <v>52</v>
      </c>
      <c r="B31" t="s">
        <v>161</v>
      </c>
      <c r="C31" t="s">
        <v>162</v>
      </c>
      <c r="H31" t="s">
        <v>140</v>
      </c>
      <c r="K31">
        <v>1</v>
      </c>
      <c r="O31" t="s">
        <v>188</v>
      </c>
    </row>
    <row r="32" spans="1:15" x14ac:dyDescent="0.25">
      <c r="A32" t="s">
        <v>52</v>
      </c>
      <c r="B32" t="s">
        <v>164</v>
      </c>
      <c r="C32" t="s">
        <v>162</v>
      </c>
      <c r="H32" t="s">
        <v>140</v>
      </c>
      <c r="K32">
        <v>1</v>
      </c>
      <c r="O32" t="s">
        <v>189</v>
      </c>
    </row>
    <row r="33" spans="1:17" x14ac:dyDescent="0.25">
      <c r="A33" t="s">
        <v>52</v>
      </c>
      <c r="B33" t="s">
        <v>166</v>
      </c>
      <c r="C33" t="s">
        <v>162</v>
      </c>
      <c r="H33" t="s">
        <v>140</v>
      </c>
      <c r="K33">
        <v>1</v>
      </c>
      <c r="O33" t="s">
        <v>190</v>
      </c>
    </row>
    <row r="34" spans="1:17" x14ac:dyDescent="0.25">
      <c r="A34" t="s">
        <v>52</v>
      </c>
      <c r="B34" t="s">
        <v>168</v>
      </c>
      <c r="C34" t="s">
        <v>162</v>
      </c>
      <c r="H34" t="s">
        <v>140</v>
      </c>
      <c r="K34">
        <v>1</v>
      </c>
      <c r="O34" t="s">
        <v>191</v>
      </c>
    </row>
    <row r="35" spans="1:17" x14ac:dyDescent="0.25">
      <c r="A35" t="s">
        <v>52</v>
      </c>
      <c r="B35" t="s">
        <v>170</v>
      </c>
      <c r="C35" t="s">
        <v>162</v>
      </c>
      <c r="H35" t="s">
        <v>140</v>
      </c>
      <c r="K35">
        <v>1</v>
      </c>
      <c r="O35" t="s">
        <v>192</v>
      </c>
    </row>
    <row r="36" spans="1:17" x14ac:dyDescent="0.25">
      <c r="A36" t="s">
        <v>54</v>
      </c>
      <c r="B36" t="s">
        <v>164</v>
      </c>
      <c r="C36" t="s">
        <v>162</v>
      </c>
      <c r="D36" t="s">
        <v>45</v>
      </c>
      <c r="H36" t="s">
        <v>700</v>
      </c>
      <c r="J36">
        <v>2</v>
      </c>
      <c r="K36">
        <v>1</v>
      </c>
      <c r="O36" t="s">
        <v>193</v>
      </c>
    </row>
    <row r="37" spans="1:17" x14ac:dyDescent="0.25">
      <c r="A37" t="s">
        <v>54</v>
      </c>
      <c r="B37" t="s">
        <v>166</v>
      </c>
      <c r="C37" t="s">
        <v>162</v>
      </c>
      <c r="D37" t="s">
        <v>45</v>
      </c>
      <c r="H37" t="s">
        <v>700</v>
      </c>
      <c r="J37">
        <v>2</v>
      </c>
      <c r="K37">
        <v>1</v>
      </c>
      <c r="O37" t="s">
        <v>194</v>
      </c>
    </row>
    <row r="38" spans="1:17" x14ac:dyDescent="0.25">
      <c r="A38" t="s">
        <v>54</v>
      </c>
      <c r="B38" t="s">
        <v>168</v>
      </c>
      <c r="C38" t="s">
        <v>162</v>
      </c>
      <c r="D38" t="s">
        <v>45</v>
      </c>
      <c r="H38" t="s">
        <v>700</v>
      </c>
      <c r="J38">
        <v>2</v>
      </c>
      <c r="K38">
        <v>1</v>
      </c>
      <c r="O38" t="s">
        <v>195</v>
      </c>
    </row>
    <row r="39" spans="1:17" x14ac:dyDescent="0.25">
      <c r="A39" t="s">
        <v>54</v>
      </c>
      <c r="B39" t="s">
        <v>170</v>
      </c>
      <c r="C39" t="s">
        <v>162</v>
      </c>
      <c r="D39" t="s">
        <v>45</v>
      </c>
      <c r="H39" t="s">
        <v>700</v>
      </c>
      <c r="J39">
        <v>2</v>
      </c>
      <c r="K39">
        <v>1</v>
      </c>
      <c r="O39" t="s">
        <v>196</v>
      </c>
    </row>
    <row r="40" spans="1:17" x14ac:dyDescent="0.25">
      <c r="A40" t="s">
        <v>64</v>
      </c>
      <c r="B40" t="s">
        <v>197</v>
      </c>
      <c r="D40" t="s">
        <v>198</v>
      </c>
      <c r="H40" t="s">
        <v>197</v>
      </c>
      <c r="I40">
        <v>1</v>
      </c>
      <c r="O40" t="s">
        <v>199</v>
      </c>
      <c r="P40" t="s">
        <v>200</v>
      </c>
      <c r="Q40">
        <v>1</v>
      </c>
    </row>
    <row r="41" spans="1:17" x14ac:dyDescent="0.25">
      <c r="A41" t="s">
        <v>64</v>
      </c>
      <c r="B41" t="s">
        <v>197</v>
      </c>
      <c r="D41" t="s">
        <v>201</v>
      </c>
      <c r="H41" t="s">
        <v>197</v>
      </c>
      <c r="I41">
        <v>1</v>
      </c>
      <c r="O41" t="s">
        <v>202</v>
      </c>
      <c r="P41" t="s">
        <v>200</v>
      </c>
      <c r="Q41">
        <v>1</v>
      </c>
    </row>
    <row r="42" spans="1:17" x14ac:dyDescent="0.25">
      <c r="A42" t="s">
        <v>64</v>
      </c>
      <c r="B42" t="s">
        <v>197</v>
      </c>
      <c r="D42" t="s">
        <v>203</v>
      </c>
      <c r="H42" t="s">
        <v>197</v>
      </c>
      <c r="I42">
        <v>1</v>
      </c>
      <c r="O42" t="s">
        <v>204</v>
      </c>
      <c r="P42" t="s">
        <v>200</v>
      </c>
      <c r="Q42">
        <v>1</v>
      </c>
    </row>
    <row r="43" spans="1:17" x14ac:dyDescent="0.25">
      <c r="A43" t="s">
        <v>64</v>
      </c>
      <c r="B43" t="s">
        <v>205</v>
      </c>
      <c r="D43" t="s">
        <v>198</v>
      </c>
      <c r="H43" t="s">
        <v>205</v>
      </c>
      <c r="I43">
        <v>1</v>
      </c>
      <c r="O43" t="s">
        <v>206</v>
      </c>
      <c r="P43" t="s">
        <v>200</v>
      </c>
      <c r="Q43">
        <v>1</v>
      </c>
    </row>
    <row r="44" spans="1:17" x14ac:dyDescent="0.25">
      <c r="A44" t="s">
        <v>64</v>
      </c>
      <c r="B44" t="s">
        <v>205</v>
      </c>
      <c r="D44" t="s">
        <v>207</v>
      </c>
      <c r="H44" t="s">
        <v>205</v>
      </c>
      <c r="I44">
        <v>1</v>
      </c>
      <c r="O44" t="s">
        <v>208</v>
      </c>
      <c r="P44" t="s">
        <v>200</v>
      </c>
      <c r="Q44">
        <v>1</v>
      </c>
    </row>
    <row r="45" spans="1:17" x14ac:dyDescent="0.25">
      <c r="A45" t="s">
        <v>64</v>
      </c>
      <c r="B45" t="s">
        <v>205</v>
      </c>
      <c r="D45" t="s">
        <v>201</v>
      </c>
      <c r="H45" t="s">
        <v>205</v>
      </c>
      <c r="I45">
        <v>1</v>
      </c>
      <c r="O45" t="s">
        <v>209</v>
      </c>
      <c r="P45" t="s">
        <v>200</v>
      </c>
      <c r="Q45">
        <v>1</v>
      </c>
    </row>
    <row r="46" spans="1:17" x14ac:dyDescent="0.25">
      <c r="A46" t="s">
        <v>64</v>
      </c>
      <c r="B46" t="s">
        <v>205</v>
      </c>
      <c r="D46" t="s">
        <v>203</v>
      </c>
      <c r="H46" t="s">
        <v>205</v>
      </c>
      <c r="I46">
        <v>1</v>
      </c>
      <c r="O46" t="s">
        <v>210</v>
      </c>
      <c r="P46" t="s">
        <v>200</v>
      </c>
      <c r="Q46">
        <v>1</v>
      </c>
    </row>
    <row r="47" spans="1:17" x14ac:dyDescent="0.25">
      <c r="A47" t="s">
        <v>64</v>
      </c>
      <c r="B47" t="s">
        <v>211</v>
      </c>
      <c r="D47" t="s">
        <v>198</v>
      </c>
      <c r="H47" t="s">
        <v>211</v>
      </c>
      <c r="I47">
        <v>1</v>
      </c>
      <c r="O47" t="s">
        <v>212</v>
      </c>
      <c r="P47" t="s">
        <v>200</v>
      </c>
      <c r="Q47">
        <v>1</v>
      </c>
    </row>
    <row r="48" spans="1:17" x14ac:dyDescent="0.25">
      <c r="A48" t="s">
        <v>64</v>
      </c>
      <c r="B48" t="s">
        <v>211</v>
      </c>
      <c r="D48" t="s">
        <v>207</v>
      </c>
      <c r="H48" t="s">
        <v>211</v>
      </c>
      <c r="I48">
        <v>1</v>
      </c>
      <c r="O48" t="s">
        <v>213</v>
      </c>
      <c r="P48" t="s">
        <v>200</v>
      </c>
      <c r="Q48">
        <v>1</v>
      </c>
    </row>
    <row r="49" spans="1:17" x14ac:dyDescent="0.25">
      <c r="A49" t="s">
        <v>64</v>
      </c>
      <c r="B49" t="s">
        <v>211</v>
      </c>
      <c r="D49" t="s">
        <v>201</v>
      </c>
      <c r="H49" t="s">
        <v>211</v>
      </c>
      <c r="I49">
        <v>1</v>
      </c>
      <c r="O49" t="s">
        <v>214</v>
      </c>
      <c r="P49" t="s">
        <v>200</v>
      </c>
      <c r="Q49">
        <v>1</v>
      </c>
    </row>
    <row r="50" spans="1:17" x14ac:dyDescent="0.25">
      <c r="A50" t="s">
        <v>64</v>
      </c>
      <c r="B50" t="s">
        <v>211</v>
      </c>
      <c r="D50" t="s">
        <v>203</v>
      </c>
      <c r="H50" t="s">
        <v>211</v>
      </c>
      <c r="I50">
        <v>1</v>
      </c>
      <c r="O50" t="s">
        <v>215</v>
      </c>
      <c r="P50" t="s">
        <v>200</v>
      </c>
      <c r="Q50">
        <v>1</v>
      </c>
    </row>
    <row r="51" spans="1:17" x14ac:dyDescent="0.25">
      <c r="A51" t="s">
        <v>64</v>
      </c>
      <c r="B51" t="s">
        <v>216</v>
      </c>
      <c r="D51" t="s">
        <v>198</v>
      </c>
      <c r="H51" t="s">
        <v>216</v>
      </c>
      <c r="I51">
        <v>1</v>
      </c>
      <c r="O51" t="s">
        <v>217</v>
      </c>
      <c r="P51" t="s">
        <v>200</v>
      </c>
      <c r="Q51">
        <v>1</v>
      </c>
    </row>
    <row r="52" spans="1:17" x14ac:dyDescent="0.25">
      <c r="A52" t="s">
        <v>64</v>
      </c>
      <c r="B52" t="s">
        <v>216</v>
      </c>
      <c r="D52" t="s">
        <v>207</v>
      </c>
      <c r="H52" t="s">
        <v>216</v>
      </c>
      <c r="I52">
        <v>1</v>
      </c>
      <c r="O52" t="s">
        <v>218</v>
      </c>
      <c r="P52" t="s">
        <v>200</v>
      </c>
      <c r="Q52">
        <v>1</v>
      </c>
    </row>
    <row r="53" spans="1:17" x14ac:dyDescent="0.25">
      <c r="A53" t="s">
        <v>64</v>
      </c>
      <c r="B53" t="s">
        <v>216</v>
      </c>
      <c r="D53" t="s">
        <v>201</v>
      </c>
      <c r="H53" t="s">
        <v>216</v>
      </c>
      <c r="I53">
        <v>1</v>
      </c>
      <c r="O53" t="s">
        <v>219</v>
      </c>
      <c r="P53" t="s">
        <v>200</v>
      </c>
      <c r="Q53">
        <v>1</v>
      </c>
    </row>
    <row r="54" spans="1:17" x14ac:dyDescent="0.25">
      <c r="A54" t="s">
        <v>64</v>
      </c>
      <c r="B54" t="s">
        <v>216</v>
      </c>
      <c r="D54" t="s">
        <v>203</v>
      </c>
      <c r="H54" t="s">
        <v>216</v>
      </c>
      <c r="I54">
        <v>1</v>
      </c>
      <c r="O54" t="s">
        <v>220</v>
      </c>
      <c r="P54" t="s">
        <v>200</v>
      </c>
      <c r="Q54">
        <v>1</v>
      </c>
    </row>
    <row r="55" spans="1:17" x14ac:dyDescent="0.25">
      <c r="A55" t="s">
        <v>64</v>
      </c>
      <c r="B55" t="s">
        <v>216</v>
      </c>
      <c r="D55" t="s">
        <v>221</v>
      </c>
      <c r="H55" t="s">
        <v>216</v>
      </c>
      <c r="I55">
        <v>1</v>
      </c>
      <c r="O55" t="s">
        <v>222</v>
      </c>
      <c r="P55" t="s">
        <v>200</v>
      </c>
      <c r="Q55">
        <v>1</v>
      </c>
    </row>
    <row r="56" spans="1:17" x14ac:dyDescent="0.25">
      <c r="A56" t="s">
        <v>64</v>
      </c>
      <c r="B56" t="s">
        <v>216</v>
      </c>
      <c r="D56" t="s">
        <v>223</v>
      </c>
      <c r="H56" t="s">
        <v>216</v>
      </c>
      <c r="I56">
        <v>1</v>
      </c>
      <c r="O56" t="s">
        <v>224</v>
      </c>
      <c r="P56" t="s">
        <v>200</v>
      </c>
      <c r="Q56">
        <v>1</v>
      </c>
    </row>
    <row r="57" spans="1:17" x14ac:dyDescent="0.25">
      <c r="A57" t="s">
        <v>64</v>
      </c>
      <c r="B57" t="s">
        <v>225</v>
      </c>
      <c r="D57" t="s">
        <v>226</v>
      </c>
      <c r="H57" t="s">
        <v>225</v>
      </c>
      <c r="I57">
        <v>1</v>
      </c>
      <c r="O57" t="s">
        <v>227</v>
      </c>
      <c r="P57" t="s">
        <v>200</v>
      </c>
      <c r="Q57">
        <v>1</v>
      </c>
    </row>
    <row r="58" spans="1:17" x14ac:dyDescent="0.25">
      <c r="A58" t="s">
        <v>64</v>
      </c>
      <c r="B58" t="s">
        <v>225</v>
      </c>
      <c r="D58" t="s">
        <v>198</v>
      </c>
      <c r="H58" t="s">
        <v>225</v>
      </c>
      <c r="I58">
        <v>1</v>
      </c>
      <c r="O58" t="s">
        <v>228</v>
      </c>
      <c r="P58" t="s">
        <v>200</v>
      </c>
      <c r="Q58">
        <v>1</v>
      </c>
    </row>
    <row r="59" spans="1:17" x14ac:dyDescent="0.25">
      <c r="A59" t="s">
        <v>64</v>
      </c>
      <c r="B59" t="s">
        <v>225</v>
      </c>
      <c r="D59" t="s">
        <v>207</v>
      </c>
      <c r="H59" t="s">
        <v>225</v>
      </c>
      <c r="I59">
        <v>1</v>
      </c>
      <c r="O59" t="s">
        <v>229</v>
      </c>
      <c r="P59" t="s">
        <v>200</v>
      </c>
      <c r="Q59">
        <v>1</v>
      </c>
    </row>
    <row r="60" spans="1:17" x14ac:dyDescent="0.25">
      <c r="A60" t="s">
        <v>64</v>
      </c>
      <c r="B60" t="s">
        <v>225</v>
      </c>
      <c r="D60" t="s">
        <v>201</v>
      </c>
      <c r="H60" t="s">
        <v>225</v>
      </c>
      <c r="I60">
        <v>1</v>
      </c>
      <c r="O60" t="s">
        <v>230</v>
      </c>
      <c r="P60" t="s">
        <v>200</v>
      </c>
      <c r="Q60">
        <v>1</v>
      </c>
    </row>
    <row r="61" spans="1:17" x14ac:dyDescent="0.25">
      <c r="A61" t="s">
        <v>64</v>
      </c>
      <c r="B61" t="s">
        <v>225</v>
      </c>
      <c r="D61" t="s">
        <v>231</v>
      </c>
      <c r="H61" t="s">
        <v>225</v>
      </c>
      <c r="I61">
        <v>1</v>
      </c>
      <c r="O61" t="s">
        <v>232</v>
      </c>
      <c r="P61" t="s">
        <v>200</v>
      </c>
      <c r="Q61">
        <v>1</v>
      </c>
    </row>
    <row r="62" spans="1:17" x14ac:dyDescent="0.25">
      <c r="A62" t="s">
        <v>66</v>
      </c>
      <c r="B62" t="s">
        <v>197</v>
      </c>
      <c r="H62" t="s">
        <v>197</v>
      </c>
      <c r="I62">
        <v>1</v>
      </c>
      <c r="O62" t="s">
        <v>233</v>
      </c>
    </row>
    <row r="63" spans="1:17" x14ac:dyDescent="0.25">
      <c r="A63" t="s">
        <v>66</v>
      </c>
      <c r="B63" t="s">
        <v>205</v>
      </c>
      <c r="H63" t="s">
        <v>205</v>
      </c>
      <c r="I63">
        <v>1</v>
      </c>
      <c r="O63" t="s">
        <v>234</v>
      </c>
    </row>
    <row r="64" spans="1:17" x14ac:dyDescent="0.25">
      <c r="A64" t="s">
        <v>66</v>
      </c>
      <c r="B64" t="s">
        <v>211</v>
      </c>
      <c r="H64" t="s">
        <v>211</v>
      </c>
      <c r="I64">
        <v>1</v>
      </c>
      <c r="O64" t="s">
        <v>235</v>
      </c>
    </row>
    <row r="65" spans="1:15" x14ac:dyDescent="0.25">
      <c r="A65" t="s">
        <v>66</v>
      </c>
      <c r="B65" t="s">
        <v>216</v>
      </c>
      <c r="H65" t="s">
        <v>216</v>
      </c>
      <c r="I65">
        <v>1</v>
      </c>
      <c r="O65" t="s">
        <v>236</v>
      </c>
    </row>
    <row r="66" spans="1:15" x14ac:dyDescent="0.25">
      <c r="A66" t="s">
        <v>66</v>
      </c>
      <c r="B66" t="s">
        <v>225</v>
      </c>
      <c r="H66" t="s">
        <v>225</v>
      </c>
      <c r="I66">
        <v>1</v>
      </c>
      <c r="O66" t="s">
        <v>237</v>
      </c>
    </row>
    <row r="67" spans="1:15" x14ac:dyDescent="0.25">
      <c r="A67" t="s">
        <v>112</v>
      </c>
      <c r="B67" t="s">
        <v>698</v>
      </c>
      <c r="H67" t="s">
        <v>698</v>
      </c>
      <c r="I67">
        <v>1</v>
      </c>
      <c r="O67" t="s">
        <v>238</v>
      </c>
    </row>
    <row r="68" spans="1:15" x14ac:dyDescent="0.25">
      <c r="A68" t="s">
        <v>70</v>
      </c>
      <c r="B68" t="s">
        <v>225</v>
      </c>
      <c r="H68" t="s">
        <v>225</v>
      </c>
      <c r="I68">
        <v>2</v>
      </c>
      <c r="O68" t="s">
        <v>240</v>
      </c>
    </row>
    <row r="69" spans="1:15" x14ac:dyDescent="0.25">
      <c r="A69" t="s">
        <v>70</v>
      </c>
      <c r="B69" t="s">
        <v>11</v>
      </c>
      <c r="H69" t="s">
        <v>11</v>
      </c>
      <c r="M69">
        <v>2</v>
      </c>
      <c r="O69" t="s">
        <v>241</v>
      </c>
    </row>
    <row r="70" spans="1:15" x14ac:dyDescent="0.25">
      <c r="A70" t="s">
        <v>70</v>
      </c>
      <c r="B70" t="s">
        <v>12</v>
      </c>
      <c r="H70" t="s">
        <v>12</v>
      </c>
      <c r="M70">
        <v>2</v>
      </c>
      <c r="O70" t="s">
        <v>242</v>
      </c>
    </row>
    <row r="71" spans="1:15" x14ac:dyDescent="0.25">
      <c r="A71" t="s">
        <v>243</v>
      </c>
      <c r="B71" t="s">
        <v>270</v>
      </c>
      <c r="C71" t="s">
        <v>275</v>
      </c>
      <c r="H71" t="s">
        <v>270</v>
      </c>
      <c r="M71">
        <v>1</v>
      </c>
      <c r="O71" t="s">
        <v>244</v>
      </c>
    </row>
    <row r="72" spans="1:15" x14ac:dyDescent="0.25">
      <c r="A72" t="s">
        <v>73</v>
      </c>
      <c r="B72" t="s">
        <v>270</v>
      </c>
      <c r="C72" t="s">
        <v>275</v>
      </c>
      <c r="H72" t="s">
        <v>270</v>
      </c>
      <c r="M72">
        <v>2</v>
      </c>
      <c r="O72" t="s">
        <v>245</v>
      </c>
    </row>
    <row r="73" spans="1:15" x14ac:dyDescent="0.25">
      <c r="A73" t="s">
        <v>73</v>
      </c>
      <c r="B73" t="s">
        <v>225</v>
      </c>
      <c r="C73" t="s">
        <v>275</v>
      </c>
      <c r="H73" t="s">
        <v>225</v>
      </c>
      <c r="I73">
        <v>2</v>
      </c>
      <c r="O73" t="s">
        <v>774</v>
      </c>
    </row>
    <row r="74" spans="1:15" x14ac:dyDescent="0.25">
      <c r="A74" t="s">
        <v>73</v>
      </c>
      <c r="B74" t="s">
        <v>225</v>
      </c>
      <c r="C74" t="s">
        <v>153</v>
      </c>
      <c r="H74" t="s">
        <v>225</v>
      </c>
      <c r="I74">
        <v>2</v>
      </c>
      <c r="O74" t="s">
        <v>775</v>
      </c>
    </row>
    <row r="75" spans="1:15" x14ac:dyDescent="0.25">
      <c r="A75" t="s">
        <v>73</v>
      </c>
      <c r="B75" t="s">
        <v>239</v>
      </c>
      <c r="C75" t="s">
        <v>275</v>
      </c>
      <c r="H75" t="s">
        <v>239</v>
      </c>
      <c r="I75">
        <v>2</v>
      </c>
      <c r="O75" t="s">
        <v>776</v>
      </c>
    </row>
    <row r="76" spans="1:15" x14ac:dyDescent="0.25">
      <c r="A76" t="s">
        <v>73</v>
      </c>
      <c r="B76" t="s">
        <v>239</v>
      </c>
      <c r="C76" t="s">
        <v>153</v>
      </c>
      <c r="H76" t="s">
        <v>239</v>
      </c>
      <c r="I76">
        <v>2</v>
      </c>
      <c r="O76" t="s">
        <v>777</v>
      </c>
    </row>
    <row r="77" spans="1:15" x14ac:dyDescent="0.25">
      <c r="A77" t="s">
        <v>120</v>
      </c>
      <c r="B77" t="s">
        <v>270</v>
      </c>
      <c r="C77" t="s">
        <v>246</v>
      </c>
      <c r="H77" t="s">
        <v>270</v>
      </c>
      <c r="M77">
        <v>3</v>
      </c>
      <c r="O77" t="s">
        <v>247</v>
      </c>
    </row>
    <row r="78" spans="1:15" x14ac:dyDescent="0.25">
      <c r="A78" t="s">
        <v>120</v>
      </c>
      <c r="B78" t="s">
        <v>270</v>
      </c>
      <c r="C78" t="s">
        <v>248</v>
      </c>
      <c r="H78" t="s">
        <v>270</v>
      </c>
      <c r="M78">
        <v>3</v>
      </c>
      <c r="O78" t="s">
        <v>249</v>
      </c>
    </row>
    <row r="79" spans="1:15" x14ac:dyDescent="0.25">
      <c r="A79" t="s">
        <v>75</v>
      </c>
      <c r="B79" t="s">
        <v>225</v>
      </c>
      <c r="H79" t="s">
        <v>225</v>
      </c>
      <c r="I79">
        <v>2</v>
      </c>
      <c r="O79" t="s">
        <v>250</v>
      </c>
    </row>
    <row r="80" spans="1:15" x14ac:dyDescent="0.25">
      <c r="A80" t="s">
        <v>556</v>
      </c>
      <c r="B80" t="s">
        <v>225</v>
      </c>
      <c r="H80" t="s">
        <v>225</v>
      </c>
      <c r="I80">
        <v>3</v>
      </c>
      <c r="O80" t="s">
        <v>696</v>
      </c>
    </row>
    <row r="81" spans="1:17" x14ac:dyDescent="0.25">
      <c r="A81" t="s">
        <v>78</v>
      </c>
      <c r="B81" t="s">
        <v>225</v>
      </c>
      <c r="D81" t="s">
        <v>251</v>
      </c>
      <c r="H81" t="s">
        <v>225</v>
      </c>
      <c r="I81">
        <v>2</v>
      </c>
      <c r="O81" t="s">
        <v>252</v>
      </c>
    </row>
    <row r="82" spans="1:17" x14ac:dyDescent="0.25">
      <c r="A82" t="s">
        <v>78</v>
      </c>
      <c r="B82" t="s">
        <v>225</v>
      </c>
      <c r="D82" t="s">
        <v>253</v>
      </c>
      <c r="H82" t="s">
        <v>225</v>
      </c>
      <c r="I82">
        <v>2</v>
      </c>
      <c r="O82" t="s">
        <v>254</v>
      </c>
    </row>
    <row r="83" spans="1:17" x14ac:dyDescent="0.25">
      <c r="A83" t="s">
        <v>78</v>
      </c>
      <c r="B83" t="s">
        <v>225</v>
      </c>
      <c r="D83" t="s">
        <v>255</v>
      </c>
      <c r="H83" t="s">
        <v>225</v>
      </c>
      <c r="I83">
        <v>2</v>
      </c>
      <c r="O83" t="s">
        <v>256</v>
      </c>
    </row>
    <row r="84" spans="1:17" x14ac:dyDescent="0.25">
      <c r="A84" t="s">
        <v>78</v>
      </c>
      <c r="B84" t="s">
        <v>11</v>
      </c>
      <c r="D84" t="s">
        <v>251</v>
      </c>
      <c r="H84" t="s">
        <v>11</v>
      </c>
      <c r="M84">
        <v>2</v>
      </c>
      <c r="O84" t="s">
        <v>257</v>
      </c>
    </row>
    <row r="85" spans="1:17" x14ac:dyDescent="0.25">
      <c r="A85" t="s">
        <v>78</v>
      </c>
      <c r="B85" t="s">
        <v>11</v>
      </c>
      <c r="D85" t="s">
        <v>253</v>
      </c>
      <c r="H85" t="s">
        <v>11</v>
      </c>
      <c r="M85">
        <v>2</v>
      </c>
      <c r="O85" t="s">
        <v>258</v>
      </c>
    </row>
    <row r="86" spans="1:17" x14ac:dyDescent="0.25">
      <c r="A86" t="s">
        <v>78</v>
      </c>
      <c r="B86" t="s">
        <v>12</v>
      </c>
      <c r="D86" t="s">
        <v>251</v>
      </c>
      <c r="H86" t="s">
        <v>12</v>
      </c>
      <c r="M86">
        <v>2</v>
      </c>
      <c r="O86" t="s">
        <v>259</v>
      </c>
    </row>
    <row r="87" spans="1:17" x14ac:dyDescent="0.25">
      <c r="A87" t="s">
        <v>78</v>
      </c>
      <c r="B87" t="s">
        <v>12</v>
      </c>
      <c r="D87" t="s">
        <v>253</v>
      </c>
      <c r="H87" t="s">
        <v>12</v>
      </c>
      <c r="M87">
        <v>2</v>
      </c>
      <c r="O87" t="s">
        <v>260</v>
      </c>
    </row>
    <row r="88" spans="1:17" x14ac:dyDescent="0.25">
      <c r="A88" t="s">
        <v>80</v>
      </c>
      <c r="B88" t="s">
        <v>225</v>
      </c>
      <c r="H88" t="s">
        <v>225</v>
      </c>
      <c r="I88">
        <v>2</v>
      </c>
      <c r="O88" t="s">
        <v>261</v>
      </c>
    </row>
    <row r="89" spans="1:17" x14ac:dyDescent="0.25">
      <c r="A89" t="s">
        <v>80</v>
      </c>
      <c r="B89" t="s">
        <v>12</v>
      </c>
      <c r="H89" t="s">
        <v>12</v>
      </c>
      <c r="M89">
        <v>2</v>
      </c>
      <c r="O89" t="s">
        <v>262</v>
      </c>
    </row>
    <row r="90" spans="1:17" x14ac:dyDescent="0.25">
      <c r="A90" t="s">
        <v>80</v>
      </c>
      <c r="B90" t="s">
        <v>225</v>
      </c>
      <c r="H90" t="s">
        <v>225</v>
      </c>
      <c r="I90">
        <v>2</v>
      </c>
      <c r="O90" t="s">
        <v>263</v>
      </c>
      <c r="P90" t="s">
        <v>264</v>
      </c>
      <c r="Q90">
        <v>1</v>
      </c>
    </row>
    <row r="91" spans="1:17" x14ac:dyDescent="0.25">
      <c r="A91" t="s">
        <v>80</v>
      </c>
      <c r="B91" t="s">
        <v>239</v>
      </c>
      <c r="H91" t="s">
        <v>239</v>
      </c>
      <c r="I91">
        <v>2</v>
      </c>
      <c r="O91" t="s">
        <v>263</v>
      </c>
      <c r="P91" t="s">
        <v>264</v>
      </c>
      <c r="Q91">
        <v>1</v>
      </c>
    </row>
    <row r="92" spans="1:17" x14ac:dyDescent="0.25">
      <c r="A92" t="s">
        <v>110</v>
      </c>
      <c r="B92" t="s">
        <v>11</v>
      </c>
      <c r="H92" t="s">
        <v>11</v>
      </c>
      <c r="M92">
        <v>3</v>
      </c>
      <c r="O92" t="s">
        <v>265</v>
      </c>
    </row>
    <row r="93" spans="1:17" x14ac:dyDescent="0.25">
      <c r="A93" t="s">
        <v>110</v>
      </c>
      <c r="B93" t="s">
        <v>12</v>
      </c>
      <c r="H93" t="s">
        <v>12</v>
      </c>
      <c r="M93">
        <v>3</v>
      </c>
      <c r="O93" t="s">
        <v>266</v>
      </c>
    </row>
    <row r="94" spans="1:17" x14ac:dyDescent="0.25">
      <c r="A94" t="s">
        <v>122</v>
      </c>
      <c r="B94" t="s">
        <v>270</v>
      </c>
      <c r="C94" t="s">
        <v>275</v>
      </c>
      <c r="D94" s="2"/>
      <c r="H94" t="s">
        <v>270</v>
      </c>
      <c r="M94">
        <v>3</v>
      </c>
      <c r="O94" t="s">
        <v>267</v>
      </c>
    </row>
    <row r="95" spans="1:17" x14ac:dyDescent="0.25">
      <c r="A95" t="s">
        <v>122</v>
      </c>
      <c r="B95" t="s">
        <v>225</v>
      </c>
      <c r="C95" t="s">
        <v>275</v>
      </c>
      <c r="D95" s="2"/>
      <c r="H95" t="s">
        <v>225</v>
      </c>
      <c r="I95">
        <v>3</v>
      </c>
      <c r="O95" t="s">
        <v>778</v>
      </c>
    </row>
    <row r="96" spans="1:17" x14ac:dyDescent="0.25">
      <c r="A96" t="s">
        <v>122</v>
      </c>
      <c r="B96" t="s">
        <v>225</v>
      </c>
      <c r="C96" t="s">
        <v>153</v>
      </c>
      <c r="D96" s="2"/>
      <c r="H96" t="s">
        <v>225</v>
      </c>
      <c r="I96">
        <v>3</v>
      </c>
      <c r="O96" t="s">
        <v>779</v>
      </c>
    </row>
    <row r="97" spans="1:15" x14ac:dyDescent="0.25">
      <c r="A97" t="s">
        <v>122</v>
      </c>
      <c r="B97" t="s">
        <v>11</v>
      </c>
      <c r="C97" t="s">
        <v>275</v>
      </c>
      <c r="D97" s="2"/>
      <c r="H97" t="s">
        <v>11</v>
      </c>
      <c r="M97">
        <v>3</v>
      </c>
      <c r="O97" t="s">
        <v>780</v>
      </c>
    </row>
    <row r="98" spans="1:15" x14ac:dyDescent="0.25">
      <c r="A98" t="s">
        <v>122</v>
      </c>
      <c r="B98" t="s">
        <v>12</v>
      </c>
      <c r="C98" t="s">
        <v>275</v>
      </c>
      <c r="D98" s="2"/>
      <c r="H98" t="s">
        <v>12</v>
      </c>
      <c r="M98">
        <v>3</v>
      </c>
      <c r="O98" t="s">
        <v>781</v>
      </c>
    </row>
    <row r="99" spans="1:15" x14ac:dyDescent="0.25">
      <c r="A99" t="s">
        <v>128</v>
      </c>
      <c r="B99" t="s">
        <v>270</v>
      </c>
      <c r="C99" t="s">
        <v>246</v>
      </c>
      <c r="D99" s="2"/>
      <c r="H99" t="s">
        <v>270</v>
      </c>
      <c r="M99">
        <v>4</v>
      </c>
      <c r="O99" t="s">
        <v>268</v>
      </c>
    </row>
    <row r="100" spans="1:15" x14ac:dyDescent="0.25">
      <c r="A100" t="s">
        <v>128</v>
      </c>
      <c r="B100" t="s">
        <v>270</v>
      </c>
      <c r="C100" t="s">
        <v>782</v>
      </c>
      <c r="D100" s="2"/>
      <c r="H100" t="s">
        <v>270</v>
      </c>
      <c r="M100">
        <v>4</v>
      </c>
      <c r="O100" t="s">
        <v>783</v>
      </c>
    </row>
    <row r="101" spans="1:15" x14ac:dyDescent="0.25">
      <c r="A101" t="s">
        <v>128</v>
      </c>
      <c r="B101" t="s">
        <v>270</v>
      </c>
      <c r="C101" t="s">
        <v>248</v>
      </c>
      <c r="D101" s="2"/>
      <c r="H101" t="s">
        <v>270</v>
      </c>
      <c r="M101">
        <v>4</v>
      </c>
      <c r="O101" t="s">
        <v>269</v>
      </c>
    </row>
    <row r="102" spans="1:15" x14ac:dyDescent="0.25">
      <c r="A102" t="s">
        <v>114</v>
      </c>
      <c r="B102" t="s">
        <v>270</v>
      </c>
      <c r="C102" t="s">
        <v>275</v>
      </c>
      <c r="D102" s="2"/>
      <c r="H102" t="s">
        <v>270</v>
      </c>
      <c r="M102">
        <v>1</v>
      </c>
      <c r="O102" t="s">
        <v>271</v>
      </c>
    </row>
    <row r="103" spans="1:15" x14ac:dyDescent="0.25">
      <c r="A103" t="s">
        <v>114</v>
      </c>
      <c r="B103" t="s">
        <v>225</v>
      </c>
      <c r="C103" t="s">
        <v>275</v>
      </c>
      <c r="D103" s="2"/>
      <c r="H103" t="s">
        <v>225</v>
      </c>
      <c r="I103">
        <v>1</v>
      </c>
      <c r="O103" t="s">
        <v>272</v>
      </c>
    </row>
    <row r="104" spans="1:15" x14ac:dyDescent="0.25">
      <c r="A104" t="s">
        <v>114</v>
      </c>
      <c r="B104" t="s">
        <v>197</v>
      </c>
      <c r="C104" t="s">
        <v>275</v>
      </c>
      <c r="D104" s="2"/>
      <c r="H104" t="s">
        <v>197</v>
      </c>
      <c r="I104">
        <v>1</v>
      </c>
      <c r="O104" t="s">
        <v>273</v>
      </c>
    </row>
    <row r="105" spans="1:15" x14ac:dyDescent="0.25">
      <c r="A105" t="s">
        <v>114</v>
      </c>
      <c r="B105" t="s">
        <v>205</v>
      </c>
      <c r="C105" t="s">
        <v>275</v>
      </c>
      <c r="D105" s="2"/>
      <c r="H105" t="s">
        <v>205</v>
      </c>
      <c r="I105">
        <v>1</v>
      </c>
      <c r="O105" t="s">
        <v>274</v>
      </c>
    </row>
    <row r="106" spans="1:15" x14ac:dyDescent="0.25">
      <c r="A106" t="s">
        <v>124</v>
      </c>
      <c r="B106" t="s">
        <v>270</v>
      </c>
      <c r="C106" t="s">
        <v>782</v>
      </c>
      <c r="D106" s="2"/>
      <c r="H106" t="s">
        <v>270</v>
      </c>
      <c r="M106">
        <v>2</v>
      </c>
      <c r="O106" t="s">
        <v>276</v>
      </c>
    </row>
    <row r="107" spans="1:15" x14ac:dyDescent="0.25">
      <c r="A107" t="s">
        <v>124</v>
      </c>
      <c r="B107" t="s">
        <v>270</v>
      </c>
      <c r="C107" t="s">
        <v>246</v>
      </c>
      <c r="D107" s="2"/>
      <c r="H107" t="s">
        <v>270</v>
      </c>
      <c r="M107">
        <v>2</v>
      </c>
      <c r="O107" t="s">
        <v>277</v>
      </c>
    </row>
    <row r="108" spans="1:15" x14ac:dyDescent="0.25">
      <c r="A108" t="s">
        <v>124</v>
      </c>
      <c r="B108" t="s">
        <v>270</v>
      </c>
      <c r="C108" t="s">
        <v>248</v>
      </c>
      <c r="D108" s="2"/>
      <c r="H108" t="s">
        <v>270</v>
      </c>
      <c r="M108">
        <v>2</v>
      </c>
      <c r="O108" t="s">
        <v>278</v>
      </c>
    </row>
    <row r="109" spans="1:15" x14ac:dyDescent="0.25">
      <c r="A109" t="s">
        <v>124</v>
      </c>
      <c r="B109" t="s">
        <v>225</v>
      </c>
      <c r="C109" t="s">
        <v>275</v>
      </c>
      <c r="D109" s="2"/>
      <c r="H109" t="s">
        <v>225</v>
      </c>
      <c r="I109">
        <v>2</v>
      </c>
      <c r="O109" t="s">
        <v>279</v>
      </c>
    </row>
    <row r="110" spans="1:15" x14ac:dyDescent="0.25">
      <c r="A110" t="s">
        <v>124</v>
      </c>
      <c r="B110" t="s">
        <v>225</v>
      </c>
      <c r="C110" t="s">
        <v>153</v>
      </c>
      <c r="D110" s="2"/>
      <c r="H110" t="s">
        <v>225</v>
      </c>
      <c r="I110">
        <v>2</v>
      </c>
      <c r="O110" t="s">
        <v>280</v>
      </c>
    </row>
    <row r="111" spans="1:15" x14ac:dyDescent="0.25">
      <c r="A111" t="s">
        <v>124</v>
      </c>
      <c r="B111" t="s">
        <v>225</v>
      </c>
      <c r="C111" t="s">
        <v>153</v>
      </c>
      <c r="D111" s="2"/>
      <c r="H111" t="s">
        <v>225</v>
      </c>
      <c r="I111">
        <v>2</v>
      </c>
      <c r="O111" t="s">
        <v>281</v>
      </c>
    </row>
    <row r="112" spans="1:15" x14ac:dyDescent="0.25">
      <c r="A112" t="s">
        <v>124</v>
      </c>
      <c r="B112" t="s">
        <v>197</v>
      </c>
      <c r="C112" t="s">
        <v>275</v>
      </c>
      <c r="D112" s="2"/>
      <c r="H112" t="s">
        <v>197</v>
      </c>
      <c r="I112">
        <v>2</v>
      </c>
      <c r="O112" t="s">
        <v>282</v>
      </c>
    </row>
    <row r="113" spans="1:15" x14ac:dyDescent="0.25">
      <c r="A113" t="s">
        <v>124</v>
      </c>
      <c r="B113" t="s">
        <v>197</v>
      </c>
      <c r="C113" t="s">
        <v>275</v>
      </c>
      <c r="D113" s="2"/>
      <c r="H113" t="s">
        <v>197</v>
      </c>
      <c r="I113">
        <v>2</v>
      </c>
      <c r="O113" t="s">
        <v>283</v>
      </c>
    </row>
    <row r="114" spans="1:15" x14ac:dyDescent="0.25">
      <c r="A114" t="s">
        <v>124</v>
      </c>
      <c r="B114" t="s">
        <v>205</v>
      </c>
      <c r="C114" t="s">
        <v>275</v>
      </c>
      <c r="D114" s="2"/>
      <c r="H114" t="s">
        <v>205</v>
      </c>
      <c r="I114">
        <v>2</v>
      </c>
      <c r="O114" t="s">
        <v>284</v>
      </c>
    </row>
    <row r="115" spans="1:15" x14ac:dyDescent="0.25">
      <c r="A115" t="s">
        <v>124</v>
      </c>
      <c r="B115" t="s">
        <v>205</v>
      </c>
      <c r="C115" t="s">
        <v>275</v>
      </c>
      <c r="D115" s="2"/>
      <c r="H115" t="s">
        <v>205</v>
      </c>
      <c r="I115">
        <v>2</v>
      </c>
      <c r="O115" t="s">
        <v>285</v>
      </c>
    </row>
    <row r="116" spans="1:15" x14ac:dyDescent="0.25">
      <c r="A116" t="s">
        <v>124</v>
      </c>
      <c r="B116" t="s">
        <v>205</v>
      </c>
      <c r="C116" t="s">
        <v>275</v>
      </c>
      <c r="D116" s="2"/>
      <c r="H116" t="s">
        <v>205</v>
      </c>
      <c r="I116">
        <v>2</v>
      </c>
      <c r="O116" t="s">
        <v>286</v>
      </c>
    </row>
    <row r="117" spans="1:15" x14ac:dyDescent="0.25">
      <c r="A117" t="s">
        <v>124</v>
      </c>
      <c r="B117" t="s">
        <v>205</v>
      </c>
      <c r="C117" t="s">
        <v>275</v>
      </c>
      <c r="D117" s="2"/>
      <c r="H117" t="s">
        <v>205</v>
      </c>
      <c r="I117">
        <v>2</v>
      </c>
      <c r="O117" t="s">
        <v>287</v>
      </c>
    </row>
    <row r="118" spans="1:15" x14ac:dyDescent="0.25">
      <c r="A118" t="s">
        <v>116</v>
      </c>
      <c r="B118" t="s">
        <v>270</v>
      </c>
      <c r="C118" t="s">
        <v>275</v>
      </c>
      <c r="H118" t="s">
        <v>270</v>
      </c>
      <c r="M118">
        <v>2</v>
      </c>
      <c r="O118" t="s">
        <v>288</v>
      </c>
    </row>
    <row r="119" spans="1:15" x14ac:dyDescent="0.25">
      <c r="A119" t="s">
        <v>116</v>
      </c>
      <c r="B119" t="s">
        <v>225</v>
      </c>
      <c r="C119" t="s">
        <v>275</v>
      </c>
      <c r="H119" t="s">
        <v>225</v>
      </c>
      <c r="I119">
        <v>2</v>
      </c>
      <c r="O119" t="s">
        <v>289</v>
      </c>
    </row>
    <row r="120" spans="1:15" x14ac:dyDescent="0.25">
      <c r="A120" t="s">
        <v>116</v>
      </c>
      <c r="B120" t="s">
        <v>11</v>
      </c>
      <c r="C120" t="s">
        <v>275</v>
      </c>
      <c r="H120" t="s">
        <v>11</v>
      </c>
      <c r="M120">
        <v>2</v>
      </c>
      <c r="O120" t="s">
        <v>290</v>
      </c>
    </row>
    <row r="121" spans="1:15" x14ac:dyDescent="0.25">
      <c r="A121" t="s">
        <v>116</v>
      </c>
      <c r="B121" t="s">
        <v>12</v>
      </c>
      <c r="C121" t="s">
        <v>275</v>
      </c>
      <c r="H121" t="s">
        <v>12</v>
      </c>
      <c r="M121">
        <v>2</v>
      </c>
      <c r="O121" t="s">
        <v>291</v>
      </c>
    </row>
    <row r="122" spans="1:15" x14ac:dyDescent="0.25">
      <c r="A122" t="s">
        <v>126</v>
      </c>
      <c r="B122" t="s">
        <v>270</v>
      </c>
      <c r="C122" t="s">
        <v>782</v>
      </c>
      <c r="D122" s="2"/>
      <c r="E122" s="1">
        <v>0.03</v>
      </c>
      <c r="H122" t="s">
        <v>270</v>
      </c>
      <c r="M122">
        <v>3</v>
      </c>
      <c r="O122" t="s">
        <v>292</v>
      </c>
    </row>
    <row r="123" spans="1:15" x14ac:dyDescent="0.25">
      <c r="A123" t="s">
        <v>126</v>
      </c>
      <c r="B123" t="s">
        <v>270</v>
      </c>
      <c r="C123" t="s">
        <v>246</v>
      </c>
      <c r="D123" s="2"/>
      <c r="E123" s="1">
        <v>0.03</v>
      </c>
      <c r="H123" t="s">
        <v>270</v>
      </c>
      <c r="M123">
        <v>3</v>
      </c>
      <c r="O123" t="s">
        <v>293</v>
      </c>
    </row>
    <row r="124" spans="1:15" x14ac:dyDescent="0.25">
      <c r="A124" t="s">
        <v>126</v>
      </c>
      <c r="B124" t="s">
        <v>270</v>
      </c>
      <c r="C124" t="s">
        <v>248</v>
      </c>
      <c r="D124" s="2"/>
      <c r="E124" s="1">
        <v>0.03</v>
      </c>
      <c r="H124" t="s">
        <v>270</v>
      </c>
      <c r="M124">
        <v>3</v>
      </c>
      <c r="O124" t="s">
        <v>294</v>
      </c>
    </row>
    <row r="125" spans="1:15" x14ac:dyDescent="0.25">
      <c r="A125" t="s">
        <v>126</v>
      </c>
      <c r="B125" t="s">
        <v>270</v>
      </c>
      <c r="C125" t="s">
        <v>246</v>
      </c>
      <c r="D125" s="2"/>
      <c r="E125" s="1">
        <v>0.02</v>
      </c>
      <c r="H125" t="s">
        <v>270</v>
      </c>
      <c r="M125">
        <v>3</v>
      </c>
      <c r="O125" t="s">
        <v>295</v>
      </c>
    </row>
    <row r="126" spans="1:15" x14ac:dyDescent="0.25">
      <c r="A126" t="s">
        <v>27</v>
      </c>
      <c r="B126" t="s">
        <v>296</v>
      </c>
      <c r="C126" t="s">
        <v>662</v>
      </c>
      <c r="K126">
        <v>1</v>
      </c>
      <c r="O126" t="s">
        <v>297</v>
      </c>
    </row>
    <row r="127" spans="1:15" x14ac:dyDescent="0.25">
      <c r="A127" t="s">
        <v>27</v>
      </c>
      <c r="B127" t="s">
        <v>296</v>
      </c>
      <c r="C127" t="s">
        <v>663</v>
      </c>
      <c r="K127">
        <v>1</v>
      </c>
      <c r="O127" t="s">
        <v>298</v>
      </c>
    </row>
    <row r="128" spans="1:15" x14ac:dyDescent="0.25">
      <c r="A128" t="s">
        <v>27</v>
      </c>
      <c r="B128" t="s">
        <v>296</v>
      </c>
      <c r="C128" t="s">
        <v>664</v>
      </c>
      <c r="K128">
        <v>1</v>
      </c>
      <c r="O128" t="s">
        <v>299</v>
      </c>
    </row>
    <row r="129" spans="1:15" x14ac:dyDescent="0.25">
      <c r="A129" t="s">
        <v>27</v>
      </c>
      <c r="B129" t="s">
        <v>296</v>
      </c>
      <c r="C129" t="s">
        <v>665</v>
      </c>
      <c r="K129">
        <v>1</v>
      </c>
      <c r="O129" t="s">
        <v>300</v>
      </c>
    </row>
    <row r="130" spans="1:15" x14ac:dyDescent="0.25">
      <c r="A130" t="s">
        <v>27</v>
      </c>
      <c r="B130" t="s">
        <v>296</v>
      </c>
      <c r="C130" t="s">
        <v>666</v>
      </c>
      <c r="K130">
        <v>1</v>
      </c>
      <c r="O130" t="s">
        <v>301</v>
      </c>
    </row>
    <row r="131" spans="1:15" x14ac:dyDescent="0.25">
      <c r="A131" t="s">
        <v>27</v>
      </c>
      <c r="B131" t="s">
        <v>296</v>
      </c>
      <c r="C131" t="s">
        <v>667</v>
      </c>
      <c r="K131">
        <v>1</v>
      </c>
      <c r="O131" t="s">
        <v>302</v>
      </c>
    </row>
    <row r="132" spans="1:15" x14ac:dyDescent="0.25">
      <c r="A132" t="s">
        <v>27</v>
      </c>
      <c r="B132" t="s">
        <v>296</v>
      </c>
      <c r="C132" t="s">
        <v>668</v>
      </c>
      <c r="K132">
        <v>1</v>
      </c>
      <c r="O132" t="s">
        <v>303</v>
      </c>
    </row>
    <row r="133" spans="1:15" x14ac:dyDescent="0.25">
      <c r="A133" t="s">
        <v>27</v>
      </c>
      <c r="B133" t="s">
        <v>296</v>
      </c>
      <c r="C133" t="s">
        <v>669</v>
      </c>
      <c r="K133">
        <v>1</v>
      </c>
      <c r="O133" t="s">
        <v>304</v>
      </c>
    </row>
    <row r="134" spans="1:15" x14ac:dyDescent="0.25">
      <c r="A134" t="s">
        <v>27</v>
      </c>
      <c r="B134" t="s">
        <v>296</v>
      </c>
      <c r="C134" t="s">
        <v>670</v>
      </c>
      <c r="K134">
        <v>1</v>
      </c>
      <c r="O134" t="s">
        <v>305</v>
      </c>
    </row>
    <row r="135" spans="1:15" x14ac:dyDescent="0.25">
      <c r="A135" t="s">
        <v>27</v>
      </c>
      <c r="B135" t="s">
        <v>296</v>
      </c>
      <c r="C135" t="s">
        <v>671</v>
      </c>
      <c r="K135">
        <v>1</v>
      </c>
      <c r="O135" t="s">
        <v>306</v>
      </c>
    </row>
    <row r="136" spans="1:15" x14ac:dyDescent="0.25">
      <c r="A136" t="s">
        <v>27</v>
      </c>
      <c r="B136" t="s">
        <v>296</v>
      </c>
      <c r="C136" t="s">
        <v>672</v>
      </c>
      <c r="K136">
        <v>1</v>
      </c>
      <c r="O136" t="s">
        <v>307</v>
      </c>
    </row>
    <row r="137" spans="1:15" x14ac:dyDescent="0.25">
      <c r="A137" t="s">
        <v>27</v>
      </c>
      <c r="B137" t="s">
        <v>296</v>
      </c>
      <c r="C137" t="s">
        <v>673</v>
      </c>
      <c r="K137">
        <v>1</v>
      </c>
      <c r="O137" t="s">
        <v>308</v>
      </c>
    </row>
    <row r="138" spans="1:15" x14ac:dyDescent="0.25">
      <c r="A138" t="s">
        <v>27</v>
      </c>
      <c r="B138" t="s">
        <v>296</v>
      </c>
      <c r="C138" t="s">
        <v>674</v>
      </c>
      <c r="K138">
        <v>1</v>
      </c>
      <c r="O138" t="s">
        <v>309</v>
      </c>
    </row>
    <row r="139" spans="1:15" x14ac:dyDescent="0.25">
      <c r="A139" t="s">
        <v>27</v>
      </c>
      <c r="B139" t="s">
        <v>296</v>
      </c>
      <c r="C139" t="s">
        <v>679</v>
      </c>
      <c r="K139">
        <v>1</v>
      </c>
      <c r="O139" t="s">
        <v>310</v>
      </c>
    </row>
    <row r="140" spans="1:15" x14ac:dyDescent="0.25">
      <c r="A140" t="s">
        <v>27</v>
      </c>
      <c r="B140" t="s">
        <v>296</v>
      </c>
      <c r="C140" t="s">
        <v>680</v>
      </c>
      <c r="K140">
        <v>1</v>
      </c>
      <c r="O140" t="s">
        <v>311</v>
      </c>
    </row>
    <row r="141" spans="1:15" x14ac:dyDescent="0.25">
      <c r="A141" t="s">
        <v>27</v>
      </c>
      <c r="B141" t="s">
        <v>296</v>
      </c>
      <c r="C141" t="s">
        <v>681</v>
      </c>
      <c r="K141">
        <v>1</v>
      </c>
      <c r="O141" t="s">
        <v>312</v>
      </c>
    </row>
    <row r="142" spans="1:15" x14ac:dyDescent="0.25">
      <c r="A142" t="s">
        <v>27</v>
      </c>
      <c r="B142" t="s">
        <v>296</v>
      </c>
      <c r="C142" t="s">
        <v>682</v>
      </c>
      <c r="K142">
        <v>1</v>
      </c>
      <c r="O142" t="s">
        <v>313</v>
      </c>
    </row>
    <row r="143" spans="1:15" x14ac:dyDescent="0.25">
      <c r="A143" t="s">
        <v>27</v>
      </c>
      <c r="B143" t="s">
        <v>296</v>
      </c>
      <c r="C143" t="s">
        <v>683</v>
      </c>
      <c r="K143">
        <v>1</v>
      </c>
      <c r="O143" t="s">
        <v>314</v>
      </c>
    </row>
    <row r="144" spans="1:15" x14ac:dyDescent="0.25">
      <c r="A144" t="s">
        <v>27</v>
      </c>
      <c r="B144" t="s">
        <v>296</v>
      </c>
      <c r="C144" t="s">
        <v>684</v>
      </c>
      <c r="K144">
        <v>1</v>
      </c>
      <c r="O144" t="s">
        <v>315</v>
      </c>
    </row>
    <row r="145" spans="1:15" x14ac:dyDescent="0.25">
      <c r="A145" t="s">
        <v>27</v>
      </c>
      <c r="B145" t="s">
        <v>316</v>
      </c>
      <c r="C145" t="s">
        <v>662</v>
      </c>
      <c r="K145">
        <v>1</v>
      </c>
      <c r="O145" t="s">
        <v>317</v>
      </c>
    </row>
    <row r="146" spans="1:15" x14ac:dyDescent="0.25">
      <c r="A146" t="s">
        <v>27</v>
      </c>
      <c r="B146" t="s">
        <v>316</v>
      </c>
      <c r="C146" t="s">
        <v>663</v>
      </c>
      <c r="K146">
        <v>1</v>
      </c>
      <c r="O146" t="s">
        <v>318</v>
      </c>
    </row>
    <row r="147" spans="1:15" x14ac:dyDescent="0.25">
      <c r="A147" t="s">
        <v>27</v>
      </c>
      <c r="B147" t="s">
        <v>316</v>
      </c>
      <c r="C147" t="s">
        <v>664</v>
      </c>
      <c r="K147">
        <v>1</v>
      </c>
      <c r="O147" t="s">
        <v>319</v>
      </c>
    </row>
    <row r="148" spans="1:15" x14ac:dyDescent="0.25">
      <c r="A148" t="s">
        <v>27</v>
      </c>
      <c r="B148" t="s">
        <v>316</v>
      </c>
      <c r="C148" t="s">
        <v>665</v>
      </c>
      <c r="K148">
        <v>1</v>
      </c>
      <c r="O148" t="s">
        <v>320</v>
      </c>
    </row>
    <row r="149" spans="1:15" x14ac:dyDescent="0.25">
      <c r="A149" t="s">
        <v>27</v>
      </c>
      <c r="B149" t="s">
        <v>316</v>
      </c>
      <c r="C149" t="s">
        <v>666</v>
      </c>
      <c r="K149">
        <v>1</v>
      </c>
      <c r="O149" t="s">
        <v>321</v>
      </c>
    </row>
    <row r="150" spans="1:15" x14ac:dyDescent="0.25">
      <c r="A150" t="s">
        <v>27</v>
      </c>
      <c r="B150" t="s">
        <v>316</v>
      </c>
      <c r="C150" t="s">
        <v>667</v>
      </c>
      <c r="K150">
        <v>1</v>
      </c>
      <c r="O150" t="s">
        <v>322</v>
      </c>
    </row>
    <row r="151" spans="1:15" x14ac:dyDescent="0.25">
      <c r="A151" t="s">
        <v>27</v>
      </c>
      <c r="B151" t="s">
        <v>316</v>
      </c>
      <c r="C151" t="s">
        <v>668</v>
      </c>
      <c r="K151">
        <v>1</v>
      </c>
      <c r="O151" t="s">
        <v>323</v>
      </c>
    </row>
    <row r="152" spans="1:15" x14ac:dyDescent="0.25">
      <c r="A152" t="s">
        <v>27</v>
      </c>
      <c r="B152" t="s">
        <v>316</v>
      </c>
      <c r="C152" t="s">
        <v>669</v>
      </c>
      <c r="K152">
        <v>1</v>
      </c>
      <c r="O152" t="s">
        <v>324</v>
      </c>
    </row>
    <row r="153" spans="1:15" x14ac:dyDescent="0.25">
      <c r="A153" t="s">
        <v>27</v>
      </c>
      <c r="B153" t="s">
        <v>316</v>
      </c>
      <c r="C153" t="s">
        <v>670</v>
      </c>
      <c r="K153">
        <v>1</v>
      </c>
      <c r="O153" t="s">
        <v>325</v>
      </c>
    </row>
    <row r="154" spans="1:15" x14ac:dyDescent="0.25">
      <c r="A154" t="s">
        <v>27</v>
      </c>
      <c r="B154" t="s">
        <v>316</v>
      </c>
      <c r="C154" t="s">
        <v>671</v>
      </c>
      <c r="K154">
        <v>1</v>
      </c>
      <c r="O154" t="s">
        <v>326</v>
      </c>
    </row>
    <row r="155" spans="1:15" x14ac:dyDescent="0.25">
      <c r="A155" t="s">
        <v>27</v>
      </c>
      <c r="B155" t="s">
        <v>316</v>
      </c>
      <c r="C155" t="s">
        <v>672</v>
      </c>
      <c r="K155">
        <v>1</v>
      </c>
      <c r="O155" t="s">
        <v>327</v>
      </c>
    </row>
    <row r="156" spans="1:15" x14ac:dyDescent="0.25">
      <c r="A156" t="s">
        <v>27</v>
      </c>
      <c r="B156" t="s">
        <v>316</v>
      </c>
      <c r="C156" t="s">
        <v>673</v>
      </c>
      <c r="K156">
        <v>1</v>
      </c>
      <c r="O156" t="s">
        <v>328</v>
      </c>
    </row>
    <row r="157" spans="1:15" x14ac:dyDescent="0.25">
      <c r="A157" t="s">
        <v>27</v>
      </c>
      <c r="B157" t="s">
        <v>316</v>
      </c>
      <c r="C157" t="s">
        <v>674</v>
      </c>
      <c r="K157">
        <v>1</v>
      </c>
      <c r="O157" t="s">
        <v>329</v>
      </c>
    </row>
    <row r="158" spans="1:15" x14ac:dyDescent="0.25">
      <c r="A158" t="s">
        <v>27</v>
      </c>
      <c r="B158" t="s">
        <v>316</v>
      </c>
      <c r="C158" t="s">
        <v>679</v>
      </c>
      <c r="K158">
        <v>1</v>
      </c>
      <c r="O158" t="s">
        <v>330</v>
      </c>
    </row>
    <row r="159" spans="1:15" x14ac:dyDescent="0.25">
      <c r="A159" t="s">
        <v>27</v>
      </c>
      <c r="B159" t="s">
        <v>316</v>
      </c>
      <c r="C159" t="s">
        <v>680</v>
      </c>
      <c r="K159">
        <v>1</v>
      </c>
      <c r="O159" t="s">
        <v>331</v>
      </c>
    </row>
    <row r="160" spans="1:15" x14ac:dyDescent="0.25">
      <c r="A160" t="s">
        <v>27</v>
      </c>
      <c r="B160" t="s">
        <v>316</v>
      </c>
      <c r="C160" t="s">
        <v>681</v>
      </c>
      <c r="K160">
        <v>1</v>
      </c>
      <c r="O160" t="s">
        <v>332</v>
      </c>
    </row>
    <row r="161" spans="1:15" x14ac:dyDescent="0.25">
      <c r="A161" t="s">
        <v>27</v>
      </c>
      <c r="B161" t="s">
        <v>316</v>
      </c>
      <c r="C161" t="s">
        <v>682</v>
      </c>
      <c r="K161">
        <v>1</v>
      </c>
      <c r="O161" t="s">
        <v>333</v>
      </c>
    </row>
    <row r="162" spans="1:15" x14ac:dyDescent="0.25">
      <c r="A162" t="s">
        <v>27</v>
      </c>
      <c r="B162" t="s">
        <v>316</v>
      </c>
      <c r="C162" t="s">
        <v>683</v>
      </c>
      <c r="K162">
        <v>1</v>
      </c>
      <c r="O162" t="s">
        <v>334</v>
      </c>
    </row>
    <row r="163" spans="1:15" x14ac:dyDescent="0.25">
      <c r="A163" t="s">
        <v>27</v>
      </c>
      <c r="B163" t="s">
        <v>316</v>
      </c>
      <c r="C163" t="s">
        <v>684</v>
      </c>
      <c r="K163">
        <v>1</v>
      </c>
      <c r="O163" t="s">
        <v>335</v>
      </c>
    </row>
    <row r="164" spans="1:15" x14ac:dyDescent="0.25">
      <c r="A164" t="s">
        <v>29</v>
      </c>
      <c r="B164" t="s">
        <v>296</v>
      </c>
      <c r="C164" t="s">
        <v>662</v>
      </c>
      <c r="D164" t="s">
        <v>11</v>
      </c>
      <c r="M164">
        <v>10</v>
      </c>
      <c r="O164" t="s">
        <v>297</v>
      </c>
    </row>
    <row r="165" spans="1:15" x14ac:dyDescent="0.25">
      <c r="A165" t="s">
        <v>29</v>
      </c>
      <c r="B165" t="s">
        <v>296</v>
      </c>
      <c r="C165" t="s">
        <v>663</v>
      </c>
      <c r="D165" t="s">
        <v>11</v>
      </c>
      <c r="M165">
        <v>10</v>
      </c>
      <c r="O165" t="s">
        <v>298</v>
      </c>
    </row>
    <row r="166" spans="1:15" x14ac:dyDescent="0.25">
      <c r="A166" t="s">
        <v>29</v>
      </c>
      <c r="B166" t="s">
        <v>296</v>
      </c>
      <c r="C166" t="s">
        <v>664</v>
      </c>
      <c r="D166" t="s">
        <v>11</v>
      </c>
      <c r="M166">
        <v>10</v>
      </c>
      <c r="O166" t="s">
        <v>299</v>
      </c>
    </row>
    <row r="167" spans="1:15" x14ac:dyDescent="0.25">
      <c r="A167" t="s">
        <v>29</v>
      </c>
      <c r="B167" t="s">
        <v>296</v>
      </c>
      <c r="C167" t="s">
        <v>665</v>
      </c>
      <c r="D167" t="s">
        <v>11</v>
      </c>
      <c r="M167">
        <v>10</v>
      </c>
      <c r="O167" t="s">
        <v>300</v>
      </c>
    </row>
    <row r="168" spans="1:15" x14ac:dyDescent="0.25">
      <c r="A168" t="s">
        <v>29</v>
      </c>
      <c r="B168" t="s">
        <v>296</v>
      </c>
      <c r="C168" t="s">
        <v>666</v>
      </c>
      <c r="D168" t="s">
        <v>11</v>
      </c>
      <c r="M168">
        <v>10</v>
      </c>
      <c r="O168" t="s">
        <v>301</v>
      </c>
    </row>
    <row r="169" spans="1:15" x14ac:dyDescent="0.25">
      <c r="A169" t="s">
        <v>29</v>
      </c>
      <c r="B169" t="s">
        <v>296</v>
      </c>
      <c r="C169" t="s">
        <v>667</v>
      </c>
      <c r="D169" t="s">
        <v>11</v>
      </c>
      <c r="M169">
        <v>10</v>
      </c>
      <c r="O169" t="s">
        <v>302</v>
      </c>
    </row>
    <row r="170" spans="1:15" x14ac:dyDescent="0.25">
      <c r="A170" t="s">
        <v>29</v>
      </c>
      <c r="B170" t="s">
        <v>296</v>
      </c>
      <c r="C170" t="s">
        <v>668</v>
      </c>
      <c r="D170" t="s">
        <v>11</v>
      </c>
      <c r="M170">
        <v>10</v>
      </c>
      <c r="O170" t="s">
        <v>303</v>
      </c>
    </row>
    <row r="171" spans="1:15" x14ac:dyDescent="0.25">
      <c r="A171" t="s">
        <v>29</v>
      </c>
      <c r="B171" t="s">
        <v>296</v>
      </c>
      <c r="C171" t="s">
        <v>669</v>
      </c>
      <c r="D171" t="s">
        <v>11</v>
      </c>
      <c r="M171">
        <v>10</v>
      </c>
      <c r="O171" t="s">
        <v>304</v>
      </c>
    </row>
    <row r="172" spans="1:15" x14ac:dyDescent="0.25">
      <c r="A172" t="s">
        <v>29</v>
      </c>
      <c r="B172" t="s">
        <v>296</v>
      </c>
      <c r="C172" t="s">
        <v>670</v>
      </c>
      <c r="D172" t="s">
        <v>11</v>
      </c>
      <c r="M172">
        <v>10</v>
      </c>
      <c r="O172" t="s">
        <v>305</v>
      </c>
    </row>
    <row r="173" spans="1:15" x14ac:dyDescent="0.25">
      <c r="A173" t="s">
        <v>29</v>
      </c>
      <c r="B173" t="s">
        <v>296</v>
      </c>
      <c r="C173" t="s">
        <v>671</v>
      </c>
      <c r="D173" t="s">
        <v>11</v>
      </c>
      <c r="M173">
        <v>10</v>
      </c>
      <c r="O173" t="s">
        <v>306</v>
      </c>
    </row>
    <row r="174" spans="1:15" x14ac:dyDescent="0.25">
      <c r="A174" t="s">
        <v>29</v>
      </c>
      <c r="B174" t="s">
        <v>296</v>
      </c>
      <c r="C174" t="s">
        <v>672</v>
      </c>
      <c r="D174" t="s">
        <v>11</v>
      </c>
      <c r="M174">
        <v>10</v>
      </c>
      <c r="O174" t="s">
        <v>307</v>
      </c>
    </row>
    <row r="175" spans="1:15" x14ac:dyDescent="0.25">
      <c r="A175" t="s">
        <v>29</v>
      </c>
      <c r="B175" t="s">
        <v>296</v>
      </c>
      <c r="C175" t="s">
        <v>673</v>
      </c>
      <c r="D175" t="s">
        <v>11</v>
      </c>
      <c r="M175">
        <v>10</v>
      </c>
      <c r="O175" t="s">
        <v>308</v>
      </c>
    </row>
    <row r="176" spans="1:15" x14ac:dyDescent="0.25">
      <c r="A176" t="s">
        <v>29</v>
      </c>
      <c r="B176" t="s">
        <v>296</v>
      </c>
      <c r="C176" t="s">
        <v>674</v>
      </c>
      <c r="D176" t="s">
        <v>11</v>
      </c>
      <c r="M176">
        <v>10</v>
      </c>
      <c r="O176" t="s">
        <v>309</v>
      </c>
    </row>
    <row r="177" spans="1:15" x14ac:dyDescent="0.25">
      <c r="A177" t="s">
        <v>29</v>
      </c>
      <c r="B177" t="s">
        <v>296</v>
      </c>
      <c r="C177" t="s">
        <v>679</v>
      </c>
      <c r="D177" t="s">
        <v>11</v>
      </c>
      <c r="M177">
        <v>10</v>
      </c>
      <c r="O177" t="s">
        <v>310</v>
      </c>
    </row>
    <row r="178" spans="1:15" x14ac:dyDescent="0.25">
      <c r="A178" t="s">
        <v>29</v>
      </c>
      <c r="B178" t="s">
        <v>296</v>
      </c>
      <c r="C178" t="s">
        <v>680</v>
      </c>
      <c r="D178" t="s">
        <v>11</v>
      </c>
      <c r="M178">
        <v>10</v>
      </c>
      <c r="O178" t="s">
        <v>311</v>
      </c>
    </row>
    <row r="179" spans="1:15" x14ac:dyDescent="0.25">
      <c r="A179" t="s">
        <v>29</v>
      </c>
      <c r="B179" t="s">
        <v>296</v>
      </c>
      <c r="C179" t="s">
        <v>681</v>
      </c>
      <c r="D179" t="s">
        <v>11</v>
      </c>
      <c r="M179">
        <v>10</v>
      </c>
      <c r="O179" t="s">
        <v>312</v>
      </c>
    </row>
    <row r="180" spans="1:15" x14ac:dyDescent="0.25">
      <c r="A180" t="s">
        <v>29</v>
      </c>
      <c r="B180" t="s">
        <v>296</v>
      </c>
      <c r="C180" t="s">
        <v>682</v>
      </c>
      <c r="D180" t="s">
        <v>11</v>
      </c>
      <c r="M180">
        <v>10</v>
      </c>
      <c r="O180" t="s">
        <v>313</v>
      </c>
    </row>
    <row r="181" spans="1:15" x14ac:dyDescent="0.25">
      <c r="A181" t="s">
        <v>29</v>
      </c>
      <c r="B181" t="s">
        <v>296</v>
      </c>
      <c r="C181" t="s">
        <v>683</v>
      </c>
      <c r="D181" t="s">
        <v>11</v>
      </c>
      <c r="M181">
        <v>10</v>
      </c>
      <c r="O181" t="s">
        <v>314</v>
      </c>
    </row>
    <row r="182" spans="1:15" x14ac:dyDescent="0.25">
      <c r="A182" t="s">
        <v>29</v>
      </c>
      <c r="B182" t="s">
        <v>296</v>
      </c>
      <c r="C182" t="s">
        <v>684</v>
      </c>
      <c r="D182" t="s">
        <v>11</v>
      </c>
      <c r="M182">
        <v>10</v>
      </c>
      <c r="O182" t="s">
        <v>315</v>
      </c>
    </row>
    <row r="183" spans="1:15" x14ac:dyDescent="0.25">
      <c r="A183" t="s">
        <v>29</v>
      </c>
      <c r="B183" t="s">
        <v>316</v>
      </c>
      <c r="C183" t="s">
        <v>662</v>
      </c>
      <c r="D183" t="s">
        <v>11</v>
      </c>
      <c r="M183">
        <v>10</v>
      </c>
      <c r="O183" t="s">
        <v>317</v>
      </c>
    </row>
    <row r="184" spans="1:15" x14ac:dyDescent="0.25">
      <c r="A184" t="s">
        <v>29</v>
      </c>
      <c r="B184" t="s">
        <v>316</v>
      </c>
      <c r="C184" t="s">
        <v>663</v>
      </c>
      <c r="D184" t="s">
        <v>11</v>
      </c>
      <c r="M184">
        <v>10</v>
      </c>
      <c r="O184" t="s">
        <v>318</v>
      </c>
    </row>
    <row r="185" spans="1:15" x14ac:dyDescent="0.25">
      <c r="A185" t="s">
        <v>29</v>
      </c>
      <c r="B185" t="s">
        <v>316</v>
      </c>
      <c r="C185" t="s">
        <v>664</v>
      </c>
      <c r="D185" t="s">
        <v>11</v>
      </c>
      <c r="M185">
        <v>10</v>
      </c>
      <c r="O185" t="s">
        <v>319</v>
      </c>
    </row>
    <row r="186" spans="1:15" x14ac:dyDescent="0.25">
      <c r="A186" t="s">
        <v>29</v>
      </c>
      <c r="B186" t="s">
        <v>316</v>
      </c>
      <c r="C186" t="s">
        <v>665</v>
      </c>
      <c r="D186" t="s">
        <v>11</v>
      </c>
      <c r="M186">
        <v>10</v>
      </c>
      <c r="O186" t="s">
        <v>320</v>
      </c>
    </row>
    <row r="187" spans="1:15" x14ac:dyDescent="0.25">
      <c r="A187" t="s">
        <v>29</v>
      </c>
      <c r="B187" t="s">
        <v>316</v>
      </c>
      <c r="C187" t="s">
        <v>666</v>
      </c>
      <c r="D187" t="s">
        <v>11</v>
      </c>
      <c r="M187">
        <v>10</v>
      </c>
      <c r="O187" t="s">
        <v>321</v>
      </c>
    </row>
    <row r="188" spans="1:15" x14ac:dyDescent="0.25">
      <c r="A188" t="s">
        <v>29</v>
      </c>
      <c r="B188" t="s">
        <v>316</v>
      </c>
      <c r="C188" t="s">
        <v>667</v>
      </c>
      <c r="D188" t="s">
        <v>11</v>
      </c>
      <c r="M188">
        <v>10</v>
      </c>
      <c r="O188" t="s">
        <v>322</v>
      </c>
    </row>
    <row r="189" spans="1:15" x14ac:dyDescent="0.25">
      <c r="A189" t="s">
        <v>29</v>
      </c>
      <c r="B189" t="s">
        <v>316</v>
      </c>
      <c r="C189" t="s">
        <v>668</v>
      </c>
      <c r="D189" t="s">
        <v>11</v>
      </c>
      <c r="M189">
        <v>10</v>
      </c>
      <c r="O189" t="s">
        <v>323</v>
      </c>
    </row>
    <row r="190" spans="1:15" x14ac:dyDescent="0.25">
      <c r="A190" t="s">
        <v>29</v>
      </c>
      <c r="B190" t="s">
        <v>316</v>
      </c>
      <c r="C190" t="s">
        <v>669</v>
      </c>
      <c r="D190" t="s">
        <v>11</v>
      </c>
      <c r="M190">
        <v>10</v>
      </c>
      <c r="O190" t="s">
        <v>324</v>
      </c>
    </row>
    <row r="191" spans="1:15" x14ac:dyDescent="0.25">
      <c r="A191" t="s">
        <v>29</v>
      </c>
      <c r="B191" t="s">
        <v>316</v>
      </c>
      <c r="C191" t="s">
        <v>670</v>
      </c>
      <c r="D191" t="s">
        <v>11</v>
      </c>
      <c r="M191">
        <v>10</v>
      </c>
      <c r="O191" t="s">
        <v>325</v>
      </c>
    </row>
    <row r="192" spans="1:15" x14ac:dyDescent="0.25">
      <c r="A192" t="s">
        <v>29</v>
      </c>
      <c r="B192" t="s">
        <v>316</v>
      </c>
      <c r="C192" t="s">
        <v>671</v>
      </c>
      <c r="D192" t="s">
        <v>11</v>
      </c>
      <c r="M192">
        <v>10</v>
      </c>
      <c r="O192" t="s">
        <v>326</v>
      </c>
    </row>
    <row r="193" spans="1:15" x14ac:dyDescent="0.25">
      <c r="A193" t="s">
        <v>29</v>
      </c>
      <c r="B193" t="s">
        <v>316</v>
      </c>
      <c r="C193" t="s">
        <v>672</v>
      </c>
      <c r="D193" t="s">
        <v>11</v>
      </c>
      <c r="M193">
        <v>10</v>
      </c>
      <c r="O193" t="s">
        <v>327</v>
      </c>
    </row>
    <row r="194" spans="1:15" x14ac:dyDescent="0.25">
      <c r="A194" t="s">
        <v>29</v>
      </c>
      <c r="B194" t="s">
        <v>316</v>
      </c>
      <c r="C194" t="s">
        <v>673</v>
      </c>
      <c r="D194" t="s">
        <v>11</v>
      </c>
      <c r="M194">
        <v>10</v>
      </c>
      <c r="O194" t="s">
        <v>328</v>
      </c>
    </row>
    <row r="195" spans="1:15" x14ac:dyDescent="0.25">
      <c r="A195" t="s">
        <v>29</v>
      </c>
      <c r="B195" t="s">
        <v>316</v>
      </c>
      <c r="C195" t="s">
        <v>674</v>
      </c>
      <c r="D195" t="s">
        <v>11</v>
      </c>
      <c r="M195">
        <v>10</v>
      </c>
      <c r="O195" t="s">
        <v>329</v>
      </c>
    </row>
    <row r="196" spans="1:15" x14ac:dyDescent="0.25">
      <c r="A196" t="s">
        <v>29</v>
      </c>
      <c r="B196" t="s">
        <v>316</v>
      </c>
      <c r="C196" t="s">
        <v>679</v>
      </c>
      <c r="D196" t="s">
        <v>11</v>
      </c>
      <c r="M196">
        <v>10</v>
      </c>
      <c r="O196" t="s">
        <v>330</v>
      </c>
    </row>
    <row r="197" spans="1:15" x14ac:dyDescent="0.25">
      <c r="A197" t="s">
        <v>29</v>
      </c>
      <c r="B197" t="s">
        <v>316</v>
      </c>
      <c r="C197" t="s">
        <v>680</v>
      </c>
      <c r="D197" t="s">
        <v>11</v>
      </c>
      <c r="M197">
        <v>10</v>
      </c>
      <c r="O197" t="s">
        <v>331</v>
      </c>
    </row>
    <row r="198" spans="1:15" x14ac:dyDescent="0.25">
      <c r="A198" t="s">
        <v>29</v>
      </c>
      <c r="B198" t="s">
        <v>316</v>
      </c>
      <c r="C198" t="s">
        <v>681</v>
      </c>
      <c r="D198" t="s">
        <v>11</v>
      </c>
      <c r="M198">
        <v>10</v>
      </c>
      <c r="O198" t="s">
        <v>332</v>
      </c>
    </row>
    <row r="199" spans="1:15" x14ac:dyDescent="0.25">
      <c r="A199" t="s">
        <v>29</v>
      </c>
      <c r="B199" t="s">
        <v>316</v>
      </c>
      <c r="C199" t="s">
        <v>682</v>
      </c>
      <c r="D199" t="s">
        <v>11</v>
      </c>
      <c r="M199">
        <v>10</v>
      </c>
      <c r="O199" t="s">
        <v>333</v>
      </c>
    </row>
    <row r="200" spans="1:15" x14ac:dyDescent="0.25">
      <c r="A200" t="s">
        <v>29</v>
      </c>
      <c r="B200" t="s">
        <v>316</v>
      </c>
      <c r="C200" t="s">
        <v>683</v>
      </c>
      <c r="D200" t="s">
        <v>11</v>
      </c>
      <c r="M200">
        <v>10</v>
      </c>
      <c r="O200" t="s">
        <v>334</v>
      </c>
    </row>
    <row r="201" spans="1:15" x14ac:dyDescent="0.25">
      <c r="A201" t="s">
        <v>29</v>
      </c>
      <c r="B201" t="s">
        <v>316</v>
      </c>
      <c r="C201" t="s">
        <v>684</v>
      </c>
      <c r="D201" t="s">
        <v>11</v>
      </c>
      <c r="M201">
        <v>10</v>
      </c>
      <c r="O201" t="s">
        <v>335</v>
      </c>
    </row>
    <row r="202" spans="1:15" x14ac:dyDescent="0.25">
      <c r="A202" t="s">
        <v>31</v>
      </c>
      <c r="B202" t="s">
        <v>296</v>
      </c>
      <c r="C202" t="s">
        <v>662</v>
      </c>
      <c r="D202" t="s">
        <v>12</v>
      </c>
      <c r="M202">
        <v>10</v>
      </c>
      <c r="O202" t="s">
        <v>297</v>
      </c>
    </row>
    <row r="203" spans="1:15" x14ac:dyDescent="0.25">
      <c r="A203" t="s">
        <v>31</v>
      </c>
      <c r="B203" t="s">
        <v>296</v>
      </c>
      <c r="C203" t="s">
        <v>663</v>
      </c>
      <c r="D203" t="s">
        <v>12</v>
      </c>
      <c r="M203">
        <v>10</v>
      </c>
      <c r="O203" t="s">
        <v>298</v>
      </c>
    </row>
    <row r="204" spans="1:15" x14ac:dyDescent="0.25">
      <c r="A204" t="s">
        <v>31</v>
      </c>
      <c r="B204" t="s">
        <v>296</v>
      </c>
      <c r="C204" t="s">
        <v>664</v>
      </c>
      <c r="D204" t="s">
        <v>12</v>
      </c>
      <c r="M204">
        <v>10</v>
      </c>
      <c r="O204" t="s">
        <v>299</v>
      </c>
    </row>
    <row r="205" spans="1:15" x14ac:dyDescent="0.25">
      <c r="A205" t="s">
        <v>31</v>
      </c>
      <c r="B205" t="s">
        <v>296</v>
      </c>
      <c r="C205" t="s">
        <v>665</v>
      </c>
      <c r="D205" t="s">
        <v>12</v>
      </c>
      <c r="M205">
        <v>10</v>
      </c>
      <c r="O205" t="s">
        <v>300</v>
      </c>
    </row>
    <row r="206" spans="1:15" x14ac:dyDescent="0.25">
      <c r="A206" t="s">
        <v>31</v>
      </c>
      <c r="B206" t="s">
        <v>296</v>
      </c>
      <c r="C206" t="s">
        <v>666</v>
      </c>
      <c r="D206" t="s">
        <v>12</v>
      </c>
      <c r="M206">
        <v>10</v>
      </c>
      <c r="O206" t="s">
        <v>301</v>
      </c>
    </row>
    <row r="207" spans="1:15" x14ac:dyDescent="0.25">
      <c r="A207" t="s">
        <v>31</v>
      </c>
      <c r="B207" t="s">
        <v>296</v>
      </c>
      <c r="C207" t="s">
        <v>667</v>
      </c>
      <c r="D207" t="s">
        <v>12</v>
      </c>
      <c r="M207">
        <v>10</v>
      </c>
      <c r="O207" t="s">
        <v>302</v>
      </c>
    </row>
    <row r="208" spans="1:15" x14ac:dyDescent="0.25">
      <c r="A208" t="s">
        <v>31</v>
      </c>
      <c r="B208" t="s">
        <v>296</v>
      </c>
      <c r="C208" t="s">
        <v>668</v>
      </c>
      <c r="D208" t="s">
        <v>12</v>
      </c>
      <c r="M208">
        <v>10</v>
      </c>
      <c r="O208" t="s">
        <v>303</v>
      </c>
    </row>
    <row r="209" spans="1:15" x14ac:dyDescent="0.25">
      <c r="A209" t="s">
        <v>31</v>
      </c>
      <c r="B209" t="s">
        <v>296</v>
      </c>
      <c r="C209" t="s">
        <v>669</v>
      </c>
      <c r="D209" t="s">
        <v>12</v>
      </c>
      <c r="M209">
        <v>10</v>
      </c>
      <c r="O209" t="s">
        <v>304</v>
      </c>
    </row>
    <row r="210" spans="1:15" x14ac:dyDescent="0.25">
      <c r="A210" t="s">
        <v>31</v>
      </c>
      <c r="B210" t="s">
        <v>296</v>
      </c>
      <c r="C210" t="s">
        <v>670</v>
      </c>
      <c r="D210" t="s">
        <v>12</v>
      </c>
      <c r="M210">
        <v>10</v>
      </c>
      <c r="O210" t="s">
        <v>305</v>
      </c>
    </row>
    <row r="211" spans="1:15" x14ac:dyDescent="0.25">
      <c r="A211" t="s">
        <v>31</v>
      </c>
      <c r="B211" t="s">
        <v>296</v>
      </c>
      <c r="C211" t="s">
        <v>671</v>
      </c>
      <c r="D211" t="s">
        <v>12</v>
      </c>
      <c r="M211">
        <v>10</v>
      </c>
      <c r="O211" t="s">
        <v>306</v>
      </c>
    </row>
    <row r="212" spans="1:15" x14ac:dyDescent="0.25">
      <c r="A212" t="s">
        <v>31</v>
      </c>
      <c r="B212" t="s">
        <v>296</v>
      </c>
      <c r="C212" t="s">
        <v>672</v>
      </c>
      <c r="D212" t="s">
        <v>12</v>
      </c>
      <c r="M212">
        <v>10</v>
      </c>
      <c r="O212" t="s">
        <v>307</v>
      </c>
    </row>
    <row r="213" spans="1:15" x14ac:dyDescent="0.25">
      <c r="A213" t="s">
        <v>31</v>
      </c>
      <c r="B213" t="s">
        <v>296</v>
      </c>
      <c r="C213" t="s">
        <v>673</v>
      </c>
      <c r="D213" t="s">
        <v>12</v>
      </c>
      <c r="M213">
        <v>10</v>
      </c>
      <c r="O213" t="s">
        <v>308</v>
      </c>
    </row>
    <row r="214" spans="1:15" x14ac:dyDescent="0.25">
      <c r="A214" t="s">
        <v>31</v>
      </c>
      <c r="B214" t="s">
        <v>296</v>
      </c>
      <c r="C214" t="s">
        <v>674</v>
      </c>
      <c r="D214" t="s">
        <v>12</v>
      </c>
      <c r="M214">
        <v>10</v>
      </c>
      <c r="O214" t="s">
        <v>309</v>
      </c>
    </row>
    <row r="215" spans="1:15" x14ac:dyDescent="0.25">
      <c r="A215" t="s">
        <v>31</v>
      </c>
      <c r="B215" t="s">
        <v>296</v>
      </c>
      <c r="C215" t="s">
        <v>679</v>
      </c>
      <c r="D215" t="s">
        <v>12</v>
      </c>
      <c r="M215">
        <v>10</v>
      </c>
      <c r="O215" t="s">
        <v>310</v>
      </c>
    </row>
    <row r="216" spans="1:15" x14ac:dyDescent="0.25">
      <c r="A216" t="s">
        <v>31</v>
      </c>
      <c r="B216" t="s">
        <v>296</v>
      </c>
      <c r="C216" t="s">
        <v>680</v>
      </c>
      <c r="D216" t="s">
        <v>12</v>
      </c>
      <c r="M216">
        <v>10</v>
      </c>
      <c r="O216" t="s">
        <v>311</v>
      </c>
    </row>
    <row r="217" spans="1:15" x14ac:dyDescent="0.25">
      <c r="A217" t="s">
        <v>31</v>
      </c>
      <c r="B217" t="s">
        <v>296</v>
      </c>
      <c r="C217" t="s">
        <v>681</v>
      </c>
      <c r="D217" t="s">
        <v>12</v>
      </c>
      <c r="M217">
        <v>10</v>
      </c>
      <c r="O217" t="s">
        <v>312</v>
      </c>
    </row>
    <row r="218" spans="1:15" x14ac:dyDescent="0.25">
      <c r="A218" t="s">
        <v>31</v>
      </c>
      <c r="B218" t="s">
        <v>296</v>
      </c>
      <c r="C218" t="s">
        <v>682</v>
      </c>
      <c r="D218" t="s">
        <v>12</v>
      </c>
      <c r="M218">
        <v>10</v>
      </c>
      <c r="O218" t="s">
        <v>313</v>
      </c>
    </row>
    <row r="219" spans="1:15" x14ac:dyDescent="0.25">
      <c r="A219" t="s">
        <v>31</v>
      </c>
      <c r="B219" t="s">
        <v>296</v>
      </c>
      <c r="C219" t="s">
        <v>683</v>
      </c>
      <c r="D219" t="s">
        <v>12</v>
      </c>
      <c r="M219">
        <v>10</v>
      </c>
      <c r="O219" t="s">
        <v>314</v>
      </c>
    </row>
    <row r="220" spans="1:15" x14ac:dyDescent="0.25">
      <c r="A220" t="s">
        <v>31</v>
      </c>
      <c r="B220" t="s">
        <v>296</v>
      </c>
      <c r="C220" t="s">
        <v>684</v>
      </c>
      <c r="D220" t="s">
        <v>12</v>
      </c>
      <c r="M220">
        <v>10</v>
      </c>
      <c r="O220" t="s">
        <v>315</v>
      </c>
    </row>
    <row r="221" spans="1:15" x14ac:dyDescent="0.25">
      <c r="A221" t="s">
        <v>31</v>
      </c>
      <c r="B221" t="s">
        <v>316</v>
      </c>
      <c r="C221" t="s">
        <v>662</v>
      </c>
      <c r="D221" t="s">
        <v>12</v>
      </c>
      <c r="M221">
        <v>10</v>
      </c>
      <c r="O221" t="s">
        <v>317</v>
      </c>
    </row>
    <row r="222" spans="1:15" x14ac:dyDescent="0.25">
      <c r="A222" t="s">
        <v>31</v>
      </c>
      <c r="B222" t="s">
        <v>316</v>
      </c>
      <c r="C222" t="s">
        <v>663</v>
      </c>
      <c r="D222" t="s">
        <v>12</v>
      </c>
      <c r="M222">
        <v>10</v>
      </c>
      <c r="O222" t="s">
        <v>318</v>
      </c>
    </row>
    <row r="223" spans="1:15" x14ac:dyDescent="0.25">
      <c r="A223" t="s">
        <v>31</v>
      </c>
      <c r="B223" t="s">
        <v>316</v>
      </c>
      <c r="C223" t="s">
        <v>664</v>
      </c>
      <c r="D223" t="s">
        <v>12</v>
      </c>
      <c r="M223">
        <v>10</v>
      </c>
      <c r="O223" t="s">
        <v>319</v>
      </c>
    </row>
    <row r="224" spans="1:15" x14ac:dyDescent="0.25">
      <c r="A224" t="s">
        <v>31</v>
      </c>
      <c r="B224" t="s">
        <v>316</v>
      </c>
      <c r="C224" t="s">
        <v>665</v>
      </c>
      <c r="D224" t="s">
        <v>12</v>
      </c>
      <c r="M224">
        <v>10</v>
      </c>
      <c r="O224" t="s">
        <v>320</v>
      </c>
    </row>
    <row r="225" spans="1:17" x14ac:dyDescent="0.25">
      <c r="A225" t="s">
        <v>31</v>
      </c>
      <c r="B225" t="s">
        <v>316</v>
      </c>
      <c r="C225" t="s">
        <v>666</v>
      </c>
      <c r="D225" t="s">
        <v>12</v>
      </c>
      <c r="M225">
        <v>10</v>
      </c>
      <c r="O225" t="s">
        <v>321</v>
      </c>
    </row>
    <row r="226" spans="1:17" x14ac:dyDescent="0.25">
      <c r="A226" t="s">
        <v>31</v>
      </c>
      <c r="B226" t="s">
        <v>316</v>
      </c>
      <c r="C226" t="s">
        <v>667</v>
      </c>
      <c r="D226" t="s">
        <v>12</v>
      </c>
      <c r="M226">
        <v>10</v>
      </c>
      <c r="O226" t="s">
        <v>322</v>
      </c>
    </row>
    <row r="227" spans="1:17" x14ac:dyDescent="0.25">
      <c r="A227" t="s">
        <v>31</v>
      </c>
      <c r="B227" t="s">
        <v>316</v>
      </c>
      <c r="C227" t="s">
        <v>668</v>
      </c>
      <c r="D227" t="s">
        <v>12</v>
      </c>
      <c r="M227">
        <v>10</v>
      </c>
      <c r="O227" t="s">
        <v>323</v>
      </c>
    </row>
    <row r="228" spans="1:17" x14ac:dyDescent="0.25">
      <c r="A228" t="s">
        <v>31</v>
      </c>
      <c r="B228" t="s">
        <v>316</v>
      </c>
      <c r="C228" t="s">
        <v>669</v>
      </c>
      <c r="D228" t="s">
        <v>12</v>
      </c>
      <c r="M228">
        <v>10</v>
      </c>
      <c r="O228" t="s">
        <v>324</v>
      </c>
    </row>
    <row r="229" spans="1:17" x14ac:dyDescent="0.25">
      <c r="A229" t="s">
        <v>31</v>
      </c>
      <c r="B229" t="s">
        <v>316</v>
      </c>
      <c r="C229" t="s">
        <v>670</v>
      </c>
      <c r="D229" t="s">
        <v>12</v>
      </c>
      <c r="M229">
        <v>10</v>
      </c>
      <c r="O229" t="s">
        <v>325</v>
      </c>
    </row>
    <row r="230" spans="1:17" x14ac:dyDescent="0.25">
      <c r="A230" t="s">
        <v>31</v>
      </c>
      <c r="B230" t="s">
        <v>316</v>
      </c>
      <c r="C230" t="s">
        <v>671</v>
      </c>
      <c r="D230" t="s">
        <v>12</v>
      </c>
      <c r="M230">
        <v>10</v>
      </c>
      <c r="O230" t="s">
        <v>326</v>
      </c>
    </row>
    <row r="231" spans="1:17" x14ac:dyDescent="0.25">
      <c r="A231" t="s">
        <v>31</v>
      </c>
      <c r="B231" t="s">
        <v>316</v>
      </c>
      <c r="C231" t="s">
        <v>672</v>
      </c>
      <c r="D231" t="s">
        <v>12</v>
      </c>
      <c r="M231">
        <v>10</v>
      </c>
      <c r="O231" t="s">
        <v>327</v>
      </c>
    </row>
    <row r="232" spans="1:17" x14ac:dyDescent="0.25">
      <c r="A232" t="s">
        <v>31</v>
      </c>
      <c r="B232" t="s">
        <v>316</v>
      </c>
      <c r="C232" t="s">
        <v>673</v>
      </c>
      <c r="D232" t="s">
        <v>12</v>
      </c>
      <c r="M232">
        <v>10</v>
      </c>
      <c r="O232" t="s">
        <v>328</v>
      </c>
    </row>
    <row r="233" spans="1:17" x14ac:dyDescent="0.25">
      <c r="A233" t="s">
        <v>31</v>
      </c>
      <c r="B233" t="s">
        <v>316</v>
      </c>
      <c r="C233" t="s">
        <v>674</v>
      </c>
      <c r="D233" t="s">
        <v>12</v>
      </c>
      <c r="M233">
        <v>10</v>
      </c>
      <c r="O233" t="s">
        <v>329</v>
      </c>
    </row>
    <row r="234" spans="1:17" x14ac:dyDescent="0.25">
      <c r="A234" t="s">
        <v>31</v>
      </c>
      <c r="B234" t="s">
        <v>316</v>
      </c>
      <c r="C234" t="s">
        <v>679</v>
      </c>
      <c r="D234" t="s">
        <v>12</v>
      </c>
      <c r="M234">
        <v>10</v>
      </c>
      <c r="O234" t="s">
        <v>330</v>
      </c>
    </row>
    <row r="235" spans="1:17" x14ac:dyDescent="0.25">
      <c r="A235" t="s">
        <v>31</v>
      </c>
      <c r="B235" t="s">
        <v>316</v>
      </c>
      <c r="C235" t="s">
        <v>680</v>
      </c>
      <c r="D235" t="s">
        <v>12</v>
      </c>
      <c r="M235">
        <v>10</v>
      </c>
      <c r="O235" t="s">
        <v>331</v>
      </c>
    </row>
    <row r="236" spans="1:17" x14ac:dyDescent="0.25">
      <c r="A236" t="s">
        <v>31</v>
      </c>
      <c r="B236" t="s">
        <v>316</v>
      </c>
      <c r="C236" t="s">
        <v>681</v>
      </c>
      <c r="D236" t="s">
        <v>12</v>
      </c>
      <c r="M236">
        <v>10</v>
      </c>
      <c r="O236" t="s">
        <v>332</v>
      </c>
    </row>
    <row r="237" spans="1:17" x14ac:dyDescent="0.25">
      <c r="A237" t="s">
        <v>31</v>
      </c>
      <c r="B237" t="s">
        <v>316</v>
      </c>
      <c r="C237" t="s">
        <v>682</v>
      </c>
      <c r="D237" t="s">
        <v>12</v>
      </c>
      <c r="M237">
        <v>10</v>
      </c>
      <c r="O237" t="s">
        <v>333</v>
      </c>
    </row>
    <row r="238" spans="1:17" x14ac:dyDescent="0.25">
      <c r="A238" t="s">
        <v>31</v>
      </c>
      <c r="B238" t="s">
        <v>316</v>
      </c>
      <c r="C238" t="s">
        <v>683</v>
      </c>
      <c r="D238" t="s">
        <v>12</v>
      </c>
      <c r="M238">
        <v>10</v>
      </c>
      <c r="O238" t="s">
        <v>334</v>
      </c>
    </row>
    <row r="239" spans="1:17" x14ac:dyDescent="0.25">
      <c r="A239" t="s">
        <v>31</v>
      </c>
      <c r="B239" t="s">
        <v>316</v>
      </c>
      <c r="C239" t="s">
        <v>684</v>
      </c>
      <c r="D239" t="s">
        <v>12</v>
      </c>
      <c r="M239">
        <v>10</v>
      </c>
      <c r="O239" t="s">
        <v>335</v>
      </c>
    </row>
    <row r="240" spans="1:17" x14ac:dyDescent="0.25">
      <c r="A240" t="s">
        <v>97</v>
      </c>
      <c r="B240" t="s">
        <v>336</v>
      </c>
      <c r="C240" t="s">
        <v>773</v>
      </c>
      <c r="D240" t="s">
        <v>337</v>
      </c>
      <c r="E240" t="s">
        <v>338</v>
      </c>
      <c r="K240">
        <v>1</v>
      </c>
      <c r="O240" t="s">
        <v>339</v>
      </c>
      <c r="P240" t="s">
        <v>340</v>
      </c>
      <c r="Q240">
        <v>1</v>
      </c>
    </row>
    <row r="241" spans="1:17" x14ac:dyDescent="0.25">
      <c r="A241" t="s">
        <v>97</v>
      </c>
      <c r="B241" t="s">
        <v>336</v>
      </c>
      <c r="C241" t="s">
        <v>341</v>
      </c>
      <c r="D241" t="s">
        <v>342</v>
      </c>
      <c r="E241" t="s">
        <v>338</v>
      </c>
      <c r="K241">
        <v>1</v>
      </c>
      <c r="O241" t="s">
        <v>343</v>
      </c>
      <c r="P241" t="s">
        <v>340</v>
      </c>
      <c r="Q241">
        <v>1</v>
      </c>
    </row>
    <row r="242" spans="1:17" x14ac:dyDescent="0.25">
      <c r="A242" t="s">
        <v>97</v>
      </c>
      <c r="B242" t="s">
        <v>336</v>
      </c>
      <c r="C242" t="s">
        <v>344</v>
      </c>
      <c r="D242" t="s">
        <v>345</v>
      </c>
      <c r="E242" t="s">
        <v>338</v>
      </c>
      <c r="K242">
        <v>1</v>
      </c>
      <c r="O242" t="s">
        <v>346</v>
      </c>
      <c r="P242" t="s">
        <v>340</v>
      </c>
      <c r="Q242">
        <v>1</v>
      </c>
    </row>
    <row r="243" spans="1:17" x14ac:dyDescent="0.25">
      <c r="A243" t="s">
        <v>97</v>
      </c>
      <c r="B243" t="s">
        <v>336</v>
      </c>
      <c r="C243" t="s">
        <v>347</v>
      </c>
      <c r="D243" t="s">
        <v>348</v>
      </c>
      <c r="E243" t="s">
        <v>338</v>
      </c>
      <c r="K243">
        <v>1</v>
      </c>
      <c r="O243" t="s">
        <v>349</v>
      </c>
      <c r="P243" t="s">
        <v>340</v>
      </c>
      <c r="Q243">
        <v>1</v>
      </c>
    </row>
    <row r="244" spans="1:17" x14ac:dyDescent="0.25">
      <c r="A244" t="s">
        <v>97</v>
      </c>
      <c r="B244" t="s">
        <v>336</v>
      </c>
      <c r="C244" t="s">
        <v>350</v>
      </c>
      <c r="D244" t="s">
        <v>351</v>
      </c>
      <c r="E244" t="s">
        <v>338</v>
      </c>
      <c r="K244">
        <v>1</v>
      </c>
      <c r="O244" t="s">
        <v>352</v>
      </c>
      <c r="P244" t="s">
        <v>340</v>
      </c>
      <c r="Q244">
        <v>1</v>
      </c>
    </row>
    <row r="245" spans="1:17" x14ac:dyDescent="0.25">
      <c r="A245" t="s">
        <v>97</v>
      </c>
      <c r="B245" t="s">
        <v>336</v>
      </c>
      <c r="C245" t="s">
        <v>353</v>
      </c>
      <c r="D245" t="s">
        <v>354</v>
      </c>
      <c r="E245" t="s">
        <v>338</v>
      </c>
      <c r="K245">
        <v>1</v>
      </c>
      <c r="O245" t="s">
        <v>355</v>
      </c>
      <c r="P245" t="s">
        <v>340</v>
      </c>
      <c r="Q245">
        <v>1</v>
      </c>
    </row>
    <row r="246" spans="1:17" x14ac:dyDescent="0.25">
      <c r="A246" t="s">
        <v>97</v>
      </c>
      <c r="B246" t="s">
        <v>336</v>
      </c>
      <c r="C246" t="s">
        <v>356</v>
      </c>
      <c r="D246" t="s">
        <v>357</v>
      </c>
      <c r="E246" t="s">
        <v>338</v>
      </c>
      <c r="K246">
        <v>1</v>
      </c>
      <c r="O246" t="s">
        <v>358</v>
      </c>
      <c r="P246" t="s">
        <v>340</v>
      </c>
      <c r="Q246">
        <v>1</v>
      </c>
    </row>
    <row r="247" spans="1:17" x14ac:dyDescent="0.25">
      <c r="A247" t="s">
        <v>97</v>
      </c>
      <c r="B247" t="s">
        <v>359</v>
      </c>
      <c r="C247" t="s">
        <v>360</v>
      </c>
      <c r="D247" t="s">
        <v>361</v>
      </c>
      <c r="E247" t="s">
        <v>338</v>
      </c>
      <c r="K247">
        <v>1</v>
      </c>
      <c r="O247" t="s">
        <v>362</v>
      </c>
      <c r="P247" t="s">
        <v>340</v>
      </c>
      <c r="Q247">
        <v>1</v>
      </c>
    </row>
    <row r="248" spans="1:17" x14ac:dyDescent="0.25">
      <c r="A248" t="s">
        <v>97</v>
      </c>
      <c r="B248" t="s">
        <v>336</v>
      </c>
      <c r="C248" t="s">
        <v>773</v>
      </c>
      <c r="D248" t="s">
        <v>337</v>
      </c>
      <c r="E248" t="s">
        <v>338</v>
      </c>
      <c r="K248">
        <v>1</v>
      </c>
      <c r="O248" t="s">
        <v>363</v>
      </c>
      <c r="P248" t="s">
        <v>364</v>
      </c>
      <c r="Q248">
        <v>1</v>
      </c>
    </row>
    <row r="249" spans="1:17" x14ac:dyDescent="0.25">
      <c r="A249" t="s">
        <v>97</v>
      </c>
      <c r="B249" t="s">
        <v>336</v>
      </c>
      <c r="C249" t="s">
        <v>341</v>
      </c>
      <c r="D249" t="s">
        <v>342</v>
      </c>
      <c r="E249" t="s">
        <v>338</v>
      </c>
      <c r="K249">
        <v>1</v>
      </c>
      <c r="O249" t="s">
        <v>365</v>
      </c>
      <c r="P249" t="s">
        <v>364</v>
      </c>
      <c r="Q249">
        <v>1</v>
      </c>
    </row>
    <row r="250" spans="1:17" x14ac:dyDescent="0.25">
      <c r="A250" t="s">
        <v>97</v>
      </c>
      <c r="B250" t="s">
        <v>336</v>
      </c>
      <c r="C250" t="s">
        <v>344</v>
      </c>
      <c r="D250" t="s">
        <v>345</v>
      </c>
      <c r="E250" t="s">
        <v>338</v>
      </c>
      <c r="K250">
        <v>1</v>
      </c>
      <c r="O250" t="s">
        <v>366</v>
      </c>
      <c r="P250" t="s">
        <v>364</v>
      </c>
      <c r="Q250">
        <v>1</v>
      </c>
    </row>
    <row r="251" spans="1:17" x14ac:dyDescent="0.25">
      <c r="A251" t="s">
        <v>97</v>
      </c>
      <c r="B251" t="s">
        <v>336</v>
      </c>
      <c r="C251" t="s">
        <v>347</v>
      </c>
      <c r="D251" t="s">
        <v>348</v>
      </c>
      <c r="E251" t="s">
        <v>338</v>
      </c>
      <c r="K251">
        <v>1</v>
      </c>
      <c r="O251" t="s">
        <v>367</v>
      </c>
      <c r="P251" t="s">
        <v>364</v>
      </c>
      <c r="Q251">
        <v>1</v>
      </c>
    </row>
    <row r="252" spans="1:17" x14ac:dyDescent="0.25">
      <c r="A252" t="s">
        <v>97</v>
      </c>
      <c r="B252" t="s">
        <v>336</v>
      </c>
      <c r="C252" t="s">
        <v>350</v>
      </c>
      <c r="D252" t="s">
        <v>351</v>
      </c>
      <c r="E252" t="s">
        <v>338</v>
      </c>
      <c r="K252">
        <v>1</v>
      </c>
      <c r="O252" t="s">
        <v>368</v>
      </c>
      <c r="P252" t="s">
        <v>364</v>
      </c>
      <c r="Q252">
        <v>1</v>
      </c>
    </row>
    <row r="253" spans="1:17" x14ac:dyDescent="0.25">
      <c r="A253" t="s">
        <v>97</v>
      </c>
      <c r="B253" t="s">
        <v>336</v>
      </c>
      <c r="C253" t="s">
        <v>353</v>
      </c>
      <c r="D253" t="s">
        <v>354</v>
      </c>
      <c r="E253" t="s">
        <v>338</v>
      </c>
      <c r="K253">
        <v>1</v>
      </c>
      <c r="O253" t="s">
        <v>369</v>
      </c>
      <c r="P253" t="s">
        <v>364</v>
      </c>
      <c r="Q253">
        <v>1</v>
      </c>
    </row>
    <row r="254" spans="1:17" x14ac:dyDescent="0.25">
      <c r="A254" t="s">
        <v>97</v>
      </c>
      <c r="B254" t="s">
        <v>336</v>
      </c>
      <c r="C254" t="s">
        <v>356</v>
      </c>
      <c r="D254" t="s">
        <v>357</v>
      </c>
      <c r="E254" t="s">
        <v>338</v>
      </c>
      <c r="K254">
        <v>1</v>
      </c>
      <c r="O254" t="s">
        <v>370</v>
      </c>
      <c r="P254" t="s">
        <v>364</v>
      </c>
      <c r="Q254">
        <v>1</v>
      </c>
    </row>
    <row r="255" spans="1:17" x14ac:dyDescent="0.25">
      <c r="A255" t="s">
        <v>97</v>
      </c>
      <c r="B255" t="s">
        <v>359</v>
      </c>
      <c r="C255" t="s">
        <v>360</v>
      </c>
      <c r="D255" t="s">
        <v>361</v>
      </c>
      <c r="E255" t="s">
        <v>338</v>
      </c>
      <c r="K255">
        <v>1</v>
      </c>
      <c r="O255" t="s">
        <v>371</v>
      </c>
      <c r="P255" t="s">
        <v>364</v>
      </c>
      <c r="Q255">
        <v>1</v>
      </c>
    </row>
    <row r="256" spans="1:17" x14ac:dyDescent="0.25">
      <c r="A256" t="s">
        <v>97</v>
      </c>
      <c r="B256" t="s">
        <v>372</v>
      </c>
      <c r="C256" t="s">
        <v>373</v>
      </c>
      <c r="D256" t="s">
        <v>374</v>
      </c>
      <c r="E256" t="s">
        <v>338</v>
      </c>
      <c r="K256">
        <v>1</v>
      </c>
      <c r="O256" t="s">
        <v>375</v>
      </c>
      <c r="P256" t="s">
        <v>364</v>
      </c>
      <c r="Q256">
        <v>1</v>
      </c>
    </row>
    <row r="257" spans="1:17" x14ac:dyDescent="0.25">
      <c r="A257" t="s">
        <v>97</v>
      </c>
      <c r="B257" t="s">
        <v>376</v>
      </c>
      <c r="C257" t="s">
        <v>377</v>
      </c>
      <c r="D257" t="s">
        <v>378</v>
      </c>
      <c r="E257" t="s">
        <v>338</v>
      </c>
      <c r="K257">
        <v>1</v>
      </c>
      <c r="O257" t="s">
        <v>379</v>
      </c>
      <c r="P257" t="s">
        <v>364</v>
      </c>
      <c r="Q257">
        <v>1</v>
      </c>
    </row>
    <row r="258" spans="1:17" x14ac:dyDescent="0.25">
      <c r="A258" t="s">
        <v>97</v>
      </c>
      <c r="B258" t="s">
        <v>380</v>
      </c>
      <c r="C258" t="s">
        <v>381</v>
      </c>
      <c r="D258" t="s">
        <v>382</v>
      </c>
      <c r="E258" t="s">
        <v>338</v>
      </c>
      <c r="K258">
        <v>1</v>
      </c>
      <c r="O258" t="s">
        <v>383</v>
      </c>
      <c r="P258" t="s">
        <v>364</v>
      </c>
      <c r="Q258">
        <v>1</v>
      </c>
    </row>
    <row r="259" spans="1:17" x14ac:dyDescent="0.25">
      <c r="A259" t="s">
        <v>97</v>
      </c>
      <c r="B259" t="s">
        <v>384</v>
      </c>
      <c r="C259" t="s">
        <v>385</v>
      </c>
      <c r="D259" t="s">
        <v>386</v>
      </c>
      <c r="E259" t="s">
        <v>338</v>
      </c>
      <c r="K259">
        <v>1</v>
      </c>
      <c r="O259" t="s">
        <v>387</v>
      </c>
      <c r="P259" t="s">
        <v>364</v>
      </c>
      <c r="Q259">
        <v>1</v>
      </c>
    </row>
    <row r="260" spans="1:17" x14ac:dyDescent="0.25">
      <c r="A260" t="s">
        <v>97</v>
      </c>
      <c r="B260" t="s">
        <v>336</v>
      </c>
      <c r="C260" t="s">
        <v>773</v>
      </c>
      <c r="D260" t="s">
        <v>337</v>
      </c>
      <c r="E260" t="s">
        <v>338</v>
      </c>
      <c r="F260" t="s">
        <v>388</v>
      </c>
      <c r="K260">
        <v>1</v>
      </c>
      <c r="O260" t="s">
        <v>363</v>
      </c>
      <c r="P260" t="s">
        <v>389</v>
      </c>
      <c r="Q260">
        <v>1</v>
      </c>
    </row>
    <row r="261" spans="1:17" x14ac:dyDescent="0.25">
      <c r="A261" t="s">
        <v>97</v>
      </c>
      <c r="B261" t="s">
        <v>336</v>
      </c>
      <c r="C261" t="s">
        <v>341</v>
      </c>
      <c r="D261" t="s">
        <v>342</v>
      </c>
      <c r="E261" t="s">
        <v>338</v>
      </c>
      <c r="F261" t="s">
        <v>388</v>
      </c>
      <c r="K261">
        <v>1</v>
      </c>
      <c r="O261" t="s">
        <v>365</v>
      </c>
      <c r="P261" t="s">
        <v>389</v>
      </c>
      <c r="Q261">
        <v>1</v>
      </c>
    </row>
    <row r="262" spans="1:17" x14ac:dyDescent="0.25">
      <c r="A262" t="s">
        <v>97</v>
      </c>
      <c r="B262" t="s">
        <v>336</v>
      </c>
      <c r="C262" t="s">
        <v>344</v>
      </c>
      <c r="D262" t="s">
        <v>345</v>
      </c>
      <c r="E262" t="s">
        <v>338</v>
      </c>
      <c r="F262" t="s">
        <v>388</v>
      </c>
      <c r="K262">
        <v>1</v>
      </c>
      <c r="O262" t="s">
        <v>366</v>
      </c>
      <c r="P262" t="s">
        <v>389</v>
      </c>
      <c r="Q262">
        <v>1</v>
      </c>
    </row>
    <row r="263" spans="1:17" x14ac:dyDescent="0.25">
      <c r="A263" t="s">
        <v>97</v>
      </c>
      <c r="B263" t="s">
        <v>336</v>
      </c>
      <c r="C263" t="s">
        <v>347</v>
      </c>
      <c r="D263" t="s">
        <v>348</v>
      </c>
      <c r="E263" t="s">
        <v>338</v>
      </c>
      <c r="F263" t="s">
        <v>388</v>
      </c>
      <c r="K263">
        <v>1</v>
      </c>
      <c r="O263" t="s">
        <v>367</v>
      </c>
      <c r="P263" t="s">
        <v>389</v>
      </c>
      <c r="Q263">
        <v>1</v>
      </c>
    </row>
    <row r="264" spans="1:17" x14ac:dyDescent="0.25">
      <c r="A264" t="s">
        <v>97</v>
      </c>
      <c r="B264" t="s">
        <v>336</v>
      </c>
      <c r="C264" t="s">
        <v>350</v>
      </c>
      <c r="D264" t="s">
        <v>351</v>
      </c>
      <c r="E264" t="s">
        <v>338</v>
      </c>
      <c r="F264" t="s">
        <v>388</v>
      </c>
      <c r="K264">
        <v>1</v>
      </c>
      <c r="O264" t="s">
        <v>368</v>
      </c>
      <c r="P264" t="s">
        <v>389</v>
      </c>
      <c r="Q264">
        <v>1</v>
      </c>
    </row>
    <row r="265" spans="1:17" x14ac:dyDescent="0.25">
      <c r="A265" t="s">
        <v>97</v>
      </c>
      <c r="B265" t="s">
        <v>336</v>
      </c>
      <c r="C265" t="s">
        <v>353</v>
      </c>
      <c r="D265" t="s">
        <v>354</v>
      </c>
      <c r="E265" t="s">
        <v>338</v>
      </c>
      <c r="F265" t="s">
        <v>388</v>
      </c>
      <c r="K265">
        <v>1</v>
      </c>
      <c r="O265" t="s">
        <v>369</v>
      </c>
      <c r="P265" t="s">
        <v>389</v>
      </c>
      <c r="Q265">
        <v>1</v>
      </c>
    </row>
    <row r="266" spans="1:17" x14ac:dyDescent="0.25">
      <c r="A266" t="s">
        <v>97</v>
      </c>
      <c r="B266" t="s">
        <v>336</v>
      </c>
      <c r="C266" t="s">
        <v>356</v>
      </c>
      <c r="D266" t="s">
        <v>357</v>
      </c>
      <c r="E266" t="s">
        <v>338</v>
      </c>
      <c r="F266" t="s">
        <v>388</v>
      </c>
      <c r="K266">
        <v>1</v>
      </c>
      <c r="O266" t="s">
        <v>370</v>
      </c>
      <c r="P266" t="s">
        <v>389</v>
      </c>
      <c r="Q266">
        <v>1</v>
      </c>
    </row>
    <row r="267" spans="1:17" x14ac:dyDescent="0.25">
      <c r="A267" t="s">
        <v>97</v>
      </c>
      <c r="B267" t="s">
        <v>359</v>
      </c>
      <c r="C267" t="s">
        <v>360</v>
      </c>
      <c r="D267" t="s">
        <v>361</v>
      </c>
      <c r="E267" t="s">
        <v>338</v>
      </c>
      <c r="F267" t="s">
        <v>388</v>
      </c>
      <c r="K267">
        <v>1</v>
      </c>
      <c r="O267" t="s">
        <v>371</v>
      </c>
      <c r="P267" t="s">
        <v>389</v>
      </c>
      <c r="Q267">
        <v>1</v>
      </c>
    </row>
    <row r="268" spans="1:17" x14ac:dyDescent="0.25">
      <c r="A268" t="s">
        <v>97</v>
      </c>
      <c r="B268" t="s">
        <v>372</v>
      </c>
      <c r="C268" t="s">
        <v>373</v>
      </c>
      <c r="D268" t="s">
        <v>374</v>
      </c>
      <c r="E268" t="s">
        <v>338</v>
      </c>
      <c r="F268" t="s">
        <v>388</v>
      </c>
      <c r="K268">
        <v>1</v>
      </c>
      <c r="O268" t="s">
        <v>375</v>
      </c>
      <c r="P268" t="s">
        <v>389</v>
      </c>
      <c r="Q268">
        <v>1</v>
      </c>
    </row>
    <row r="269" spans="1:17" x14ac:dyDescent="0.25">
      <c r="A269" t="s">
        <v>97</v>
      </c>
      <c r="B269" t="s">
        <v>376</v>
      </c>
      <c r="C269" t="s">
        <v>377</v>
      </c>
      <c r="D269" t="s">
        <v>378</v>
      </c>
      <c r="E269" t="s">
        <v>338</v>
      </c>
      <c r="F269" t="s">
        <v>388</v>
      </c>
      <c r="K269">
        <v>1</v>
      </c>
      <c r="O269" t="s">
        <v>379</v>
      </c>
      <c r="P269" t="s">
        <v>389</v>
      </c>
      <c r="Q269">
        <v>1</v>
      </c>
    </row>
    <row r="270" spans="1:17" x14ac:dyDescent="0.25">
      <c r="A270" t="s">
        <v>97</v>
      </c>
      <c r="B270" t="s">
        <v>380</v>
      </c>
      <c r="C270" t="s">
        <v>381</v>
      </c>
      <c r="D270" t="s">
        <v>382</v>
      </c>
      <c r="E270" t="s">
        <v>338</v>
      </c>
      <c r="F270" t="s">
        <v>388</v>
      </c>
      <c r="K270">
        <v>1</v>
      </c>
      <c r="O270" t="s">
        <v>383</v>
      </c>
      <c r="P270" t="s">
        <v>389</v>
      </c>
      <c r="Q270">
        <v>1</v>
      </c>
    </row>
    <row r="271" spans="1:17" x14ac:dyDescent="0.25">
      <c r="A271" t="s">
        <v>97</v>
      </c>
      <c r="B271" t="s">
        <v>384</v>
      </c>
      <c r="C271" t="s">
        <v>385</v>
      </c>
      <c r="D271" t="s">
        <v>386</v>
      </c>
      <c r="E271" t="s">
        <v>338</v>
      </c>
      <c r="F271" t="s">
        <v>388</v>
      </c>
      <c r="K271">
        <v>1</v>
      </c>
      <c r="O271" t="s">
        <v>387</v>
      </c>
      <c r="P271" t="s">
        <v>389</v>
      </c>
      <c r="Q271">
        <v>1</v>
      </c>
    </row>
    <row r="272" spans="1:17" x14ac:dyDescent="0.25">
      <c r="A272" t="s">
        <v>97</v>
      </c>
      <c r="B272" t="s">
        <v>336</v>
      </c>
      <c r="C272" t="s">
        <v>390</v>
      </c>
      <c r="D272" t="s">
        <v>348</v>
      </c>
      <c r="E272" t="s">
        <v>391</v>
      </c>
      <c r="K272">
        <v>1</v>
      </c>
      <c r="O272" t="s">
        <v>392</v>
      </c>
      <c r="P272" t="s">
        <v>393</v>
      </c>
      <c r="Q272">
        <v>1</v>
      </c>
    </row>
    <row r="273" spans="1:17" x14ac:dyDescent="0.25">
      <c r="A273" t="s">
        <v>97</v>
      </c>
      <c r="B273" t="s">
        <v>336</v>
      </c>
      <c r="C273" t="s">
        <v>350</v>
      </c>
      <c r="D273" t="s">
        <v>351</v>
      </c>
      <c r="E273" t="s">
        <v>391</v>
      </c>
      <c r="K273">
        <v>1</v>
      </c>
      <c r="O273" t="s">
        <v>394</v>
      </c>
      <c r="P273" t="s">
        <v>393</v>
      </c>
      <c r="Q273">
        <v>1</v>
      </c>
    </row>
    <row r="274" spans="1:17" x14ac:dyDescent="0.25">
      <c r="A274" t="s">
        <v>97</v>
      </c>
      <c r="B274" t="s">
        <v>336</v>
      </c>
      <c r="C274" t="s">
        <v>353</v>
      </c>
      <c r="D274" t="s">
        <v>354</v>
      </c>
      <c r="E274" t="s">
        <v>391</v>
      </c>
      <c r="K274">
        <v>1</v>
      </c>
      <c r="O274" t="s">
        <v>395</v>
      </c>
      <c r="P274" t="s">
        <v>393</v>
      </c>
      <c r="Q274">
        <v>1</v>
      </c>
    </row>
    <row r="275" spans="1:17" x14ac:dyDescent="0.25">
      <c r="A275" t="s">
        <v>97</v>
      </c>
      <c r="B275" t="s">
        <v>336</v>
      </c>
      <c r="C275" t="s">
        <v>356</v>
      </c>
      <c r="D275" t="s">
        <v>357</v>
      </c>
      <c r="E275" t="s">
        <v>391</v>
      </c>
      <c r="K275">
        <v>1</v>
      </c>
      <c r="O275" t="s">
        <v>396</v>
      </c>
      <c r="P275" t="s">
        <v>393</v>
      </c>
      <c r="Q275">
        <v>1</v>
      </c>
    </row>
    <row r="276" spans="1:17" x14ac:dyDescent="0.25">
      <c r="A276" t="s">
        <v>97</v>
      </c>
      <c r="B276" t="s">
        <v>359</v>
      </c>
      <c r="C276" t="s">
        <v>360</v>
      </c>
      <c r="D276" t="s">
        <v>361</v>
      </c>
      <c r="E276" t="s">
        <v>391</v>
      </c>
      <c r="K276">
        <v>1</v>
      </c>
      <c r="O276" t="s">
        <v>717</v>
      </c>
      <c r="P276" t="s">
        <v>393</v>
      </c>
      <c r="Q276">
        <v>1</v>
      </c>
    </row>
    <row r="277" spans="1:17" x14ac:dyDescent="0.25">
      <c r="A277" t="s">
        <v>97</v>
      </c>
      <c r="B277" t="s">
        <v>372</v>
      </c>
      <c r="C277" t="s">
        <v>373</v>
      </c>
      <c r="D277" t="s">
        <v>374</v>
      </c>
      <c r="E277" t="s">
        <v>391</v>
      </c>
      <c r="K277">
        <v>1</v>
      </c>
      <c r="O277" t="s">
        <v>398</v>
      </c>
      <c r="P277" t="s">
        <v>393</v>
      </c>
      <c r="Q277">
        <v>1</v>
      </c>
    </row>
    <row r="278" spans="1:17" x14ac:dyDescent="0.25">
      <c r="A278" t="s">
        <v>97</v>
      </c>
      <c r="B278" t="s">
        <v>376</v>
      </c>
      <c r="C278" t="s">
        <v>377</v>
      </c>
      <c r="D278" t="s">
        <v>378</v>
      </c>
      <c r="E278" t="s">
        <v>391</v>
      </c>
      <c r="K278">
        <v>1</v>
      </c>
      <c r="O278" t="s">
        <v>399</v>
      </c>
      <c r="P278" t="s">
        <v>393</v>
      </c>
      <c r="Q278">
        <v>1</v>
      </c>
    </row>
    <row r="279" spans="1:17" x14ac:dyDescent="0.25">
      <c r="A279" t="s">
        <v>97</v>
      </c>
      <c r="B279" t="s">
        <v>380</v>
      </c>
      <c r="C279" t="s">
        <v>381</v>
      </c>
      <c r="D279" t="s">
        <v>382</v>
      </c>
      <c r="E279" t="s">
        <v>391</v>
      </c>
      <c r="K279">
        <v>1</v>
      </c>
      <c r="O279" t="s">
        <v>400</v>
      </c>
      <c r="P279" t="s">
        <v>393</v>
      </c>
      <c r="Q279">
        <v>1</v>
      </c>
    </row>
    <row r="280" spans="1:17" x14ac:dyDescent="0.25">
      <c r="A280" t="s">
        <v>97</v>
      </c>
      <c r="B280" t="s">
        <v>384</v>
      </c>
      <c r="C280" t="s">
        <v>385</v>
      </c>
      <c r="D280" t="s">
        <v>386</v>
      </c>
      <c r="E280" t="s">
        <v>391</v>
      </c>
      <c r="K280">
        <v>1</v>
      </c>
      <c r="O280" t="s">
        <v>401</v>
      </c>
      <c r="P280" t="s">
        <v>393</v>
      </c>
      <c r="Q280">
        <v>1</v>
      </c>
    </row>
    <row r="281" spans="1:17" x14ac:dyDescent="0.25">
      <c r="A281" t="s">
        <v>97</v>
      </c>
      <c r="B281" t="s">
        <v>402</v>
      </c>
      <c r="C281" t="s">
        <v>403</v>
      </c>
      <c r="D281" t="s">
        <v>404</v>
      </c>
      <c r="E281" t="s">
        <v>391</v>
      </c>
      <c r="K281">
        <v>1</v>
      </c>
      <c r="O281" t="s">
        <v>405</v>
      </c>
      <c r="P281" t="s">
        <v>393</v>
      </c>
      <c r="Q281">
        <v>1</v>
      </c>
    </row>
    <row r="282" spans="1:17" x14ac:dyDescent="0.25">
      <c r="A282" t="s">
        <v>97</v>
      </c>
      <c r="B282" t="s">
        <v>406</v>
      </c>
      <c r="C282" t="s">
        <v>407</v>
      </c>
      <c r="D282" t="s">
        <v>408</v>
      </c>
      <c r="E282" t="s">
        <v>391</v>
      </c>
      <c r="K282">
        <v>1</v>
      </c>
      <c r="O282" t="s">
        <v>409</v>
      </c>
      <c r="P282" t="s">
        <v>393</v>
      </c>
      <c r="Q282">
        <v>1</v>
      </c>
    </row>
    <row r="283" spans="1:17" x14ac:dyDescent="0.25">
      <c r="A283" t="s">
        <v>97</v>
      </c>
      <c r="B283" t="s">
        <v>410</v>
      </c>
      <c r="C283" t="s">
        <v>411</v>
      </c>
      <c r="D283" t="s">
        <v>412</v>
      </c>
      <c r="E283" t="s">
        <v>391</v>
      </c>
      <c r="K283">
        <v>1</v>
      </c>
      <c r="O283" t="s">
        <v>413</v>
      </c>
      <c r="P283" t="s">
        <v>393</v>
      </c>
      <c r="Q283">
        <v>1</v>
      </c>
    </row>
    <row r="284" spans="1:17" x14ac:dyDescent="0.25">
      <c r="A284" t="s">
        <v>97</v>
      </c>
      <c r="B284" t="s">
        <v>414</v>
      </c>
      <c r="C284" t="s">
        <v>415</v>
      </c>
      <c r="D284" t="s">
        <v>416</v>
      </c>
      <c r="E284" t="s">
        <v>391</v>
      </c>
      <c r="K284">
        <v>1</v>
      </c>
      <c r="O284" t="s">
        <v>417</v>
      </c>
      <c r="P284" t="s">
        <v>393</v>
      </c>
      <c r="Q284">
        <v>1</v>
      </c>
    </row>
    <row r="285" spans="1:17" x14ac:dyDescent="0.25">
      <c r="A285" t="s">
        <v>97</v>
      </c>
      <c r="B285" t="s">
        <v>418</v>
      </c>
      <c r="C285" t="s">
        <v>419</v>
      </c>
      <c r="D285" t="s">
        <v>420</v>
      </c>
      <c r="E285" t="s">
        <v>391</v>
      </c>
      <c r="K285">
        <v>1</v>
      </c>
      <c r="O285" t="s">
        <v>421</v>
      </c>
      <c r="P285" t="s">
        <v>393</v>
      </c>
      <c r="Q285">
        <v>1</v>
      </c>
    </row>
    <row r="286" spans="1:17" x14ac:dyDescent="0.25">
      <c r="A286" t="s">
        <v>97</v>
      </c>
      <c r="B286" t="s">
        <v>336</v>
      </c>
      <c r="C286" t="s">
        <v>350</v>
      </c>
      <c r="D286" t="s">
        <v>351</v>
      </c>
      <c r="E286" s="2" t="s">
        <v>422</v>
      </c>
      <c r="K286">
        <v>1</v>
      </c>
      <c r="O286" t="s">
        <v>423</v>
      </c>
      <c r="P286" t="s">
        <v>393</v>
      </c>
      <c r="Q286">
        <v>1</v>
      </c>
    </row>
    <row r="287" spans="1:17" x14ac:dyDescent="0.25">
      <c r="A287" t="s">
        <v>97</v>
      </c>
      <c r="B287" t="s">
        <v>336</v>
      </c>
      <c r="C287" t="s">
        <v>353</v>
      </c>
      <c r="D287" t="s">
        <v>354</v>
      </c>
      <c r="E287" s="2" t="s">
        <v>422</v>
      </c>
      <c r="K287">
        <v>1</v>
      </c>
      <c r="O287" t="s">
        <v>424</v>
      </c>
      <c r="P287" t="s">
        <v>393</v>
      </c>
      <c r="Q287">
        <v>1</v>
      </c>
    </row>
    <row r="288" spans="1:17" x14ac:dyDescent="0.25">
      <c r="A288" t="s">
        <v>97</v>
      </c>
      <c r="B288" t="s">
        <v>336</v>
      </c>
      <c r="C288" t="s">
        <v>356</v>
      </c>
      <c r="D288" t="s">
        <v>357</v>
      </c>
      <c r="E288" s="2" t="s">
        <v>422</v>
      </c>
      <c r="K288">
        <v>1</v>
      </c>
      <c r="O288" t="s">
        <v>425</v>
      </c>
      <c r="P288" t="s">
        <v>393</v>
      </c>
      <c r="Q288">
        <v>1</v>
      </c>
    </row>
    <row r="289" spans="1:17" x14ac:dyDescent="0.25">
      <c r="A289" t="s">
        <v>97</v>
      </c>
      <c r="B289" t="s">
        <v>359</v>
      </c>
      <c r="C289" t="s">
        <v>360</v>
      </c>
      <c r="D289" t="s">
        <v>361</v>
      </c>
      <c r="E289" s="2" t="s">
        <v>422</v>
      </c>
      <c r="K289">
        <v>1</v>
      </c>
      <c r="O289" t="s">
        <v>426</v>
      </c>
      <c r="P289" t="s">
        <v>393</v>
      </c>
      <c r="Q289">
        <v>1</v>
      </c>
    </row>
    <row r="290" spans="1:17" x14ac:dyDescent="0.25">
      <c r="A290" t="s">
        <v>97</v>
      </c>
      <c r="B290" t="s">
        <v>372</v>
      </c>
      <c r="C290" t="s">
        <v>373</v>
      </c>
      <c r="D290" t="s">
        <v>374</v>
      </c>
      <c r="E290" s="2" t="s">
        <v>422</v>
      </c>
      <c r="K290">
        <v>1</v>
      </c>
      <c r="O290" t="s">
        <v>427</v>
      </c>
      <c r="P290" t="s">
        <v>393</v>
      </c>
      <c r="Q290">
        <v>1</v>
      </c>
    </row>
    <row r="291" spans="1:17" x14ac:dyDescent="0.25">
      <c r="A291" t="s">
        <v>97</v>
      </c>
      <c r="B291" t="s">
        <v>376</v>
      </c>
      <c r="C291" t="s">
        <v>377</v>
      </c>
      <c r="D291" t="s">
        <v>378</v>
      </c>
      <c r="E291" s="2" t="s">
        <v>422</v>
      </c>
      <c r="K291">
        <v>1</v>
      </c>
      <c r="O291" t="s">
        <v>428</v>
      </c>
      <c r="P291" t="s">
        <v>393</v>
      </c>
      <c r="Q291">
        <v>1</v>
      </c>
    </row>
    <row r="292" spans="1:17" x14ac:dyDescent="0.25">
      <c r="A292" t="s">
        <v>97</v>
      </c>
      <c r="B292" t="s">
        <v>380</v>
      </c>
      <c r="C292" t="s">
        <v>381</v>
      </c>
      <c r="D292" t="s">
        <v>382</v>
      </c>
      <c r="E292" s="2" t="s">
        <v>422</v>
      </c>
      <c r="K292">
        <v>1</v>
      </c>
      <c r="O292" t="s">
        <v>429</v>
      </c>
      <c r="P292" t="s">
        <v>393</v>
      </c>
      <c r="Q292">
        <v>1</v>
      </c>
    </row>
    <row r="293" spans="1:17" x14ac:dyDescent="0.25">
      <c r="A293" t="s">
        <v>97</v>
      </c>
      <c r="B293" t="s">
        <v>384</v>
      </c>
      <c r="C293" t="s">
        <v>385</v>
      </c>
      <c r="D293" t="s">
        <v>386</v>
      </c>
      <c r="E293" s="2" t="s">
        <v>422</v>
      </c>
      <c r="K293">
        <v>1</v>
      </c>
      <c r="O293" t="s">
        <v>430</v>
      </c>
      <c r="P293" t="s">
        <v>393</v>
      </c>
      <c r="Q293">
        <v>1</v>
      </c>
    </row>
    <row r="294" spans="1:17" x14ac:dyDescent="0.25">
      <c r="A294" t="s">
        <v>97</v>
      </c>
      <c r="B294" t="s">
        <v>402</v>
      </c>
      <c r="C294" t="s">
        <v>403</v>
      </c>
      <c r="D294" t="s">
        <v>404</v>
      </c>
      <c r="E294" s="2" t="s">
        <v>422</v>
      </c>
      <c r="K294">
        <v>1</v>
      </c>
      <c r="O294" t="s">
        <v>431</v>
      </c>
      <c r="P294" t="s">
        <v>393</v>
      </c>
      <c r="Q294">
        <v>1</v>
      </c>
    </row>
    <row r="295" spans="1:17" x14ac:dyDescent="0.25">
      <c r="A295" t="s">
        <v>97</v>
      </c>
      <c r="B295" t="s">
        <v>406</v>
      </c>
      <c r="C295" t="s">
        <v>407</v>
      </c>
      <c r="D295" t="s">
        <v>408</v>
      </c>
      <c r="E295" s="2" t="s">
        <v>422</v>
      </c>
      <c r="K295">
        <v>1</v>
      </c>
      <c r="O295" t="s">
        <v>432</v>
      </c>
      <c r="P295" t="s">
        <v>393</v>
      </c>
      <c r="Q295">
        <v>1</v>
      </c>
    </row>
    <row r="296" spans="1:17" x14ac:dyDescent="0.25">
      <c r="A296" t="s">
        <v>97</v>
      </c>
      <c r="B296" t="s">
        <v>410</v>
      </c>
      <c r="C296" t="s">
        <v>411</v>
      </c>
      <c r="D296" t="s">
        <v>412</v>
      </c>
      <c r="E296" s="2" t="s">
        <v>422</v>
      </c>
      <c r="K296">
        <v>1</v>
      </c>
      <c r="O296" t="s">
        <v>433</v>
      </c>
      <c r="P296" t="s">
        <v>393</v>
      </c>
      <c r="Q296">
        <v>1</v>
      </c>
    </row>
    <row r="297" spans="1:17" x14ac:dyDescent="0.25">
      <c r="A297" t="s">
        <v>97</v>
      </c>
      <c r="B297" t="s">
        <v>414</v>
      </c>
      <c r="C297" t="s">
        <v>415</v>
      </c>
      <c r="D297" t="s">
        <v>416</v>
      </c>
      <c r="E297" s="2" t="s">
        <v>422</v>
      </c>
      <c r="K297">
        <v>1</v>
      </c>
      <c r="O297" t="s">
        <v>434</v>
      </c>
      <c r="P297" t="s">
        <v>393</v>
      </c>
      <c r="Q297">
        <v>1</v>
      </c>
    </row>
    <row r="298" spans="1:17" x14ac:dyDescent="0.25">
      <c r="A298" t="s">
        <v>97</v>
      </c>
      <c r="B298" t="s">
        <v>418</v>
      </c>
      <c r="C298" t="s">
        <v>419</v>
      </c>
      <c r="D298" t="s">
        <v>420</v>
      </c>
      <c r="E298" s="2" t="s">
        <v>422</v>
      </c>
      <c r="K298">
        <v>1</v>
      </c>
      <c r="O298" t="s">
        <v>435</v>
      </c>
      <c r="P298" t="s">
        <v>393</v>
      </c>
      <c r="Q298">
        <v>1</v>
      </c>
    </row>
    <row r="299" spans="1:17" x14ac:dyDescent="0.25">
      <c r="A299" t="s">
        <v>97</v>
      </c>
      <c r="B299" t="s">
        <v>336</v>
      </c>
      <c r="C299" t="s">
        <v>390</v>
      </c>
      <c r="D299" t="s">
        <v>348</v>
      </c>
      <c r="E299" t="s">
        <v>391</v>
      </c>
      <c r="F299" t="s">
        <v>388</v>
      </c>
      <c r="K299">
        <v>1</v>
      </c>
      <c r="O299" t="s">
        <v>392</v>
      </c>
      <c r="P299" t="s">
        <v>393</v>
      </c>
      <c r="Q299">
        <v>1</v>
      </c>
    </row>
    <row r="300" spans="1:17" x14ac:dyDescent="0.25">
      <c r="A300" t="s">
        <v>97</v>
      </c>
      <c r="B300" t="s">
        <v>336</v>
      </c>
      <c r="C300" t="s">
        <v>350</v>
      </c>
      <c r="D300" t="s">
        <v>351</v>
      </c>
      <c r="E300" t="s">
        <v>391</v>
      </c>
      <c r="F300" t="s">
        <v>388</v>
      </c>
      <c r="K300">
        <v>1</v>
      </c>
      <c r="O300" t="s">
        <v>394</v>
      </c>
      <c r="P300" t="s">
        <v>393</v>
      </c>
      <c r="Q300">
        <v>1</v>
      </c>
    </row>
    <row r="301" spans="1:17" x14ac:dyDescent="0.25">
      <c r="A301" t="s">
        <v>97</v>
      </c>
      <c r="B301" t="s">
        <v>336</v>
      </c>
      <c r="C301" t="s">
        <v>353</v>
      </c>
      <c r="D301" t="s">
        <v>354</v>
      </c>
      <c r="E301" t="s">
        <v>391</v>
      </c>
      <c r="F301" t="s">
        <v>388</v>
      </c>
      <c r="K301">
        <v>1</v>
      </c>
      <c r="O301" t="s">
        <v>395</v>
      </c>
      <c r="P301" t="s">
        <v>393</v>
      </c>
      <c r="Q301">
        <v>1</v>
      </c>
    </row>
    <row r="302" spans="1:17" x14ac:dyDescent="0.25">
      <c r="A302" t="s">
        <v>97</v>
      </c>
      <c r="B302" t="s">
        <v>336</v>
      </c>
      <c r="C302" t="s">
        <v>356</v>
      </c>
      <c r="D302" t="s">
        <v>357</v>
      </c>
      <c r="E302" t="s">
        <v>391</v>
      </c>
      <c r="F302" t="s">
        <v>388</v>
      </c>
      <c r="K302">
        <v>1</v>
      </c>
      <c r="O302" t="s">
        <v>396</v>
      </c>
      <c r="P302" t="s">
        <v>393</v>
      </c>
      <c r="Q302">
        <v>1</v>
      </c>
    </row>
    <row r="303" spans="1:17" x14ac:dyDescent="0.25">
      <c r="A303" t="s">
        <v>97</v>
      </c>
      <c r="B303" t="s">
        <v>359</v>
      </c>
      <c r="C303" t="s">
        <v>360</v>
      </c>
      <c r="D303" t="s">
        <v>361</v>
      </c>
      <c r="E303" t="s">
        <v>391</v>
      </c>
      <c r="F303" t="s">
        <v>388</v>
      </c>
      <c r="K303">
        <v>1</v>
      </c>
      <c r="O303" t="s">
        <v>717</v>
      </c>
      <c r="P303" t="s">
        <v>393</v>
      </c>
      <c r="Q303">
        <v>1</v>
      </c>
    </row>
    <row r="304" spans="1:17" x14ac:dyDescent="0.25">
      <c r="A304" t="s">
        <v>97</v>
      </c>
      <c r="B304" t="s">
        <v>372</v>
      </c>
      <c r="C304" t="s">
        <v>373</v>
      </c>
      <c r="D304" t="s">
        <v>374</v>
      </c>
      <c r="E304" t="s">
        <v>391</v>
      </c>
      <c r="F304" t="s">
        <v>388</v>
      </c>
      <c r="K304">
        <v>1</v>
      </c>
      <c r="O304" t="s">
        <v>398</v>
      </c>
      <c r="P304" t="s">
        <v>393</v>
      </c>
      <c r="Q304">
        <v>1</v>
      </c>
    </row>
    <row r="305" spans="1:17" x14ac:dyDescent="0.25">
      <c r="A305" t="s">
        <v>97</v>
      </c>
      <c r="B305" t="s">
        <v>376</v>
      </c>
      <c r="C305" t="s">
        <v>377</v>
      </c>
      <c r="D305" t="s">
        <v>378</v>
      </c>
      <c r="E305" t="s">
        <v>391</v>
      </c>
      <c r="F305" t="s">
        <v>388</v>
      </c>
      <c r="K305">
        <v>1</v>
      </c>
      <c r="O305" t="s">
        <v>399</v>
      </c>
      <c r="P305" t="s">
        <v>393</v>
      </c>
      <c r="Q305">
        <v>1</v>
      </c>
    </row>
    <row r="306" spans="1:17" x14ac:dyDescent="0.25">
      <c r="A306" t="s">
        <v>97</v>
      </c>
      <c r="B306" t="s">
        <v>380</v>
      </c>
      <c r="C306" t="s">
        <v>381</v>
      </c>
      <c r="D306" t="s">
        <v>382</v>
      </c>
      <c r="E306" t="s">
        <v>391</v>
      </c>
      <c r="F306" t="s">
        <v>388</v>
      </c>
      <c r="K306">
        <v>1</v>
      </c>
      <c r="O306" t="s">
        <v>400</v>
      </c>
      <c r="P306" t="s">
        <v>393</v>
      </c>
      <c r="Q306">
        <v>1</v>
      </c>
    </row>
    <row r="307" spans="1:17" x14ac:dyDescent="0.25">
      <c r="A307" t="s">
        <v>97</v>
      </c>
      <c r="B307" t="s">
        <v>384</v>
      </c>
      <c r="C307" t="s">
        <v>385</v>
      </c>
      <c r="D307" t="s">
        <v>386</v>
      </c>
      <c r="E307" t="s">
        <v>391</v>
      </c>
      <c r="F307" t="s">
        <v>388</v>
      </c>
      <c r="K307">
        <v>1</v>
      </c>
      <c r="O307" t="s">
        <v>401</v>
      </c>
      <c r="P307" t="s">
        <v>393</v>
      </c>
      <c r="Q307">
        <v>1</v>
      </c>
    </row>
    <row r="308" spans="1:17" x14ac:dyDescent="0.25">
      <c r="A308" t="s">
        <v>97</v>
      </c>
      <c r="B308" t="s">
        <v>402</v>
      </c>
      <c r="C308" t="s">
        <v>403</v>
      </c>
      <c r="D308" t="s">
        <v>404</v>
      </c>
      <c r="E308" t="s">
        <v>391</v>
      </c>
      <c r="F308" t="s">
        <v>388</v>
      </c>
      <c r="K308">
        <v>1</v>
      </c>
      <c r="O308" t="s">
        <v>405</v>
      </c>
      <c r="P308" t="s">
        <v>393</v>
      </c>
      <c r="Q308">
        <v>1</v>
      </c>
    </row>
    <row r="309" spans="1:17" x14ac:dyDescent="0.25">
      <c r="A309" t="s">
        <v>97</v>
      </c>
      <c r="B309" t="s">
        <v>406</v>
      </c>
      <c r="C309" t="s">
        <v>407</v>
      </c>
      <c r="D309" t="s">
        <v>408</v>
      </c>
      <c r="E309" t="s">
        <v>391</v>
      </c>
      <c r="F309" t="s">
        <v>388</v>
      </c>
      <c r="K309">
        <v>1</v>
      </c>
      <c r="O309" t="s">
        <v>409</v>
      </c>
      <c r="P309" t="s">
        <v>393</v>
      </c>
      <c r="Q309">
        <v>1</v>
      </c>
    </row>
    <row r="310" spans="1:17" x14ac:dyDescent="0.25">
      <c r="A310" t="s">
        <v>97</v>
      </c>
      <c r="B310" t="s">
        <v>410</v>
      </c>
      <c r="C310" t="s">
        <v>411</v>
      </c>
      <c r="D310" t="s">
        <v>412</v>
      </c>
      <c r="E310" t="s">
        <v>391</v>
      </c>
      <c r="F310" t="s">
        <v>388</v>
      </c>
      <c r="K310">
        <v>1</v>
      </c>
      <c r="O310" t="s">
        <v>413</v>
      </c>
      <c r="P310" t="s">
        <v>393</v>
      </c>
      <c r="Q310">
        <v>1</v>
      </c>
    </row>
    <row r="311" spans="1:17" x14ac:dyDescent="0.25">
      <c r="A311" t="s">
        <v>97</v>
      </c>
      <c r="B311" t="s">
        <v>414</v>
      </c>
      <c r="C311" t="s">
        <v>415</v>
      </c>
      <c r="D311" t="s">
        <v>416</v>
      </c>
      <c r="E311" t="s">
        <v>391</v>
      </c>
      <c r="F311" t="s">
        <v>388</v>
      </c>
      <c r="K311">
        <v>1</v>
      </c>
      <c r="O311" t="s">
        <v>417</v>
      </c>
      <c r="P311" t="s">
        <v>393</v>
      </c>
      <c r="Q311">
        <v>1</v>
      </c>
    </row>
    <row r="312" spans="1:17" x14ac:dyDescent="0.25">
      <c r="A312" t="s">
        <v>97</v>
      </c>
      <c r="B312" t="s">
        <v>418</v>
      </c>
      <c r="C312" t="s">
        <v>419</v>
      </c>
      <c r="D312" t="s">
        <v>420</v>
      </c>
      <c r="E312" t="s">
        <v>391</v>
      </c>
      <c r="F312" t="s">
        <v>388</v>
      </c>
      <c r="K312">
        <v>1</v>
      </c>
      <c r="O312" t="s">
        <v>421</v>
      </c>
      <c r="P312" t="s">
        <v>393</v>
      </c>
      <c r="Q312">
        <v>1</v>
      </c>
    </row>
    <row r="313" spans="1:17" x14ac:dyDescent="0.25">
      <c r="A313" t="s">
        <v>97</v>
      </c>
      <c r="B313" t="s">
        <v>336</v>
      </c>
      <c r="C313" t="s">
        <v>350</v>
      </c>
      <c r="D313" t="s">
        <v>351</v>
      </c>
      <c r="E313" s="2" t="s">
        <v>422</v>
      </c>
      <c r="F313" t="s">
        <v>388</v>
      </c>
      <c r="K313">
        <v>1</v>
      </c>
      <c r="O313" t="s">
        <v>423</v>
      </c>
      <c r="P313" t="s">
        <v>393</v>
      </c>
      <c r="Q313">
        <v>1</v>
      </c>
    </row>
    <row r="314" spans="1:17" x14ac:dyDescent="0.25">
      <c r="A314" t="s">
        <v>97</v>
      </c>
      <c r="B314" t="s">
        <v>336</v>
      </c>
      <c r="C314" t="s">
        <v>353</v>
      </c>
      <c r="D314" t="s">
        <v>354</v>
      </c>
      <c r="E314" s="2" t="s">
        <v>422</v>
      </c>
      <c r="F314" t="s">
        <v>388</v>
      </c>
      <c r="K314">
        <v>1</v>
      </c>
      <c r="O314" t="s">
        <v>424</v>
      </c>
      <c r="P314" t="s">
        <v>393</v>
      </c>
      <c r="Q314">
        <v>1</v>
      </c>
    </row>
    <row r="315" spans="1:17" x14ac:dyDescent="0.25">
      <c r="A315" t="s">
        <v>97</v>
      </c>
      <c r="B315" t="s">
        <v>336</v>
      </c>
      <c r="C315" t="s">
        <v>356</v>
      </c>
      <c r="D315" t="s">
        <v>357</v>
      </c>
      <c r="E315" s="2" t="s">
        <v>422</v>
      </c>
      <c r="F315" t="s">
        <v>388</v>
      </c>
      <c r="K315">
        <v>1</v>
      </c>
      <c r="O315" t="s">
        <v>425</v>
      </c>
      <c r="P315" t="s">
        <v>393</v>
      </c>
      <c r="Q315">
        <v>1</v>
      </c>
    </row>
    <row r="316" spans="1:17" x14ac:dyDescent="0.25">
      <c r="A316" t="s">
        <v>97</v>
      </c>
      <c r="B316" t="s">
        <v>359</v>
      </c>
      <c r="C316" t="s">
        <v>360</v>
      </c>
      <c r="D316" t="s">
        <v>361</v>
      </c>
      <c r="E316" s="2" t="s">
        <v>422</v>
      </c>
      <c r="F316" t="s">
        <v>388</v>
      </c>
      <c r="K316">
        <v>1</v>
      </c>
      <c r="O316" t="s">
        <v>426</v>
      </c>
      <c r="P316" t="s">
        <v>393</v>
      </c>
      <c r="Q316">
        <v>1</v>
      </c>
    </row>
    <row r="317" spans="1:17" x14ac:dyDescent="0.25">
      <c r="A317" t="s">
        <v>97</v>
      </c>
      <c r="B317" t="s">
        <v>372</v>
      </c>
      <c r="C317" t="s">
        <v>373</v>
      </c>
      <c r="D317" t="s">
        <v>374</v>
      </c>
      <c r="E317" s="2" t="s">
        <v>422</v>
      </c>
      <c r="F317" t="s">
        <v>388</v>
      </c>
      <c r="K317">
        <v>1</v>
      </c>
      <c r="O317" t="s">
        <v>427</v>
      </c>
      <c r="P317" t="s">
        <v>393</v>
      </c>
      <c r="Q317">
        <v>1</v>
      </c>
    </row>
    <row r="318" spans="1:17" x14ac:dyDescent="0.25">
      <c r="A318" t="s">
        <v>97</v>
      </c>
      <c r="B318" t="s">
        <v>376</v>
      </c>
      <c r="C318" t="s">
        <v>377</v>
      </c>
      <c r="D318" t="s">
        <v>378</v>
      </c>
      <c r="E318" s="2" t="s">
        <v>422</v>
      </c>
      <c r="F318" t="s">
        <v>388</v>
      </c>
      <c r="K318">
        <v>1</v>
      </c>
      <c r="O318" t="s">
        <v>428</v>
      </c>
      <c r="P318" t="s">
        <v>393</v>
      </c>
      <c r="Q318">
        <v>1</v>
      </c>
    </row>
    <row r="319" spans="1:17" x14ac:dyDescent="0.25">
      <c r="A319" t="s">
        <v>97</v>
      </c>
      <c r="B319" t="s">
        <v>380</v>
      </c>
      <c r="C319" t="s">
        <v>381</v>
      </c>
      <c r="D319" t="s">
        <v>382</v>
      </c>
      <c r="E319" s="2" t="s">
        <v>422</v>
      </c>
      <c r="F319" t="s">
        <v>388</v>
      </c>
      <c r="K319">
        <v>1</v>
      </c>
      <c r="O319" t="s">
        <v>429</v>
      </c>
      <c r="P319" t="s">
        <v>393</v>
      </c>
      <c r="Q319">
        <v>1</v>
      </c>
    </row>
    <row r="320" spans="1:17" x14ac:dyDescent="0.25">
      <c r="A320" t="s">
        <v>97</v>
      </c>
      <c r="B320" t="s">
        <v>384</v>
      </c>
      <c r="C320" t="s">
        <v>385</v>
      </c>
      <c r="D320" t="s">
        <v>386</v>
      </c>
      <c r="E320" s="2" t="s">
        <v>422</v>
      </c>
      <c r="F320" t="s">
        <v>388</v>
      </c>
      <c r="K320">
        <v>1</v>
      </c>
      <c r="O320" t="s">
        <v>430</v>
      </c>
      <c r="P320" t="s">
        <v>393</v>
      </c>
      <c r="Q320">
        <v>1</v>
      </c>
    </row>
    <row r="321" spans="1:17" x14ac:dyDescent="0.25">
      <c r="A321" t="s">
        <v>97</v>
      </c>
      <c r="B321" t="s">
        <v>402</v>
      </c>
      <c r="C321" t="s">
        <v>403</v>
      </c>
      <c r="D321" t="s">
        <v>404</v>
      </c>
      <c r="E321" s="2" t="s">
        <v>422</v>
      </c>
      <c r="F321" t="s">
        <v>388</v>
      </c>
      <c r="K321">
        <v>1</v>
      </c>
      <c r="O321" t="s">
        <v>431</v>
      </c>
      <c r="P321" t="s">
        <v>393</v>
      </c>
      <c r="Q321">
        <v>1</v>
      </c>
    </row>
    <row r="322" spans="1:17" x14ac:dyDescent="0.25">
      <c r="A322" t="s">
        <v>97</v>
      </c>
      <c r="B322" t="s">
        <v>406</v>
      </c>
      <c r="C322" t="s">
        <v>407</v>
      </c>
      <c r="D322" t="s">
        <v>408</v>
      </c>
      <c r="E322" s="2" t="s">
        <v>422</v>
      </c>
      <c r="F322" t="s">
        <v>388</v>
      </c>
      <c r="K322">
        <v>1</v>
      </c>
      <c r="O322" t="s">
        <v>432</v>
      </c>
      <c r="P322" t="s">
        <v>393</v>
      </c>
      <c r="Q322">
        <v>1</v>
      </c>
    </row>
    <row r="323" spans="1:17" x14ac:dyDescent="0.25">
      <c r="A323" t="s">
        <v>97</v>
      </c>
      <c r="B323" t="s">
        <v>410</v>
      </c>
      <c r="C323" t="s">
        <v>411</v>
      </c>
      <c r="D323" t="s">
        <v>412</v>
      </c>
      <c r="E323" s="2" t="s">
        <v>422</v>
      </c>
      <c r="F323" t="s">
        <v>388</v>
      </c>
      <c r="K323">
        <v>1</v>
      </c>
      <c r="O323" t="s">
        <v>433</v>
      </c>
      <c r="P323" t="s">
        <v>393</v>
      </c>
      <c r="Q323">
        <v>1</v>
      </c>
    </row>
    <row r="324" spans="1:17" x14ac:dyDescent="0.25">
      <c r="A324" t="s">
        <v>97</v>
      </c>
      <c r="B324" t="s">
        <v>414</v>
      </c>
      <c r="C324" t="s">
        <v>415</v>
      </c>
      <c r="D324" t="s">
        <v>416</v>
      </c>
      <c r="E324" s="2" t="s">
        <v>422</v>
      </c>
      <c r="F324" t="s">
        <v>388</v>
      </c>
      <c r="K324">
        <v>1</v>
      </c>
      <c r="O324" t="s">
        <v>434</v>
      </c>
      <c r="P324" t="s">
        <v>393</v>
      </c>
      <c r="Q324">
        <v>1</v>
      </c>
    </row>
    <row r="325" spans="1:17" x14ac:dyDescent="0.25">
      <c r="A325" t="s">
        <v>97</v>
      </c>
      <c r="B325" t="s">
        <v>418</v>
      </c>
      <c r="C325" t="s">
        <v>419</v>
      </c>
      <c r="D325" t="s">
        <v>420</v>
      </c>
      <c r="E325" s="2" t="s">
        <v>422</v>
      </c>
      <c r="F325" t="s">
        <v>388</v>
      </c>
      <c r="K325">
        <v>1</v>
      </c>
      <c r="O325" t="s">
        <v>435</v>
      </c>
      <c r="P325" t="s">
        <v>393</v>
      </c>
      <c r="Q325">
        <v>1</v>
      </c>
    </row>
    <row r="326" spans="1:17" x14ac:dyDescent="0.25">
      <c r="A326" t="s">
        <v>716</v>
      </c>
      <c r="B326" t="s">
        <v>336</v>
      </c>
      <c r="C326" t="s">
        <v>773</v>
      </c>
      <c r="D326" t="s">
        <v>337</v>
      </c>
      <c r="E326" t="s">
        <v>338</v>
      </c>
      <c r="I326">
        <v>1</v>
      </c>
      <c r="K326">
        <v>1</v>
      </c>
      <c r="O326" t="s">
        <v>363</v>
      </c>
      <c r="P326" t="s">
        <v>364</v>
      </c>
      <c r="Q326">
        <v>1</v>
      </c>
    </row>
    <row r="327" spans="1:17" x14ac:dyDescent="0.25">
      <c r="A327" t="s">
        <v>716</v>
      </c>
      <c r="B327" t="s">
        <v>336</v>
      </c>
      <c r="C327" t="s">
        <v>341</v>
      </c>
      <c r="D327" t="s">
        <v>342</v>
      </c>
      <c r="E327" t="s">
        <v>338</v>
      </c>
      <c r="I327">
        <v>1</v>
      </c>
      <c r="K327">
        <v>1</v>
      </c>
      <c r="O327" t="s">
        <v>365</v>
      </c>
      <c r="P327" t="s">
        <v>364</v>
      </c>
      <c r="Q327">
        <v>1</v>
      </c>
    </row>
    <row r="328" spans="1:17" x14ac:dyDescent="0.25">
      <c r="A328" t="s">
        <v>716</v>
      </c>
      <c r="B328" t="s">
        <v>336</v>
      </c>
      <c r="C328" t="s">
        <v>344</v>
      </c>
      <c r="D328" t="s">
        <v>345</v>
      </c>
      <c r="E328" t="s">
        <v>338</v>
      </c>
      <c r="I328">
        <v>1</v>
      </c>
      <c r="K328">
        <v>1</v>
      </c>
      <c r="O328" t="s">
        <v>366</v>
      </c>
      <c r="P328" t="s">
        <v>364</v>
      </c>
      <c r="Q328">
        <v>1</v>
      </c>
    </row>
    <row r="329" spans="1:17" x14ac:dyDescent="0.25">
      <c r="A329" t="s">
        <v>716</v>
      </c>
      <c r="B329" t="s">
        <v>336</v>
      </c>
      <c r="C329" t="s">
        <v>347</v>
      </c>
      <c r="D329" t="s">
        <v>348</v>
      </c>
      <c r="E329" t="s">
        <v>338</v>
      </c>
      <c r="I329">
        <v>1</v>
      </c>
      <c r="K329">
        <v>1</v>
      </c>
      <c r="O329" t="s">
        <v>367</v>
      </c>
      <c r="P329" t="s">
        <v>364</v>
      </c>
      <c r="Q329">
        <v>1</v>
      </c>
    </row>
    <row r="330" spans="1:17" x14ac:dyDescent="0.25">
      <c r="A330" t="s">
        <v>716</v>
      </c>
      <c r="B330" t="s">
        <v>336</v>
      </c>
      <c r="C330" t="s">
        <v>350</v>
      </c>
      <c r="D330" t="s">
        <v>351</v>
      </c>
      <c r="E330" t="s">
        <v>338</v>
      </c>
      <c r="I330">
        <v>1</v>
      </c>
      <c r="K330">
        <v>1</v>
      </c>
      <c r="O330" t="s">
        <v>368</v>
      </c>
      <c r="P330" t="s">
        <v>364</v>
      </c>
      <c r="Q330">
        <v>1</v>
      </c>
    </row>
    <row r="331" spans="1:17" x14ac:dyDescent="0.25">
      <c r="A331" t="s">
        <v>716</v>
      </c>
      <c r="B331" t="s">
        <v>336</v>
      </c>
      <c r="C331" t="s">
        <v>353</v>
      </c>
      <c r="D331" t="s">
        <v>354</v>
      </c>
      <c r="E331" t="s">
        <v>338</v>
      </c>
      <c r="I331">
        <v>1</v>
      </c>
      <c r="K331">
        <v>1</v>
      </c>
      <c r="O331" t="s">
        <v>369</v>
      </c>
      <c r="P331" t="s">
        <v>364</v>
      </c>
      <c r="Q331">
        <v>1</v>
      </c>
    </row>
    <row r="332" spans="1:17" x14ac:dyDescent="0.25">
      <c r="A332" t="s">
        <v>716</v>
      </c>
      <c r="B332" t="s">
        <v>336</v>
      </c>
      <c r="C332" t="s">
        <v>356</v>
      </c>
      <c r="D332" t="s">
        <v>357</v>
      </c>
      <c r="E332" t="s">
        <v>338</v>
      </c>
      <c r="I332">
        <v>1</v>
      </c>
      <c r="K332">
        <v>1</v>
      </c>
      <c r="O332" t="s">
        <v>370</v>
      </c>
      <c r="P332" t="s">
        <v>364</v>
      </c>
      <c r="Q332">
        <v>1</v>
      </c>
    </row>
    <row r="333" spans="1:17" x14ac:dyDescent="0.25">
      <c r="A333" t="s">
        <v>716</v>
      </c>
      <c r="B333" t="s">
        <v>359</v>
      </c>
      <c r="C333" t="s">
        <v>360</v>
      </c>
      <c r="D333" t="s">
        <v>361</v>
      </c>
      <c r="E333" t="s">
        <v>338</v>
      </c>
      <c r="I333">
        <v>1</v>
      </c>
      <c r="K333">
        <v>1</v>
      </c>
      <c r="O333" t="s">
        <v>371</v>
      </c>
      <c r="P333" t="s">
        <v>364</v>
      </c>
      <c r="Q333">
        <v>1</v>
      </c>
    </row>
    <row r="334" spans="1:17" x14ac:dyDescent="0.25">
      <c r="A334" t="s">
        <v>716</v>
      </c>
      <c r="B334" t="s">
        <v>372</v>
      </c>
      <c r="C334" t="s">
        <v>373</v>
      </c>
      <c r="D334" t="s">
        <v>374</v>
      </c>
      <c r="E334" t="s">
        <v>338</v>
      </c>
      <c r="I334">
        <v>1</v>
      </c>
      <c r="K334">
        <v>1</v>
      </c>
      <c r="O334" t="s">
        <v>375</v>
      </c>
      <c r="P334" t="s">
        <v>364</v>
      </c>
      <c r="Q334">
        <v>1</v>
      </c>
    </row>
    <row r="335" spans="1:17" x14ac:dyDescent="0.25">
      <c r="A335" t="s">
        <v>716</v>
      </c>
      <c r="B335" t="s">
        <v>376</v>
      </c>
      <c r="C335" t="s">
        <v>377</v>
      </c>
      <c r="D335" t="s">
        <v>378</v>
      </c>
      <c r="E335" t="s">
        <v>338</v>
      </c>
      <c r="I335">
        <v>1</v>
      </c>
      <c r="K335">
        <v>1</v>
      </c>
      <c r="O335" t="s">
        <v>379</v>
      </c>
      <c r="P335" t="s">
        <v>364</v>
      </c>
      <c r="Q335">
        <v>1</v>
      </c>
    </row>
    <row r="336" spans="1:17" x14ac:dyDescent="0.25">
      <c r="A336" t="s">
        <v>716</v>
      </c>
      <c r="B336" t="s">
        <v>380</v>
      </c>
      <c r="C336" t="s">
        <v>381</v>
      </c>
      <c r="D336" t="s">
        <v>382</v>
      </c>
      <c r="E336" t="s">
        <v>338</v>
      </c>
      <c r="I336">
        <v>1</v>
      </c>
      <c r="K336">
        <v>1</v>
      </c>
      <c r="O336" t="s">
        <v>383</v>
      </c>
      <c r="P336" t="s">
        <v>364</v>
      </c>
      <c r="Q336">
        <v>1</v>
      </c>
    </row>
    <row r="337" spans="1:19" x14ac:dyDescent="0.25">
      <c r="A337" t="s">
        <v>716</v>
      </c>
      <c r="B337" t="s">
        <v>384</v>
      </c>
      <c r="C337" t="s">
        <v>385</v>
      </c>
      <c r="D337" t="s">
        <v>386</v>
      </c>
      <c r="E337" t="s">
        <v>338</v>
      </c>
      <c r="I337">
        <v>1</v>
      </c>
      <c r="K337">
        <v>1</v>
      </c>
      <c r="O337" t="s">
        <v>387</v>
      </c>
      <c r="P337" t="s">
        <v>364</v>
      </c>
      <c r="Q337">
        <v>1</v>
      </c>
    </row>
    <row r="338" spans="1:19" x14ac:dyDescent="0.25">
      <c r="A338" t="s">
        <v>716</v>
      </c>
      <c r="B338" t="s">
        <v>336</v>
      </c>
      <c r="C338" t="s">
        <v>773</v>
      </c>
      <c r="D338" t="s">
        <v>337</v>
      </c>
      <c r="E338" t="s">
        <v>338</v>
      </c>
      <c r="F338" t="s">
        <v>388</v>
      </c>
      <c r="I338">
        <v>1</v>
      </c>
      <c r="K338">
        <v>1</v>
      </c>
      <c r="O338" t="s">
        <v>363</v>
      </c>
      <c r="P338" t="s">
        <v>389</v>
      </c>
      <c r="Q338">
        <v>1</v>
      </c>
    </row>
    <row r="339" spans="1:19" x14ac:dyDescent="0.25">
      <c r="A339" t="s">
        <v>716</v>
      </c>
      <c r="B339" t="s">
        <v>336</v>
      </c>
      <c r="C339" t="s">
        <v>341</v>
      </c>
      <c r="D339" t="s">
        <v>342</v>
      </c>
      <c r="E339" t="s">
        <v>338</v>
      </c>
      <c r="F339" t="s">
        <v>388</v>
      </c>
      <c r="I339">
        <v>1</v>
      </c>
      <c r="K339">
        <v>1</v>
      </c>
      <c r="O339" t="s">
        <v>365</v>
      </c>
      <c r="P339" t="s">
        <v>389</v>
      </c>
      <c r="Q339">
        <v>1</v>
      </c>
    </row>
    <row r="340" spans="1:19" x14ac:dyDescent="0.25">
      <c r="A340" t="s">
        <v>716</v>
      </c>
      <c r="B340" t="s">
        <v>336</v>
      </c>
      <c r="C340" t="s">
        <v>344</v>
      </c>
      <c r="D340" t="s">
        <v>345</v>
      </c>
      <c r="E340" t="s">
        <v>338</v>
      </c>
      <c r="F340" t="s">
        <v>388</v>
      </c>
      <c r="I340">
        <v>1</v>
      </c>
      <c r="K340">
        <v>1</v>
      </c>
      <c r="O340" t="s">
        <v>366</v>
      </c>
      <c r="P340" t="s">
        <v>389</v>
      </c>
      <c r="Q340">
        <v>1</v>
      </c>
    </row>
    <row r="341" spans="1:19" x14ac:dyDescent="0.25">
      <c r="A341" t="s">
        <v>716</v>
      </c>
      <c r="B341" t="s">
        <v>336</v>
      </c>
      <c r="C341" t="s">
        <v>347</v>
      </c>
      <c r="D341" t="s">
        <v>348</v>
      </c>
      <c r="E341" t="s">
        <v>338</v>
      </c>
      <c r="F341" t="s">
        <v>388</v>
      </c>
      <c r="I341">
        <v>1</v>
      </c>
      <c r="K341">
        <v>1</v>
      </c>
      <c r="O341" t="s">
        <v>367</v>
      </c>
      <c r="P341" t="s">
        <v>389</v>
      </c>
      <c r="Q341">
        <v>1</v>
      </c>
    </row>
    <row r="342" spans="1:19" x14ac:dyDescent="0.25">
      <c r="A342" t="s">
        <v>716</v>
      </c>
      <c r="B342" t="s">
        <v>336</v>
      </c>
      <c r="C342" t="s">
        <v>350</v>
      </c>
      <c r="D342" t="s">
        <v>351</v>
      </c>
      <c r="E342" t="s">
        <v>338</v>
      </c>
      <c r="F342" t="s">
        <v>388</v>
      </c>
      <c r="I342">
        <v>1</v>
      </c>
      <c r="K342">
        <v>1</v>
      </c>
      <c r="O342" t="s">
        <v>368</v>
      </c>
      <c r="P342" t="s">
        <v>389</v>
      </c>
      <c r="Q342">
        <v>1</v>
      </c>
    </row>
    <row r="343" spans="1:19" x14ac:dyDescent="0.25">
      <c r="A343" t="s">
        <v>716</v>
      </c>
      <c r="B343" t="s">
        <v>336</v>
      </c>
      <c r="C343" t="s">
        <v>353</v>
      </c>
      <c r="D343" t="s">
        <v>354</v>
      </c>
      <c r="E343" t="s">
        <v>338</v>
      </c>
      <c r="F343" t="s">
        <v>388</v>
      </c>
      <c r="I343">
        <v>1</v>
      </c>
      <c r="K343">
        <v>1</v>
      </c>
      <c r="O343" t="s">
        <v>369</v>
      </c>
      <c r="P343" t="s">
        <v>389</v>
      </c>
      <c r="Q343">
        <v>1</v>
      </c>
    </row>
    <row r="344" spans="1:19" x14ac:dyDescent="0.25">
      <c r="A344" t="s">
        <v>716</v>
      </c>
      <c r="B344" t="s">
        <v>336</v>
      </c>
      <c r="C344" t="s">
        <v>356</v>
      </c>
      <c r="D344" t="s">
        <v>357</v>
      </c>
      <c r="E344" t="s">
        <v>338</v>
      </c>
      <c r="F344" t="s">
        <v>388</v>
      </c>
      <c r="I344">
        <v>1</v>
      </c>
      <c r="K344">
        <v>1</v>
      </c>
      <c r="O344" t="s">
        <v>370</v>
      </c>
      <c r="P344" t="s">
        <v>389</v>
      </c>
      <c r="Q344">
        <v>1</v>
      </c>
    </row>
    <row r="345" spans="1:19" x14ac:dyDescent="0.25">
      <c r="A345" t="s">
        <v>716</v>
      </c>
      <c r="B345" t="s">
        <v>359</v>
      </c>
      <c r="C345" t="s">
        <v>360</v>
      </c>
      <c r="D345" t="s">
        <v>361</v>
      </c>
      <c r="E345" t="s">
        <v>338</v>
      </c>
      <c r="F345" t="s">
        <v>388</v>
      </c>
      <c r="I345">
        <v>1</v>
      </c>
      <c r="K345">
        <v>1</v>
      </c>
      <c r="O345" t="s">
        <v>371</v>
      </c>
      <c r="P345" t="s">
        <v>389</v>
      </c>
      <c r="Q345">
        <v>1</v>
      </c>
    </row>
    <row r="346" spans="1:19" x14ac:dyDescent="0.25">
      <c r="A346" t="s">
        <v>716</v>
      </c>
      <c r="B346" t="s">
        <v>372</v>
      </c>
      <c r="C346" t="s">
        <v>373</v>
      </c>
      <c r="D346" t="s">
        <v>374</v>
      </c>
      <c r="E346" t="s">
        <v>338</v>
      </c>
      <c r="F346" t="s">
        <v>388</v>
      </c>
      <c r="I346">
        <v>1</v>
      </c>
      <c r="K346">
        <v>1</v>
      </c>
      <c r="O346" t="s">
        <v>375</v>
      </c>
      <c r="P346" t="s">
        <v>389</v>
      </c>
      <c r="Q346">
        <v>1</v>
      </c>
    </row>
    <row r="347" spans="1:19" x14ac:dyDescent="0.25">
      <c r="A347" t="s">
        <v>716</v>
      </c>
      <c r="B347" t="s">
        <v>376</v>
      </c>
      <c r="C347" t="s">
        <v>377</v>
      </c>
      <c r="D347" t="s">
        <v>378</v>
      </c>
      <c r="E347" t="s">
        <v>338</v>
      </c>
      <c r="F347" t="s">
        <v>388</v>
      </c>
      <c r="I347">
        <v>1</v>
      </c>
      <c r="K347">
        <v>1</v>
      </c>
      <c r="O347" t="s">
        <v>379</v>
      </c>
      <c r="P347" t="s">
        <v>389</v>
      </c>
      <c r="Q347">
        <v>1</v>
      </c>
    </row>
    <row r="348" spans="1:19" x14ac:dyDescent="0.25">
      <c r="A348" t="s">
        <v>716</v>
      </c>
      <c r="B348" t="s">
        <v>380</v>
      </c>
      <c r="C348" t="s">
        <v>381</v>
      </c>
      <c r="D348" t="s">
        <v>382</v>
      </c>
      <c r="E348" t="s">
        <v>338</v>
      </c>
      <c r="F348" t="s">
        <v>388</v>
      </c>
      <c r="I348">
        <v>1</v>
      </c>
      <c r="K348">
        <v>1</v>
      </c>
      <c r="O348" t="s">
        <v>383</v>
      </c>
      <c r="P348" t="s">
        <v>389</v>
      </c>
      <c r="Q348">
        <v>1</v>
      </c>
    </row>
    <row r="349" spans="1:19" x14ac:dyDescent="0.25">
      <c r="A349" t="s">
        <v>716</v>
      </c>
      <c r="B349" t="s">
        <v>384</v>
      </c>
      <c r="C349" t="s">
        <v>385</v>
      </c>
      <c r="D349" t="s">
        <v>386</v>
      </c>
      <c r="E349" t="s">
        <v>338</v>
      </c>
      <c r="F349" t="s">
        <v>388</v>
      </c>
      <c r="I349">
        <v>1</v>
      </c>
      <c r="K349">
        <v>1</v>
      </c>
      <c r="O349" t="s">
        <v>387</v>
      </c>
      <c r="P349" t="s">
        <v>389</v>
      </c>
      <c r="Q349">
        <v>1</v>
      </c>
    </row>
    <row r="350" spans="1:19" x14ac:dyDescent="0.25">
      <c r="A350" t="s">
        <v>716</v>
      </c>
      <c r="B350" t="s">
        <v>336</v>
      </c>
      <c r="C350" t="s">
        <v>773</v>
      </c>
      <c r="D350" t="s">
        <v>337</v>
      </c>
      <c r="E350" t="s">
        <v>338</v>
      </c>
      <c r="I350">
        <v>1</v>
      </c>
      <c r="K350">
        <v>1</v>
      </c>
      <c r="O350" t="s">
        <v>339</v>
      </c>
      <c r="P350" t="s">
        <v>340</v>
      </c>
      <c r="Q350">
        <v>1</v>
      </c>
      <c r="R350" t="s">
        <v>436</v>
      </c>
      <c r="S350">
        <v>1</v>
      </c>
    </row>
    <row r="351" spans="1:19" x14ac:dyDescent="0.25">
      <c r="A351" t="s">
        <v>716</v>
      </c>
      <c r="B351" t="s">
        <v>336</v>
      </c>
      <c r="C351" t="s">
        <v>347</v>
      </c>
      <c r="D351" t="s">
        <v>348</v>
      </c>
      <c r="E351" t="s">
        <v>391</v>
      </c>
      <c r="I351">
        <v>1</v>
      </c>
      <c r="K351">
        <v>1</v>
      </c>
      <c r="O351" t="s">
        <v>392</v>
      </c>
      <c r="P351" t="s">
        <v>393</v>
      </c>
      <c r="Q351">
        <v>1</v>
      </c>
      <c r="R351" t="s">
        <v>436</v>
      </c>
      <c r="S351">
        <v>1</v>
      </c>
    </row>
    <row r="352" spans="1:19" x14ac:dyDescent="0.25">
      <c r="A352" t="s">
        <v>716</v>
      </c>
      <c r="B352" t="s">
        <v>336</v>
      </c>
      <c r="C352" t="s">
        <v>350</v>
      </c>
      <c r="D352" t="s">
        <v>351</v>
      </c>
      <c r="E352" t="s">
        <v>391</v>
      </c>
      <c r="I352">
        <v>1</v>
      </c>
      <c r="K352">
        <v>1</v>
      </c>
      <c r="O352" t="s">
        <v>394</v>
      </c>
      <c r="P352" t="s">
        <v>393</v>
      </c>
      <c r="Q352">
        <v>1</v>
      </c>
      <c r="R352" t="s">
        <v>436</v>
      </c>
      <c r="S352">
        <v>1</v>
      </c>
    </row>
    <row r="353" spans="1:19" x14ac:dyDescent="0.25">
      <c r="A353" t="s">
        <v>716</v>
      </c>
      <c r="B353" t="s">
        <v>336</v>
      </c>
      <c r="C353" t="s">
        <v>353</v>
      </c>
      <c r="D353" t="s">
        <v>354</v>
      </c>
      <c r="E353" t="s">
        <v>391</v>
      </c>
      <c r="I353">
        <v>1</v>
      </c>
      <c r="K353">
        <v>1</v>
      </c>
      <c r="O353" t="s">
        <v>395</v>
      </c>
      <c r="P353" t="s">
        <v>393</v>
      </c>
      <c r="Q353">
        <v>1</v>
      </c>
      <c r="R353" t="s">
        <v>436</v>
      </c>
      <c r="S353">
        <v>1</v>
      </c>
    </row>
    <row r="354" spans="1:19" x14ac:dyDescent="0.25">
      <c r="A354" t="s">
        <v>716</v>
      </c>
      <c r="B354" t="s">
        <v>336</v>
      </c>
      <c r="C354" t="s">
        <v>356</v>
      </c>
      <c r="D354" t="s">
        <v>357</v>
      </c>
      <c r="E354" t="s">
        <v>391</v>
      </c>
      <c r="I354">
        <v>1</v>
      </c>
      <c r="K354">
        <v>1</v>
      </c>
      <c r="O354" t="s">
        <v>396</v>
      </c>
      <c r="P354" t="s">
        <v>393</v>
      </c>
      <c r="Q354">
        <v>1</v>
      </c>
      <c r="R354" t="s">
        <v>436</v>
      </c>
      <c r="S354">
        <v>1</v>
      </c>
    </row>
    <row r="355" spans="1:19" x14ac:dyDescent="0.25">
      <c r="A355" t="s">
        <v>716</v>
      </c>
      <c r="B355" t="s">
        <v>359</v>
      </c>
      <c r="C355" t="s">
        <v>360</v>
      </c>
      <c r="D355" t="s">
        <v>361</v>
      </c>
      <c r="E355" t="s">
        <v>391</v>
      </c>
      <c r="I355">
        <v>1</v>
      </c>
      <c r="K355">
        <v>1</v>
      </c>
      <c r="O355" t="s">
        <v>397</v>
      </c>
      <c r="P355" t="s">
        <v>393</v>
      </c>
      <c r="Q355">
        <v>1</v>
      </c>
      <c r="R355" t="s">
        <v>436</v>
      </c>
      <c r="S355">
        <v>1</v>
      </c>
    </row>
    <row r="356" spans="1:19" x14ac:dyDescent="0.25">
      <c r="A356" t="s">
        <v>716</v>
      </c>
      <c r="B356" t="s">
        <v>372</v>
      </c>
      <c r="C356" t="s">
        <v>373</v>
      </c>
      <c r="D356" t="s">
        <v>374</v>
      </c>
      <c r="E356" t="s">
        <v>391</v>
      </c>
      <c r="I356">
        <v>1</v>
      </c>
      <c r="K356">
        <v>1</v>
      </c>
      <c r="O356" t="s">
        <v>398</v>
      </c>
      <c r="P356" t="s">
        <v>393</v>
      </c>
      <c r="Q356">
        <v>1</v>
      </c>
      <c r="R356" t="s">
        <v>436</v>
      </c>
      <c r="S356">
        <v>1</v>
      </c>
    </row>
    <row r="357" spans="1:19" x14ac:dyDescent="0.25">
      <c r="A357" t="s">
        <v>716</v>
      </c>
      <c r="B357" t="s">
        <v>376</v>
      </c>
      <c r="C357" t="s">
        <v>377</v>
      </c>
      <c r="D357" t="s">
        <v>378</v>
      </c>
      <c r="E357" t="s">
        <v>391</v>
      </c>
      <c r="I357">
        <v>1</v>
      </c>
      <c r="K357">
        <v>1</v>
      </c>
      <c r="O357" t="s">
        <v>399</v>
      </c>
      <c r="P357" t="s">
        <v>393</v>
      </c>
      <c r="Q357">
        <v>1</v>
      </c>
      <c r="R357" t="s">
        <v>436</v>
      </c>
      <c r="S357">
        <v>1</v>
      </c>
    </row>
    <row r="358" spans="1:19" x14ac:dyDescent="0.25">
      <c r="A358" t="s">
        <v>716</v>
      </c>
      <c r="B358" t="s">
        <v>380</v>
      </c>
      <c r="C358" t="s">
        <v>381</v>
      </c>
      <c r="D358" t="s">
        <v>382</v>
      </c>
      <c r="E358" t="s">
        <v>391</v>
      </c>
      <c r="I358">
        <v>1</v>
      </c>
      <c r="K358">
        <v>1</v>
      </c>
      <c r="O358" t="s">
        <v>400</v>
      </c>
      <c r="P358" t="s">
        <v>393</v>
      </c>
      <c r="Q358">
        <v>1</v>
      </c>
      <c r="R358" t="s">
        <v>436</v>
      </c>
      <c r="S358">
        <v>1</v>
      </c>
    </row>
    <row r="359" spans="1:19" x14ac:dyDescent="0.25">
      <c r="A359" t="s">
        <v>716</v>
      </c>
      <c r="B359" t="s">
        <v>384</v>
      </c>
      <c r="C359" t="s">
        <v>385</v>
      </c>
      <c r="D359" t="s">
        <v>386</v>
      </c>
      <c r="E359" t="s">
        <v>391</v>
      </c>
      <c r="I359">
        <v>1</v>
      </c>
      <c r="K359">
        <v>1</v>
      </c>
      <c r="O359" t="s">
        <v>401</v>
      </c>
      <c r="P359" t="s">
        <v>393</v>
      </c>
      <c r="Q359">
        <v>1</v>
      </c>
      <c r="R359" t="s">
        <v>436</v>
      </c>
      <c r="S359">
        <v>1</v>
      </c>
    </row>
    <row r="360" spans="1:19" x14ac:dyDescent="0.25">
      <c r="A360" t="s">
        <v>716</v>
      </c>
      <c r="B360" t="s">
        <v>402</v>
      </c>
      <c r="C360" t="s">
        <v>403</v>
      </c>
      <c r="D360" t="s">
        <v>404</v>
      </c>
      <c r="E360" t="s">
        <v>391</v>
      </c>
      <c r="I360">
        <v>1</v>
      </c>
      <c r="K360">
        <v>1</v>
      </c>
      <c r="O360" t="s">
        <v>405</v>
      </c>
      <c r="P360" t="s">
        <v>393</v>
      </c>
      <c r="Q360">
        <v>1</v>
      </c>
      <c r="R360" t="s">
        <v>436</v>
      </c>
      <c r="S360">
        <v>1</v>
      </c>
    </row>
    <row r="361" spans="1:19" x14ac:dyDescent="0.25">
      <c r="A361" t="s">
        <v>716</v>
      </c>
      <c r="B361" t="s">
        <v>406</v>
      </c>
      <c r="C361" t="s">
        <v>407</v>
      </c>
      <c r="D361" t="s">
        <v>408</v>
      </c>
      <c r="E361" t="s">
        <v>391</v>
      </c>
      <c r="I361">
        <v>1</v>
      </c>
      <c r="K361">
        <v>1</v>
      </c>
      <c r="O361" t="s">
        <v>409</v>
      </c>
      <c r="P361" t="s">
        <v>393</v>
      </c>
      <c r="Q361">
        <v>1</v>
      </c>
      <c r="R361" t="s">
        <v>436</v>
      </c>
      <c r="S361">
        <v>1</v>
      </c>
    </row>
    <row r="362" spans="1:19" x14ac:dyDescent="0.25">
      <c r="A362" t="s">
        <v>716</v>
      </c>
      <c r="B362" t="s">
        <v>410</v>
      </c>
      <c r="C362" t="s">
        <v>411</v>
      </c>
      <c r="D362" t="s">
        <v>412</v>
      </c>
      <c r="E362" t="s">
        <v>391</v>
      </c>
      <c r="I362">
        <v>1</v>
      </c>
      <c r="K362">
        <v>1</v>
      </c>
      <c r="O362" t="s">
        <v>413</v>
      </c>
      <c r="P362" t="s">
        <v>393</v>
      </c>
      <c r="Q362">
        <v>1</v>
      </c>
      <c r="R362" t="s">
        <v>436</v>
      </c>
      <c r="S362">
        <v>1</v>
      </c>
    </row>
    <row r="363" spans="1:19" x14ac:dyDescent="0.25">
      <c r="A363" t="s">
        <v>716</v>
      </c>
      <c r="B363" t="s">
        <v>414</v>
      </c>
      <c r="C363" t="s">
        <v>415</v>
      </c>
      <c r="D363" t="s">
        <v>416</v>
      </c>
      <c r="E363" t="s">
        <v>391</v>
      </c>
      <c r="I363">
        <v>1</v>
      </c>
      <c r="K363">
        <v>1</v>
      </c>
      <c r="O363" t="s">
        <v>417</v>
      </c>
      <c r="P363" t="s">
        <v>393</v>
      </c>
      <c r="Q363">
        <v>1</v>
      </c>
      <c r="R363" t="s">
        <v>436</v>
      </c>
      <c r="S363">
        <v>1</v>
      </c>
    </row>
    <row r="364" spans="1:19" x14ac:dyDescent="0.25">
      <c r="A364" t="s">
        <v>716</v>
      </c>
      <c r="B364" t="s">
        <v>418</v>
      </c>
      <c r="C364" t="s">
        <v>419</v>
      </c>
      <c r="D364" t="s">
        <v>420</v>
      </c>
      <c r="E364" t="s">
        <v>391</v>
      </c>
      <c r="I364">
        <v>1</v>
      </c>
      <c r="K364">
        <v>1</v>
      </c>
      <c r="O364" t="s">
        <v>421</v>
      </c>
      <c r="P364" t="s">
        <v>393</v>
      </c>
      <c r="Q364">
        <v>1</v>
      </c>
      <c r="R364" t="s">
        <v>436</v>
      </c>
      <c r="S364">
        <v>1</v>
      </c>
    </row>
    <row r="365" spans="1:19" x14ac:dyDescent="0.25">
      <c r="A365" t="s">
        <v>716</v>
      </c>
      <c r="B365" t="s">
        <v>336</v>
      </c>
      <c r="C365" t="s">
        <v>350</v>
      </c>
      <c r="D365" t="s">
        <v>351</v>
      </c>
      <c r="E365" s="2" t="s">
        <v>422</v>
      </c>
      <c r="I365">
        <v>1</v>
      </c>
      <c r="K365">
        <v>1</v>
      </c>
      <c r="O365" t="s">
        <v>423</v>
      </c>
      <c r="P365" t="s">
        <v>393</v>
      </c>
      <c r="Q365">
        <v>1</v>
      </c>
      <c r="R365" t="s">
        <v>436</v>
      </c>
      <c r="S365">
        <v>1</v>
      </c>
    </row>
    <row r="366" spans="1:19" x14ac:dyDescent="0.25">
      <c r="A366" t="s">
        <v>716</v>
      </c>
      <c r="B366" t="s">
        <v>336</v>
      </c>
      <c r="C366" t="s">
        <v>353</v>
      </c>
      <c r="D366" t="s">
        <v>354</v>
      </c>
      <c r="E366" s="2" t="s">
        <v>422</v>
      </c>
      <c r="I366">
        <v>1</v>
      </c>
      <c r="K366">
        <v>1</v>
      </c>
      <c r="O366" t="s">
        <v>424</v>
      </c>
      <c r="P366" t="s">
        <v>393</v>
      </c>
      <c r="Q366">
        <v>1</v>
      </c>
      <c r="R366" t="s">
        <v>436</v>
      </c>
      <c r="S366">
        <v>1</v>
      </c>
    </row>
    <row r="367" spans="1:19" x14ac:dyDescent="0.25">
      <c r="A367" t="s">
        <v>716</v>
      </c>
      <c r="B367" t="s">
        <v>336</v>
      </c>
      <c r="C367" t="s">
        <v>356</v>
      </c>
      <c r="D367" t="s">
        <v>357</v>
      </c>
      <c r="E367" s="2" t="s">
        <v>422</v>
      </c>
      <c r="I367">
        <v>1</v>
      </c>
      <c r="K367">
        <v>1</v>
      </c>
      <c r="O367" t="s">
        <v>425</v>
      </c>
      <c r="P367" t="s">
        <v>393</v>
      </c>
      <c r="Q367">
        <v>1</v>
      </c>
      <c r="R367" t="s">
        <v>436</v>
      </c>
      <c r="S367">
        <v>1</v>
      </c>
    </row>
    <row r="368" spans="1:19" x14ac:dyDescent="0.25">
      <c r="A368" t="s">
        <v>716</v>
      </c>
      <c r="B368" t="s">
        <v>359</v>
      </c>
      <c r="C368" t="s">
        <v>360</v>
      </c>
      <c r="D368" t="s">
        <v>361</v>
      </c>
      <c r="E368" s="2" t="s">
        <v>422</v>
      </c>
      <c r="I368">
        <v>1</v>
      </c>
      <c r="K368">
        <v>1</v>
      </c>
      <c r="O368" t="s">
        <v>426</v>
      </c>
      <c r="P368" t="s">
        <v>393</v>
      </c>
      <c r="Q368">
        <v>1</v>
      </c>
      <c r="R368" t="s">
        <v>436</v>
      </c>
      <c r="S368">
        <v>1</v>
      </c>
    </row>
    <row r="369" spans="1:19" x14ac:dyDescent="0.25">
      <c r="A369" t="s">
        <v>716</v>
      </c>
      <c r="B369" t="s">
        <v>372</v>
      </c>
      <c r="C369" t="s">
        <v>373</v>
      </c>
      <c r="D369" t="s">
        <v>374</v>
      </c>
      <c r="E369" s="2" t="s">
        <v>422</v>
      </c>
      <c r="I369">
        <v>1</v>
      </c>
      <c r="K369">
        <v>1</v>
      </c>
      <c r="O369" t="s">
        <v>427</v>
      </c>
      <c r="P369" t="s">
        <v>393</v>
      </c>
      <c r="Q369">
        <v>1</v>
      </c>
      <c r="R369" t="s">
        <v>436</v>
      </c>
      <c r="S369">
        <v>1</v>
      </c>
    </row>
    <row r="370" spans="1:19" x14ac:dyDescent="0.25">
      <c r="A370" t="s">
        <v>716</v>
      </c>
      <c r="B370" t="s">
        <v>376</v>
      </c>
      <c r="C370" t="s">
        <v>377</v>
      </c>
      <c r="D370" t="s">
        <v>378</v>
      </c>
      <c r="E370" s="2" t="s">
        <v>422</v>
      </c>
      <c r="I370">
        <v>1</v>
      </c>
      <c r="K370">
        <v>1</v>
      </c>
      <c r="O370" t="s">
        <v>428</v>
      </c>
      <c r="P370" t="s">
        <v>393</v>
      </c>
      <c r="Q370">
        <v>1</v>
      </c>
      <c r="R370" t="s">
        <v>436</v>
      </c>
      <c r="S370">
        <v>1</v>
      </c>
    </row>
    <row r="371" spans="1:19" x14ac:dyDescent="0.25">
      <c r="A371" t="s">
        <v>716</v>
      </c>
      <c r="B371" t="s">
        <v>380</v>
      </c>
      <c r="C371" t="s">
        <v>381</v>
      </c>
      <c r="D371" t="s">
        <v>382</v>
      </c>
      <c r="E371" s="2" t="s">
        <v>422</v>
      </c>
      <c r="I371">
        <v>1</v>
      </c>
      <c r="K371">
        <v>1</v>
      </c>
      <c r="O371" t="s">
        <v>429</v>
      </c>
      <c r="P371" t="s">
        <v>393</v>
      </c>
      <c r="Q371">
        <v>1</v>
      </c>
      <c r="R371" t="s">
        <v>436</v>
      </c>
      <c r="S371">
        <v>1</v>
      </c>
    </row>
    <row r="372" spans="1:19" x14ac:dyDescent="0.25">
      <c r="A372" t="s">
        <v>716</v>
      </c>
      <c r="B372" t="s">
        <v>384</v>
      </c>
      <c r="C372" t="s">
        <v>385</v>
      </c>
      <c r="D372" t="s">
        <v>386</v>
      </c>
      <c r="E372" s="2" t="s">
        <v>422</v>
      </c>
      <c r="I372">
        <v>1</v>
      </c>
      <c r="K372">
        <v>1</v>
      </c>
      <c r="O372" t="s">
        <v>430</v>
      </c>
      <c r="P372" t="s">
        <v>393</v>
      </c>
      <c r="Q372">
        <v>1</v>
      </c>
      <c r="R372" t="s">
        <v>436</v>
      </c>
      <c r="S372">
        <v>1</v>
      </c>
    </row>
    <row r="373" spans="1:19" x14ac:dyDescent="0.25">
      <c r="A373" t="s">
        <v>716</v>
      </c>
      <c r="B373" t="s">
        <v>402</v>
      </c>
      <c r="C373" t="s">
        <v>403</v>
      </c>
      <c r="D373" t="s">
        <v>404</v>
      </c>
      <c r="E373" s="2" t="s">
        <v>422</v>
      </c>
      <c r="I373">
        <v>1</v>
      </c>
      <c r="K373">
        <v>1</v>
      </c>
      <c r="O373" t="s">
        <v>431</v>
      </c>
      <c r="P373" t="s">
        <v>393</v>
      </c>
      <c r="Q373">
        <v>1</v>
      </c>
      <c r="R373" t="s">
        <v>436</v>
      </c>
      <c r="S373">
        <v>1</v>
      </c>
    </row>
    <row r="374" spans="1:19" x14ac:dyDescent="0.25">
      <c r="A374" t="s">
        <v>716</v>
      </c>
      <c r="B374" t="s">
        <v>406</v>
      </c>
      <c r="C374" t="s">
        <v>407</v>
      </c>
      <c r="D374" t="s">
        <v>408</v>
      </c>
      <c r="E374" s="2" t="s">
        <v>422</v>
      </c>
      <c r="I374">
        <v>1</v>
      </c>
      <c r="K374">
        <v>1</v>
      </c>
      <c r="O374" t="s">
        <v>432</v>
      </c>
      <c r="P374" t="s">
        <v>393</v>
      </c>
      <c r="Q374">
        <v>1</v>
      </c>
      <c r="R374" t="s">
        <v>436</v>
      </c>
      <c r="S374">
        <v>1</v>
      </c>
    </row>
    <row r="375" spans="1:19" x14ac:dyDescent="0.25">
      <c r="A375" t="s">
        <v>716</v>
      </c>
      <c r="B375" t="s">
        <v>410</v>
      </c>
      <c r="C375" t="s">
        <v>411</v>
      </c>
      <c r="D375" t="s">
        <v>412</v>
      </c>
      <c r="E375" s="2" t="s">
        <v>422</v>
      </c>
      <c r="I375">
        <v>1</v>
      </c>
      <c r="K375">
        <v>1</v>
      </c>
      <c r="O375" t="s">
        <v>433</v>
      </c>
      <c r="P375" t="s">
        <v>393</v>
      </c>
      <c r="Q375">
        <v>1</v>
      </c>
      <c r="R375" t="s">
        <v>436</v>
      </c>
      <c r="S375">
        <v>1</v>
      </c>
    </row>
    <row r="376" spans="1:19" x14ac:dyDescent="0.25">
      <c r="A376" t="s">
        <v>716</v>
      </c>
      <c r="B376" t="s">
        <v>414</v>
      </c>
      <c r="C376" t="s">
        <v>415</v>
      </c>
      <c r="D376" t="s">
        <v>416</v>
      </c>
      <c r="E376" s="2" t="s">
        <v>422</v>
      </c>
      <c r="I376">
        <v>1</v>
      </c>
      <c r="K376">
        <v>1</v>
      </c>
      <c r="O376" t="s">
        <v>434</v>
      </c>
      <c r="P376" t="s">
        <v>393</v>
      </c>
      <c r="Q376">
        <v>1</v>
      </c>
      <c r="R376" t="s">
        <v>436</v>
      </c>
      <c r="S376">
        <v>1</v>
      </c>
    </row>
    <row r="377" spans="1:19" x14ac:dyDescent="0.25">
      <c r="A377" t="s">
        <v>716</v>
      </c>
      <c r="B377" t="s">
        <v>418</v>
      </c>
      <c r="C377" t="s">
        <v>419</v>
      </c>
      <c r="D377" t="s">
        <v>420</v>
      </c>
      <c r="E377" s="2" t="s">
        <v>422</v>
      </c>
      <c r="I377">
        <v>1</v>
      </c>
      <c r="K377">
        <v>1</v>
      </c>
      <c r="O377" t="s">
        <v>435</v>
      </c>
      <c r="P377" t="s">
        <v>393</v>
      </c>
      <c r="Q377">
        <v>1</v>
      </c>
      <c r="R377" t="s">
        <v>436</v>
      </c>
      <c r="S377">
        <v>1</v>
      </c>
    </row>
    <row r="378" spans="1:19" x14ac:dyDescent="0.25">
      <c r="A378" t="s">
        <v>716</v>
      </c>
      <c r="B378" t="s">
        <v>336</v>
      </c>
      <c r="C378" t="s">
        <v>773</v>
      </c>
      <c r="D378" t="s">
        <v>337</v>
      </c>
      <c r="E378" t="s">
        <v>338</v>
      </c>
      <c r="F378" t="s">
        <v>388</v>
      </c>
      <c r="I378">
        <v>1</v>
      </c>
      <c r="K378">
        <v>1</v>
      </c>
      <c r="O378" t="s">
        <v>339</v>
      </c>
      <c r="P378" t="s">
        <v>340</v>
      </c>
      <c r="Q378">
        <v>1</v>
      </c>
    </row>
    <row r="379" spans="1:19" x14ac:dyDescent="0.25">
      <c r="A379" t="s">
        <v>716</v>
      </c>
      <c r="B379" t="s">
        <v>336</v>
      </c>
      <c r="C379" t="s">
        <v>347</v>
      </c>
      <c r="D379" t="s">
        <v>348</v>
      </c>
      <c r="E379" t="s">
        <v>391</v>
      </c>
      <c r="F379" t="s">
        <v>388</v>
      </c>
      <c r="I379">
        <v>1</v>
      </c>
      <c r="K379">
        <v>1</v>
      </c>
      <c r="O379" t="s">
        <v>392</v>
      </c>
      <c r="P379" t="s">
        <v>393</v>
      </c>
      <c r="Q379">
        <v>1</v>
      </c>
    </row>
    <row r="380" spans="1:19" x14ac:dyDescent="0.25">
      <c r="A380" t="s">
        <v>716</v>
      </c>
      <c r="B380" t="s">
        <v>336</v>
      </c>
      <c r="C380" t="s">
        <v>350</v>
      </c>
      <c r="D380" t="s">
        <v>351</v>
      </c>
      <c r="E380" t="s">
        <v>391</v>
      </c>
      <c r="F380" t="s">
        <v>388</v>
      </c>
      <c r="I380">
        <v>1</v>
      </c>
      <c r="K380">
        <v>1</v>
      </c>
      <c r="O380" t="s">
        <v>394</v>
      </c>
      <c r="P380" t="s">
        <v>393</v>
      </c>
      <c r="Q380">
        <v>1</v>
      </c>
    </row>
    <row r="381" spans="1:19" x14ac:dyDescent="0.25">
      <c r="A381" t="s">
        <v>716</v>
      </c>
      <c r="B381" t="s">
        <v>336</v>
      </c>
      <c r="C381" t="s">
        <v>353</v>
      </c>
      <c r="D381" t="s">
        <v>354</v>
      </c>
      <c r="E381" t="s">
        <v>391</v>
      </c>
      <c r="F381" t="s">
        <v>388</v>
      </c>
      <c r="I381">
        <v>1</v>
      </c>
      <c r="K381">
        <v>1</v>
      </c>
      <c r="O381" t="s">
        <v>395</v>
      </c>
      <c r="P381" t="s">
        <v>393</v>
      </c>
      <c r="Q381">
        <v>1</v>
      </c>
    </row>
    <row r="382" spans="1:19" x14ac:dyDescent="0.25">
      <c r="A382" t="s">
        <v>716</v>
      </c>
      <c r="B382" t="s">
        <v>336</v>
      </c>
      <c r="C382" t="s">
        <v>356</v>
      </c>
      <c r="D382" t="s">
        <v>357</v>
      </c>
      <c r="E382" t="s">
        <v>391</v>
      </c>
      <c r="F382" t="s">
        <v>388</v>
      </c>
      <c r="I382">
        <v>1</v>
      </c>
      <c r="K382">
        <v>1</v>
      </c>
      <c r="O382" t="s">
        <v>396</v>
      </c>
      <c r="P382" t="s">
        <v>393</v>
      </c>
      <c r="Q382">
        <v>1</v>
      </c>
    </row>
    <row r="383" spans="1:19" x14ac:dyDescent="0.25">
      <c r="A383" t="s">
        <v>716</v>
      </c>
      <c r="B383" t="s">
        <v>359</v>
      </c>
      <c r="C383" t="s">
        <v>360</v>
      </c>
      <c r="D383" t="s">
        <v>361</v>
      </c>
      <c r="E383" t="s">
        <v>391</v>
      </c>
      <c r="F383" t="s">
        <v>388</v>
      </c>
      <c r="I383">
        <v>1</v>
      </c>
      <c r="K383">
        <v>1</v>
      </c>
      <c r="O383" t="s">
        <v>397</v>
      </c>
      <c r="P383" t="s">
        <v>393</v>
      </c>
      <c r="Q383">
        <v>1</v>
      </c>
    </row>
    <row r="384" spans="1:19" x14ac:dyDescent="0.25">
      <c r="A384" t="s">
        <v>716</v>
      </c>
      <c r="B384" t="s">
        <v>372</v>
      </c>
      <c r="C384" t="s">
        <v>373</v>
      </c>
      <c r="D384" t="s">
        <v>374</v>
      </c>
      <c r="E384" t="s">
        <v>391</v>
      </c>
      <c r="F384" t="s">
        <v>388</v>
      </c>
      <c r="I384">
        <v>1</v>
      </c>
      <c r="K384">
        <v>1</v>
      </c>
      <c r="O384" t="s">
        <v>398</v>
      </c>
      <c r="P384" t="s">
        <v>393</v>
      </c>
      <c r="Q384">
        <v>1</v>
      </c>
    </row>
    <row r="385" spans="1:17" x14ac:dyDescent="0.25">
      <c r="A385" t="s">
        <v>716</v>
      </c>
      <c r="B385" t="s">
        <v>376</v>
      </c>
      <c r="C385" t="s">
        <v>377</v>
      </c>
      <c r="D385" t="s">
        <v>378</v>
      </c>
      <c r="E385" t="s">
        <v>391</v>
      </c>
      <c r="F385" t="s">
        <v>388</v>
      </c>
      <c r="I385">
        <v>1</v>
      </c>
      <c r="K385">
        <v>1</v>
      </c>
      <c r="O385" t="s">
        <v>399</v>
      </c>
      <c r="P385" t="s">
        <v>393</v>
      </c>
      <c r="Q385">
        <v>1</v>
      </c>
    </row>
    <row r="386" spans="1:17" x14ac:dyDescent="0.25">
      <c r="A386" t="s">
        <v>716</v>
      </c>
      <c r="B386" t="s">
        <v>380</v>
      </c>
      <c r="C386" t="s">
        <v>381</v>
      </c>
      <c r="D386" t="s">
        <v>382</v>
      </c>
      <c r="E386" t="s">
        <v>391</v>
      </c>
      <c r="F386" t="s">
        <v>388</v>
      </c>
      <c r="I386">
        <v>1</v>
      </c>
      <c r="K386">
        <v>1</v>
      </c>
      <c r="O386" t="s">
        <v>400</v>
      </c>
      <c r="P386" t="s">
        <v>393</v>
      </c>
      <c r="Q386">
        <v>1</v>
      </c>
    </row>
    <row r="387" spans="1:17" x14ac:dyDescent="0.25">
      <c r="A387" t="s">
        <v>716</v>
      </c>
      <c r="B387" t="s">
        <v>384</v>
      </c>
      <c r="C387" t="s">
        <v>385</v>
      </c>
      <c r="D387" t="s">
        <v>386</v>
      </c>
      <c r="E387" t="s">
        <v>391</v>
      </c>
      <c r="F387" t="s">
        <v>388</v>
      </c>
      <c r="I387">
        <v>1</v>
      </c>
      <c r="K387">
        <v>1</v>
      </c>
      <c r="O387" t="s">
        <v>401</v>
      </c>
      <c r="P387" t="s">
        <v>393</v>
      </c>
      <c r="Q387">
        <v>1</v>
      </c>
    </row>
    <row r="388" spans="1:17" x14ac:dyDescent="0.25">
      <c r="A388" t="s">
        <v>716</v>
      </c>
      <c r="B388" t="s">
        <v>402</v>
      </c>
      <c r="C388" t="s">
        <v>403</v>
      </c>
      <c r="D388" t="s">
        <v>404</v>
      </c>
      <c r="E388" t="s">
        <v>391</v>
      </c>
      <c r="F388" t="s">
        <v>388</v>
      </c>
      <c r="I388">
        <v>1</v>
      </c>
      <c r="K388">
        <v>1</v>
      </c>
      <c r="O388" t="s">
        <v>405</v>
      </c>
      <c r="P388" t="s">
        <v>393</v>
      </c>
      <c r="Q388">
        <v>1</v>
      </c>
    </row>
    <row r="389" spans="1:17" x14ac:dyDescent="0.25">
      <c r="A389" t="s">
        <v>716</v>
      </c>
      <c r="B389" t="s">
        <v>406</v>
      </c>
      <c r="C389" t="s">
        <v>407</v>
      </c>
      <c r="D389" t="s">
        <v>408</v>
      </c>
      <c r="E389" t="s">
        <v>391</v>
      </c>
      <c r="F389" t="s">
        <v>388</v>
      </c>
      <c r="I389">
        <v>1</v>
      </c>
      <c r="K389">
        <v>1</v>
      </c>
      <c r="O389" t="s">
        <v>409</v>
      </c>
      <c r="P389" t="s">
        <v>393</v>
      </c>
      <c r="Q389">
        <v>1</v>
      </c>
    </row>
    <row r="390" spans="1:17" x14ac:dyDescent="0.25">
      <c r="A390" t="s">
        <v>716</v>
      </c>
      <c r="B390" t="s">
        <v>410</v>
      </c>
      <c r="C390" t="s">
        <v>411</v>
      </c>
      <c r="D390" t="s">
        <v>412</v>
      </c>
      <c r="E390" t="s">
        <v>391</v>
      </c>
      <c r="F390" t="s">
        <v>388</v>
      </c>
      <c r="I390">
        <v>1</v>
      </c>
      <c r="K390">
        <v>1</v>
      </c>
      <c r="O390" t="s">
        <v>413</v>
      </c>
      <c r="P390" t="s">
        <v>393</v>
      </c>
      <c r="Q390">
        <v>1</v>
      </c>
    </row>
    <row r="391" spans="1:17" x14ac:dyDescent="0.25">
      <c r="A391" t="s">
        <v>716</v>
      </c>
      <c r="B391" t="s">
        <v>414</v>
      </c>
      <c r="C391" t="s">
        <v>415</v>
      </c>
      <c r="D391" t="s">
        <v>416</v>
      </c>
      <c r="E391" t="s">
        <v>391</v>
      </c>
      <c r="F391" t="s">
        <v>388</v>
      </c>
      <c r="I391">
        <v>1</v>
      </c>
      <c r="K391">
        <v>1</v>
      </c>
      <c r="O391" t="s">
        <v>417</v>
      </c>
      <c r="P391" t="s">
        <v>393</v>
      </c>
      <c r="Q391">
        <v>1</v>
      </c>
    </row>
    <row r="392" spans="1:17" x14ac:dyDescent="0.25">
      <c r="A392" t="s">
        <v>716</v>
      </c>
      <c r="B392" t="s">
        <v>418</v>
      </c>
      <c r="C392" t="s">
        <v>419</v>
      </c>
      <c r="D392" t="s">
        <v>420</v>
      </c>
      <c r="E392" t="s">
        <v>391</v>
      </c>
      <c r="F392" t="s">
        <v>388</v>
      </c>
      <c r="I392">
        <v>1</v>
      </c>
      <c r="K392">
        <v>1</v>
      </c>
      <c r="O392" t="s">
        <v>421</v>
      </c>
      <c r="P392" t="s">
        <v>393</v>
      </c>
      <c r="Q392">
        <v>1</v>
      </c>
    </row>
    <row r="393" spans="1:17" x14ac:dyDescent="0.25">
      <c r="A393" t="s">
        <v>716</v>
      </c>
      <c r="B393" t="s">
        <v>336</v>
      </c>
      <c r="C393" t="s">
        <v>350</v>
      </c>
      <c r="D393" t="s">
        <v>351</v>
      </c>
      <c r="E393" s="2" t="s">
        <v>422</v>
      </c>
      <c r="F393" t="s">
        <v>388</v>
      </c>
      <c r="I393">
        <v>1</v>
      </c>
      <c r="K393">
        <v>1</v>
      </c>
      <c r="O393" t="s">
        <v>423</v>
      </c>
      <c r="P393" t="s">
        <v>393</v>
      </c>
      <c r="Q393">
        <v>1</v>
      </c>
    </row>
    <row r="394" spans="1:17" x14ac:dyDescent="0.25">
      <c r="A394" t="s">
        <v>716</v>
      </c>
      <c r="B394" t="s">
        <v>336</v>
      </c>
      <c r="C394" t="s">
        <v>353</v>
      </c>
      <c r="D394" t="s">
        <v>354</v>
      </c>
      <c r="E394" s="2" t="s">
        <v>422</v>
      </c>
      <c r="F394" t="s">
        <v>388</v>
      </c>
      <c r="I394">
        <v>1</v>
      </c>
      <c r="K394">
        <v>1</v>
      </c>
      <c r="O394" t="s">
        <v>424</v>
      </c>
      <c r="P394" t="s">
        <v>393</v>
      </c>
      <c r="Q394">
        <v>1</v>
      </c>
    </row>
    <row r="395" spans="1:17" x14ac:dyDescent="0.25">
      <c r="A395" t="s">
        <v>716</v>
      </c>
      <c r="B395" t="s">
        <v>336</v>
      </c>
      <c r="C395" t="s">
        <v>356</v>
      </c>
      <c r="D395" t="s">
        <v>357</v>
      </c>
      <c r="E395" s="2" t="s">
        <v>422</v>
      </c>
      <c r="F395" t="s">
        <v>388</v>
      </c>
      <c r="I395">
        <v>1</v>
      </c>
      <c r="K395">
        <v>1</v>
      </c>
      <c r="O395" t="s">
        <v>425</v>
      </c>
      <c r="P395" t="s">
        <v>393</v>
      </c>
      <c r="Q395">
        <v>1</v>
      </c>
    </row>
    <row r="396" spans="1:17" x14ac:dyDescent="0.25">
      <c r="A396" t="s">
        <v>716</v>
      </c>
      <c r="B396" t="s">
        <v>359</v>
      </c>
      <c r="C396" t="s">
        <v>360</v>
      </c>
      <c r="D396" t="s">
        <v>361</v>
      </c>
      <c r="E396" s="2" t="s">
        <v>422</v>
      </c>
      <c r="F396" t="s">
        <v>388</v>
      </c>
      <c r="I396">
        <v>1</v>
      </c>
      <c r="K396">
        <v>1</v>
      </c>
      <c r="O396" t="s">
        <v>426</v>
      </c>
      <c r="P396" t="s">
        <v>393</v>
      </c>
      <c r="Q396">
        <v>1</v>
      </c>
    </row>
    <row r="397" spans="1:17" x14ac:dyDescent="0.25">
      <c r="A397" t="s">
        <v>716</v>
      </c>
      <c r="B397" t="s">
        <v>372</v>
      </c>
      <c r="C397" t="s">
        <v>373</v>
      </c>
      <c r="D397" t="s">
        <v>374</v>
      </c>
      <c r="E397" s="2" t="s">
        <v>422</v>
      </c>
      <c r="F397" t="s">
        <v>388</v>
      </c>
      <c r="I397">
        <v>1</v>
      </c>
      <c r="K397">
        <v>1</v>
      </c>
      <c r="O397" t="s">
        <v>427</v>
      </c>
      <c r="P397" t="s">
        <v>393</v>
      </c>
      <c r="Q397">
        <v>1</v>
      </c>
    </row>
    <row r="398" spans="1:17" x14ac:dyDescent="0.25">
      <c r="A398" t="s">
        <v>716</v>
      </c>
      <c r="B398" t="s">
        <v>376</v>
      </c>
      <c r="C398" t="s">
        <v>377</v>
      </c>
      <c r="D398" t="s">
        <v>378</v>
      </c>
      <c r="E398" s="2" t="s">
        <v>422</v>
      </c>
      <c r="F398" t="s">
        <v>388</v>
      </c>
      <c r="I398">
        <v>1</v>
      </c>
      <c r="K398">
        <v>1</v>
      </c>
      <c r="O398" t="s">
        <v>428</v>
      </c>
      <c r="P398" t="s">
        <v>393</v>
      </c>
      <c r="Q398">
        <v>1</v>
      </c>
    </row>
    <row r="399" spans="1:17" x14ac:dyDescent="0.25">
      <c r="A399" t="s">
        <v>716</v>
      </c>
      <c r="B399" t="s">
        <v>380</v>
      </c>
      <c r="C399" t="s">
        <v>381</v>
      </c>
      <c r="D399" t="s">
        <v>382</v>
      </c>
      <c r="E399" s="2" t="s">
        <v>422</v>
      </c>
      <c r="F399" t="s">
        <v>388</v>
      </c>
      <c r="I399">
        <v>1</v>
      </c>
      <c r="K399">
        <v>1</v>
      </c>
      <c r="O399" t="s">
        <v>429</v>
      </c>
      <c r="P399" t="s">
        <v>393</v>
      </c>
      <c r="Q399">
        <v>1</v>
      </c>
    </row>
    <row r="400" spans="1:17" x14ac:dyDescent="0.25">
      <c r="A400" t="s">
        <v>716</v>
      </c>
      <c r="B400" t="s">
        <v>384</v>
      </c>
      <c r="C400" t="s">
        <v>385</v>
      </c>
      <c r="D400" t="s">
        <v>386</v>
      </c>
      <c r="E400" s="2" t="s">
        <v>422</v>
      </c>
      <c r="F400" t="s">
        <v>388</v>
      </c>
      <c r="I400">
        <v>1</v>
      </c>
      <c r="K400">
        <v>1</v>
      </c>
      <c r="O400" t="s">
        <v>430</v>
      </c>
      <c r="P400" t="s">
        <v>393</v>
      </c>
      <c r="Q400">
        <v>1</v>
      </c>
    </row>
    <row r="401" spans="1:17" x14ac:dyDescent="0.25">
      <c r="A401" t="s">
        <v>716</v>
      </c>
      <c r="B401" t="s">
        <v>402</v>
      </c>
      <c r="C401" t="s">
        <v>403</v>
      </c>
      <c r="D401" t="s">
        <v>404</v>
      </c>
      <c r="E401" s="2" t="s">
        <v>422</v>
      </c>
      <c r="F401" t="s">
        <v>388</v>
      </c>
      <c r="I401">
        <v>1</v>
      </c>
      <c r="K401">
        <v>1</v>
      </c>
      <c r="O401" t="s">
        <v>431</v>
      </c>
      <c r="P401" t="s">
        <v>393</v>
      </c>
      <c r="Q401">
        <v>1</v>
      </c>
    </row>
    <row r="402" spans="1:17" x14ac:dyDescent="0.25">
      <c r="A402" t="s">
        <v>716</v>
      </c>
      <c r="B402" t="s">
        <v>406</v>
      </c>
      <c r="C402" t="s">
        <v>407</v>
      </c>
      <c r="D402" t="s">
        <v>408</v>
      </c>
      <c r="E402" s="2" t="s">
        <v>422</v>
      </c>
      <c r="F402" t="s">
        <v>388</v>
      </c>
      <c r="I402">
        <v>1</v>
      </c>
      <c r="K402">
        <v>1</v>
      </c>
      <c r="O402" t="s">
        <v>432</v>
      </c>
      <c r="P402" t="s">
        <v>393</v>
      </c>
      <c r="Q402">
        <v>1</v>
      </c>
    </row>
    <row r="403" spans="1:17" x14ac:dyDescent="0.25">
      <c r="A403" t="s">
        <v>716</v>
      </c>
      <c r="B403" t="s">
        <v>410</v>
      </c>
      <c r="C403" t="s">
        <v>411</v>
      </c>
      <c r="D403" t="s">
        <v>412</v>
      </c>
      <c r="E403" s="2" t="s">
        <v>422</v>
      </c>
      <c r="F403" t="s">
        <v>388</v>
      </c>
      <c r="I403">
        <v>1</v>
      </c>
      <c r="K403">
        <v>1</v>
      </c>
      <c r="O403" t="s">
        <v>433</v>
      </c>
      <c r="P403" t="s">
        <v>393</v>
      </c>
      <c r="Q403">
        <v>1</v>
      </c>
    </row>
    <row r="404" spans="1:17" x14ac:dyDescent="0.25">
      <c r="A404" t="s">
        <v>716</v>
      </c>
      <c r="B404" t="s">
        <v>414</v>
      </c>
      <c r="C404" t="s">
        <v>415</v>
      </c>
      <c r="D404" t="s">
        <v>416</v>
      </c>
      <c r="E404" s="2" t="s">
        <v>422</v>
      </c>
      <c r="F404" t="s">
        <v>388</v>
      </c>
      <c r="I404">
        <v>1</v>
      </c>
      <c r="K404">
        <v>1</v>
      </c>
      <c r="O404" t="s">
        <v>434</v>
      </c>
      <c r="P404" t="s">
        <v>393</v>
      </c>
      <c r="Q404">
        <v>1</v>
      </c>
    </row>
    <row r="405" spans="1:17" x14ac:dyDescent="0.25">
      <c r="A405" t="s">
        <v>716</v>
      </c>
      <c r="B405" t="s">
        <v>418</v>
      </c>
      <c r="C405" t="s">
        <v>419</v>
      </c>
      <c r="D405" t="s">
        <v>420</v>
      </c>
      <c r="E405" s="2" t="s">
        <v>422</v>
      </c>
      <c r="F405" t="s">
        <v>388</v>
      </c>
      <c r="I405">
        <v>1</v>
      </c>
      <c r="K405">
        <v>1</v>
      </c>
      <c r="O405" t="s">
        <v>435</v>
      </c>
      <c r="P405" t="s">
        <v>393</v>
      </c>
      <c r="Q405">
        <v>1</v>
      </c>
    </row>
    <row r="406" spans="1:17" x14ac:dyDescent="0.25">
      <c r="A406" t="s">
        <v>755</v>
      </c>
      <c r="B406" t="s">
        <v>336</v>
      </c>
      <c r="C406" t="s">
        <v>773</v>
      </c>
      <c r="D406" t="s">
        <v>337</v>
      </c>
      <c r="E406" t="s">
        <v>338</v>
      </c>
      <c r="K406">
        <v>1</v>
      </c>
      <c r="O406" t="s">
        <v>437</v>
      </c>
      <c r="P406" t="s">
        <v>340</v>
      </c>
      <c r="Q406">
        <v>1</v>
      </c>
    </row>
    <row r="407" spans="1:17" x14ac:dyDescent="0.25">
      <c r="A407" t="s">
        <v>755</v>
      </c>
      <c r="B407" t="s">
        <v>336</v>
      </c>
      <c r="C407" t="s">
        <v>341</v>
      </c>
      <c r="D407" t="s">
        <v>342</v>
      </c>
      <c r="E407" t="s">
        <v>338</v>
      </c>
      <c r="K407">
        <v>1</v>
      </c>
      <c r="O407" t="s">
        <v>438</v>
      </c>
      <c r="P407" t="s">
        <v>340</v>
      </c>
      <c r="Q407">
        <v>1</v>
      </c>
    </row>
    <row r="408" spans="1:17" x14ac:dyDescent="0.25">
      <c r="A408" t="s">
        <v>755</v>
      </c>
      <c r="B408" t="s">
        <v>336</v>
      </c>
      <c r="C408" t="s">
        <v>344</v>
      </c>
      <c r="D408" t="s">
        <v>345</v>
      </c>
      <c r="E408" t="s">
        <v>338</v>
      </c>
      <c r="K408">
        <v>1</v>
      </c>
      <c r="O408" t="s">
        <v>439</v>
      </c>
      <c r="P408" t="s">
        <v>340</v>
      </c>
      <c r="Q408">
        <v>1</v>
      </c>
    </row>
    <row r="409" spans="1:17" x14ac:dyDescent="0.25">
      <c r="A409" t="s">
        <v>755</v>
      </c>
      <c r="B409" t="s">
        <v>336</v>
      </c>
      <c r="C409" t="s">
        <v>347</v>
      </c>
      <c r="D409" t="s">
        <v>348</v>
      </c>
      <c r="E409" t="s">
        <v>338</v>
      </c>
      <c r="K409">
        <v>1</v>
      </c>
      <c r="O409" t="s">
        <v>440</v>
      </c>
      <c r="P409" t="s">
        <v>340</v>
      </c>
      <c r="Q409">
        <v>1</v>
      </c>
    </row>
    <row r="410" spans="1:17" x14ac:dyDescent="0.25">
      <c r="A410" t="s">
        <v>755</v>
      </c>
      <c r="B410" t="s">
        <v>336</v>
      </c>
      <c r="C410" t="s">
        <v>350</v>
      </c>
      <c r="D410" t="s">
        <v>351</v>
      </c>
      <c r="E410" t="s">
        <v>338</v>
      </c>
      <c r="K410">
        <v>1</v>
      </c>
      <c r="O410" t="s">
        <v>441</v>
      </c>
      <c r="P410" t="s">
        <v>340</v>
      </c>
      <c r="Q410">
        <v>1</v>
      </c>
    </row>
    <row r="411" spans="1:17" x14ac:dyDescent="0.25">
      <c r="A411" t="s">
        <v>755</v>
      </c>
      <c r="B411" t="s">
        <v>336</v>
      </c>
      <c r="C411" t="s">
        <v>353</v>
      </c>
      <c r="D411" t="s">
        <v>354</v>
      </c>
      <c r="E411" t="s">
        <v>338</v>
      </c>
      <c r="K411">
        <v>1</v>
      </c>
      <c r="O411" t="s">
        <v>442</v>
      </c>
      <c r="P411" t="s">
        <v>340</v>
      </c>
      <c r="Q411">
        <v>1</v>
      </c>
    </row>
    <row r="412" spans="1:17" x14ac:dyDescent="0.25">
      <c r="A412" t="s">
        <v>755</v>
      </c>
      <c r="B412" t="s">
        <v>336</v>
      </c>
      <c r="C412" t="s">
        <v>356</v>
      </c>
      <c r="D412" t="s">
        <v>357</v>
      </c>
      <c r="E412" t="s">
        <v>338</v>
      </c>
      <c r="K412">
        <v>1</v>
      </c>
      <c r="O412" t="s">
        <v>443</v>
      </c>
      <c r="P412" t="s">
        <v>340</v>
      </c>
      <c r="Q412">
        <v>1</v>
      </c>
    </row>
    <row r="413" spans="1:17" x14ac:dyDescent="0.25">
      <c r="A413" t="s">
        <v>755</v>
      </c>
      <c r="B413" t="s">
        <v>359</v>
      </c>
      <c r="C413" t="s">
        <v>360</v>
      </c>
      <c r="D413" t="s">
        <v>361</v>
      </c>
      <c r="E413" t="s">
        <v>338</v>
      </c>
      <c r="K413">
        <v>1</v>
      </c>
      <c r="O413" t="s">
        <v>444</v>
      </c>
      <c r="P413" t="s">
        <v>340</v>
      </c>
      <c r="Q413">
        <v>1</v>
      </c>
    </row>
    <row r="414" spans="1:17" x14ac:dyDescent="0.25">
      <c r="A414" t="s">
        <v>755</v>
      </c>
      <c r="B414" t="s">
        <v>336</v>
      </c>
      <c r="C414" t="s">
        <v>773</v>
      </c>
      <c r="D414" t="s">
        <v>337</v>
      </c>
      <c r="E414" t="s">
        <v>338</v>
      </c>
      <c r="K414">
        <v>1</v>
      </c>
      <c r="O414" t="s">
        <v>445</v>
      </c>
      <c r="P414" t="s">
        <v>364</v>
      </c>
      <c r="Q414">
        <v>1</v>
      </c>
    </row>
    <row r="415" spans="1:17" x14ac:dyDescent="0.25">
      <c r="A415" t="s">
        <v>755</v>
      </c>
      <c r="B415" t="s">
        <v>336</v>
      </c>
      <c r="C415" t="s">
        <v>341</v>
      </c>
      <c r="D415" t="s">
        <v>342</v>
      </c>
      <c r="E415" t="s">
        <v>338</v>
      </c>
      <c r="K415">
        <v>1</v>
      </c>
      <c r="O415" t="s">
        <v>446</v>
      </c>
      <c r="P415" t="s">
        <v>364</v>
      </c>
      <c r="Q415">
        <v>1</v>
      </c>
    </row>
    <row r="416" spans="1:17" x14ac:dyDescent="0.25">
      <c r="A416" t="s">
        <v>755</v>
      </c>
      <c r="B416" t="s">
        <v>336</v>
      </c>
      <c r="C416" t="s">
        <v>344</v>
      </c>
      <c r="D416" t="s">
        <v>345</v>
      </c>
      <c r="E416" t="s">
        <v>338</v>
      </c>
      <c r="K416">
        <v>1</v>
      </c>
      <c r="O416" t="s">
        <v>447</v>
      </c>
      <c r="P416" t="s">
        <v>364</v>
      </c>
      <c r="Q416">
        <v>1</v>
      </c>
    </row>
    <row r="417" spans="1:17" x14ac:dyDescent="0.25">
      <c r="A417" t="s">
        <v>755</v>
      </c>
      <c r="B417" t="s">
        <v>336</v>
      </c>
      <c r="C417" t="s">
        <v>347</v>
      </c>
      <c r="D417" t="s">
        <v>348</v>
      </c>
      <c r="E417" t="s">
        <v>338</v>
      </c>
      <c r="K417">
        <v>1</v>
      </c>
      <c r="O417" t="s">
        <v>448</v>
      </c>
      <c r="P417" t="s">
        <v>364</v>
      </c>
      <c r="Q417">
        <v>1</v>
      </c>
    </row>
    <row r="418" spans="1:17" x14ac:dyDescent="0.25">
      <c r="A418" t="s">
        <v>755</v>
      </c>
      <c r="B418" t="s">
        <v>336</v>
      </c>
      <c r="C418" t="s">
        <v>350</v>
      </c>
      <c r="D418" t="s">
        <v>351</v>
      </c>
      <c r="E418" t="s">
        <v>338</v>
      </c>
      <c r="K418">
        <v>1</v>
      </c>
      <c r="O418" t="s">
        <v>449</v>
      </c>
      <c r="P418" t="s">
        <v>364</v>
      </c>
      <c r="Q418">
        <v>1</v>
      </c>
    </row>
    <row r="419" spans="1:17" x14ac:dyDescent="0.25">
      <c r="A419" t="s">
        <v>755</v>
      </c>
      <c r="B419" t="s">
        <v>336</v>
      </c>
      <c r="C419" t="s">
        <v>353</v>
      </c>
      <c r="D419" t="s">
        <v>354</v>
      </c>
      <c r="E419" t="s">
        <v>338</v>
      </c>
      <c r="K419">
        <v>1</v>
      </c>
      <c r="O419" t="s">
        <v>450</v>
      </c>
      <c r="P419" t="s">
        <v>364</v>
      </c>
      <c r="Q419">
        <v>1</v>
      </c>
    </row>
    <row r="420" spans="1:17" x14ac:dyDescent="0.25">
      <c r="A420" t="s">
        <v>755</v>
      </c>
      <c r="B420" t="s">
        <v>336</v>
      </c>
      <c r="C420" t="s">
        <v>356</v>
      </c>
      <c r="D420" t="s">
        <v>357</v>
      </c>
      <c r="E420" t="s">
        <v>338</v>
      </c>
      <c r="K420">
        <v>1</v>
      </c>
      <c r="O420" t="s">
        <v>451</v>
      </c>
      <c r="P420" t="s">
        <v>364</v>
      </c>
      <c r="Q420">
        <v>1</v>
      </c>
    </row>
    <row r="421" spans="1:17" x14ac:dyDescent="0.25">
      <c r="A421" t="s">
        <v>755</v>
      </c>
      <c r="B421" t="s">
        <v>359</v>
      </c>
      <c r="C421" t="s">
        <v>360</v>
      </c>
      <c r="D421" t="s">
        <v>361</v>
      </c>
      <c r="E421" t="s">
        <v>338</v>
      </c>
      <c r="K421">
        <v>1</v>
      </c>
      <c r="O421" t="s">
        <v>452</v>
      </c>
      <c r="P421" t="s">
        <v>364</v>
      </c>
      <c r="Q421">
        <v>1</v>
      </c>
    </row>
    <row r="422" spans="1:17" x14ac:dyDescent="0.25">
      <c r="A422" t="s">
        <v>755</v>
      </c>
      <c r="B422" t="s">
        <v>372</v>
      </c>
      <c r="C422" t="s">
        <v>373</v>
      </c>
      <c r="D422" t="s">
        <v>374</v>
      </c>
      <c r="E422" t="s">
        <v>338</v>
      </c>
      <c r="K422">
        <v>1</v>
      </c>
      <c r="O422" t="s">
        <v>453</v>
      </c>
      <c r="P422" t="s">
        <v>364</v>
      </c>
      <c r="Q422">
        <v>1</v>
      </c>
    </row>
    <row r="423" spans="1:17" x14ac:dyDescent="0.25">
      <c r="A423" t="s">
        <v>755</v>
      </c>
      <c r="B423" t="s">
        <v>376</v>
      </c>
      <c r="C423" t="s">
        <v>377</v>
      </c>
      <c r="D423" t="s">
        <v>378</v>
      </c>
      <c r="E423" t="s">
        <v>338</v>
      </c>
      <c r="K423">
        <v>1</v>
      </c>
      <c r="O423" t="s">
        <v>454</v>
      </c>
      <c r="P423" t="s">
        <v>364</v>
      </c>
      <c r="Q423">
        <v>1</v>
      </c>
    </row>
    <row r="424" spans="1:17" x14ac:dyDescent="0.25">
      <c r="A424" t="s">
        <v>755</v>
      </c>
      <c r="B424" t="s">
        <v>380</v>
      </c>
      <c r="C424" t="s">
        <v>381</v>
      </c>
      <c r="D424" t="s">
        <v>382</v>
      </c>
      <c r="E424" t="s">
        <v>338</v>
      </c>
      <c r="K424">
        <v>1</v>
      </c>
      <c r="O424" t="s">
        <v>455</v>
      </c>
      <c r="P424" t="s">
        <v>364</v>
      </c>
      <c r="Q424">
        <v>1</v>
      </c>
    </row>
    <row r="425" spans="1:17" x14ac:dyDescent="0.25">
      <c r="A425" t="s">
        <v>755</v>
      </c>
      <c r="B425" t="s">
        <v>384</v>
      </c>
      <c r="C425" t="s">
        <v>385</v>
      </c>
      <c r="D425" t="s">
        <v>386</v>
      </c>
      <c r="E425" t="s">
        <v>338</v>
      </c>
      <c r="K425">
        <v>1</v>
      </c>
      <c r="O425" t="s">
        <v>456</v>
      </c>
      <c r="P425" t="s">
        <v>364</v>
      </c>
      <c r="Q425">
        <v>1</v>
      </c>
    </row>
    <row r="426" spans="1:17" x14ac:dyDescent="0.25">
      <c r="A426" t="s">
        <v>755</v>
      </c>
      <c r="B426" t="s">
        <v>336</v>
      </c>
      <c r="C426" t="s">
        <v>773</v>
      </c>
      <c r="D426" t="s">
        <v>337</v>
      </c>
      <c r="E426" t="s">
        <v>338</v>
      </c>
      <c r="F426" t="s">
        <v>388</v>
      </c>
      <c r="K426">
        <v>1</v>
      </c>
      <c r="O426" t="s">
        <v>445</v>
      </c>
      <c r="P426" t="s">
        <v>389</v>
      </c>
      <c r="Q426">
        <v>1</v>
      </c>
    </row>
    <row r="427" spans="1:17" x14ac:dyDescent="0.25">
      <c r="A427" t="s">
        <v>755</v>
      </c>
      <c r="B427" t="s">
        <v>336</v>
      </c>
      <c r="C427" t="s">
        <v>341</v>
      </c>
      <c r="D427" t="s">
        <v>342</v>
      </c>
      <c r="E427" t="s">
        <v>338</v>
      </c>
      <c r="F427" t="s">
        <v>388</v>
      </c>
      <c r="K427">
        <v>1</v>
      </c>
      <c r="O427" t="s">
        <v>446</v>
      </c>
      <c r="P427" t="s">
        <v>389</v>
      </c>
      <c r="Q427">
        <v>1</v>
      </c>
    </row>
    <row r="428" spans="1:17" x14ac:dyDescent="0.25">
      <c r="A428" t="s">
        <v>755</v>
      </c>
      <c r="B428" t="s">
        <v>336</v>
      </c>
      <c r="C428" t="s">
        <v>344</v>
      </c>
      <c r="D428" t="s">
        <v>345</v>
      </c>
      <c r="E428" t="s">
        <v>338</v>
      </c>
      <c r="F428" t="s">
        <v>388</v>
      </c>
      <c r="K428">
        <v>1</v>
      </c>
      <c r="O428" t="s">
        <v>447</v>
      </c>
      <c r="P428" t="s">
        <v>389</v>
      </c>
      <c r="Q428">
        <v>1</v>
      </c>
    </row>
    <row r="429" spans="1:17" x14ac:dyDescent="0.25">
      <c r="A429" t="s">
        <v>755</v>
      </c>
      <c r="B429" t="s">
        <v>336</v>
      </c>
      <c r="C429" t="s">
        <v>347</v>
      </c>
      <c r="D429" t="s">
        <v>348</v>
      </c>
      <c r="E429" t="s">
        <v>338</v>
      </c>
      <c r="F429" t="s">
        <v>388</v>
      </c>
      <c r="K429">
        <v>1</v>
      </c>
      <c r="O429" t="s">
        <v>448</v>
      </c>
      <c r="P429" t="s">
        <v>389</v>
      </c>
      <c r="Q429">
        <v>1</v>
      </c>
    </row>
    <row r="430" spans="1:17" x14ac:dyDescent="0.25">
      <c r="A430" t="s">
        <v>755</v>
      </c>
      <c r="B430" t="s">
        <v>336</v>
      </c>
      <c r="C430" t="s">
        <v>350</v>
      </c>
      <c r="D430" t="s">
        <v>351</v>
      </c>
      <c r="E430" t="s">
        <v>338</v>
      </c>
      <c r="F430" t="s">
        <v>388</v>
      </c>
      <c r="K430">
        <v>1</v>
      </c>
      <c r="O430" t="s">
        <v>449</v>
      </c>
      <c r="P430" t="s">
        <v>389</v>
      </c>
      <c r="Q430">
        <v>1</v>
      </c>
    </row>
    <row r="431" spans="1:17" x14ac:dyDescent="0.25">
      <c r="A431" t="s">
        <v>755</v>
      </c>
      <c r="B431" t="s">
        <v>336</v>
      </c>
      <c r="C431" t="s">
        <v>353</v>
      </c>
      <c r="D431" t="s">
        <v>354</v>
      </c>
      <c r="E431" t="s">
        <v>338</v>
      </c>
      <c r="F431" t="s">
        <v>388</v>
      </c>
      <c r="K431">
        <v>1</v>
      </c>
      <c r="O431" t="s">
        <v>450</v>
      </c>
      <c r="P431" t="s">
        <v>389</v>
      </c>
      <c r="Q431">
        <v>1</v>
      </c>
    </row>
    <row r="432" spans="1:17" x14ac:dyDescent="0.25">
      <c r="A432" t="s">
        <v>755</v>
      </c>
      <c r="B432" t="s">
        <v>336</v>
      </c>
      <c r="C432" t="s">
        <v>356</v>
      </c>
      <c r="D432" t="s">
        <v>357</v>
      </c>
      <c r="E432" t="s">
        <v>338</v>
      </c>
      <c r="F432" t="s">
        <v>388</v>
      </c>
      <c r="K432">
        <v>1</v>
      </c>
      <c r="O432" t="s">
        <v>451</v>
      </c>
      <c r="P432" t="s">
        <v>389</v>
      </c>
      <c r="Q432">
        <v>1</v>
      </c>
    </row>
    <row r="433" spans="1:17" x14ac:dyDescent="0.25">
      <c r="A433" t="s">
        <v>755</v>
      </c>
      <c r="B433" t="s">
        <v>359</v>
      </c>
      <c r="C433" t="s">
        <v>360</v>
      </c>
      <c r="D433" t="s">
        <v>361</v>
      </c>
      <c r="E433" t="s">
        <v>338</v>
      </c>
      <c r="F433" t="s">
        <v>388</v>
      </c>
      <c r="K433">
        <v>1</v>
      </c>
      <c r="O433" t="s">
        <v>452</v>
      </c>
      <c r="P433" t="s">
        <v>389</v>
      </c>
      <c r="Q433">
        <v>1</v>
      </c>
    </row>
    <row r="434" spans="1:17" x14ac:dyDescent="0.25">
      <c r="A434" t="s">
        <v>755</v>
      </c>
      <c r="B434" t="s">
        <v>372</v>
      </c>
      <c r="C434" t="s">
        <v>373</v>
      </c>
      <c r="D434" t="s">
        <v>374</v>
      </c>
      <c r="E434" t="s">
        <v>338</v>
      </c>
      <c r="F434" t="s">
        <v>388</v>
      </c>
      <c r="K434">
        <v>1</v>
      </c>
      <c r="O434" t="s">
        <v>453</v>
      </c>
      <c r="P434" t="s">
        <v>389</v>
      </c>
      <c r="Q434">
        <v>1</v>
      </c>
    </row>
    <row r="435" spans="1:17" x14ac:dyDescent="0.25">
      <c r="A435" t="s">
        <v>755</v>
      </c>
      <c r="B435" t="s">
        <v>376</v>
      </c>
      <c r="C435" t="s">
        <v>377</v>
      </c>
      <c r="D435" t="s">
        <v>378</v>
      </c>
      <c r="E435" t="s">
        <v>338</v>
      </c>
      <c r="F435" t="s">
        <v>388</v>
      </c>
      <c r="K435">
        <v>1</v>
      </c>
      <c r="O435" t="s">
        <v>454</v>
      </c>
      <c r="P435" t="s">
        <v>389</v>
      </c>
      <c r="Q435">
        <v>1</v>
      </c>
    </row>
    <row r="436" spans="1:17" x14ac:dyDescent="0.25">
      <c r="A436" t="s">
        <v>755</v>
      </c>
      <c r="B436" t="s">
        <v>380</v>
      </c>
      <c r="C436" t="s">
        <v>381</v>
      </c>
      <c r="D436" t="s">
        <v>382</v>
      </c>
      <c r="E436" t="s">
        <v>338</v>
      </c>
      <c r="F436" t="s">
        <v>388</v>
      </c>
      <c r="K436">
        <v>1</v>
      </c>
      <c r="O436" t="s">
        <v>455</v>
      </c>
      <c r="P436" t="s">
        <v>389</v>
      </c>
      <c r="Q436">
        <v>1</v>
      </c>
    </row>
    <row r="437" spans="1:17" x14ac:dyDescent="0.25">
      <c r="A437" t="s">
        <v>755</v>
      </c>
      <c r="B437" t="s">
        <v>384</v>
      </c>
      <c r="C437" t="s">
        <v>385</v>
      </c>
      <c r="D437" t="s">
        <v>386</v>
      </c>
      <c r="E437" t="s">
        <v>338</v>
      </c>
      <c r="F437" t="s">
        <v>388</v>
      </c>
      <c r="K437">
        <v>1</v>
      </c>
      <c r="O437" t="s">
        <v>456</v>
      </c>
      <c r="P437" t="s">
        <v>389</v>
      </c>
      <c r="Q437">
        <v>1</v>
      </c>
    </row>
    <row r="438" spans="1:17" x14ac:dyDescent="0.25">
      <c r="A438" t="s">
        <v>755</v>
      </c>
      <c r="B438" t="s">
        <v>336</v>
      </c>
      <c r="C438" t="s">
        <v>347</v>
      </c>
      <c r="D438" t="s">
        <v>348</v>
      </c>
      <c r="E438" t="s">
        <v>391</v>
      </c>
      <c r="K438">
        <v>1</v>
      </c>
      <c r="O438" t="s">
        <v>392</v>
      </c>
      <c r="P438" t="s">
        <v>393</v>
      </c>
      <c r="Q438">
        <v>1</v>
      </c>
    </row>
    <row r="439" spans="1:17" x14ac:dyDescent="0.25">
      <c r="A439" t="s">
        <v>755</v>
      </c>
      <c r="B439" t="s">
        <v>336</v>
      </c>
      <c r="C439" t="s">
        <v>350</v>
      </c>
      <c r="D439" t="s">
        <v>351</v>
      </c>
      <c r="E439" t="s">
        <v>391</v>
      </c>
      <c r="K439">
        <v>1</v>
      </c>
      <c r="O439" t="s">
        <v>394</v>
      </c>
      <c r="P439" t="s">
        <v>393</v>
      </c>
      <c r="Q439">
        <v>1</v>
      </c>
    </row>
    <row r="440" spans="1:17" x14ac:dyDescent="0.25">
      <c r="A440" t="s">
        <v>755</v>
      </c>
      <c r="B440" t="s">
        <v>336</v>
      </c>
      <c r="C440" t="s">
        <v>353</v>
      </c>
      <c r="D440" t="s">
        <v>354</v>
      </c>
      <c r="E440" t="s">
        <v>391</v>
      </c>
      <c r="K440">
        <v>1</v>
      </c>
      <c r="O440" t="s">
        <v>395</v>
      </c>
      <c r="P440" t="s">
        <v>393</v>
      </c>
      <c r="Q440">
        <v>1</v>
      </c>
    </row>
    <row r="441" spans="1:17" x14ac:dyDescent="0.25">
      <c r="A441" t="s">
        <v>755</v>
      </c>
      <c r="B441" t="s">
        <v>336</v>
      </c>
      <c r="C441" t="s">
        <v>356</v>
      </c>
      <c r="D441" t="s">
        <v>357</v>
      </c>
      <c r="E441" t="s">
        <v>391</v>
      </c>
      <c r="K441">
        <v>1</v>
      </c>
      <c r="O441" t="s">
        <v>396</v>
      </c>
      <c r="P441" t="s">
        <v>393</v>
      </c>
      <c r="Q441">
        <v>1</v>
      </c>
    </row>
    <row r="442" spans="1:17" x14ac:dyDescent="0.25">
      <c r="A442" t="s">
        <v>755</v>
      </c>
      <c r="B442" t="s">
        <v>359</v>
      </c>
      <c r="C442" t="s">
        <v>360</v>
      </c>
      <c r="D442" t="s">
        <v>361</v>
      </c>
      <c r="E442" t="s">
        <v>391</v>
      </c>
      <c r="K442">
        <v>1</v>
      </c>
      <c r="O442" t="s">
        <v>397</v>
      </c>
      <c r="P442" t="s">
        <v>393</v>
      </c>
      <c r="Q442">
        <v>1</v>
      </c>
    </row>
    <row r="443" spans="1:17" x14ac:dyDescent="0.25">
      <c r="A443" t="s">
        <v>755</v>
      </c>
      <c r="B443" t="s">
        <v>372</v>
      </c>
      <c r="C443" t="s">
        <v>373</v>
      </c>
      <c r="D443" t="s">
        <v>374</v>
      </c>
      <c r="E443" t="s">
        <v>391</v>
      </c>
      <c r="K443">
        <v>1</v>
      </c>
      <c r="O443" t="s">
        <v>398</v>
      </c>
      <c r="P443" t="s">
        <v>393</v>
      </c>
      <c r="Q443">
        <v>1</v>
      </c>
    </row>
    <row r="444" spans="1:17" x14ac:dyDescent="0.25">
      <c r="A444" t="s">
        <v>755</v>
      </c>
      <c r="B444" t="s">
        <v>376</v>
      </c>
      <c r="C444" t="s">
        <v>377</v>
      </c>
      <c r="D444" t="s">
        <v>378</v>
      </c>
      <c r="E444" t="s">
        <v>391</v>
      </c>
      <c r="K444">
        <v>1</v>
      </c>
      <c r="O444" t="s">
        <v>399</v>
      </c>
      <c r="P444" t="s">
        <v>393</v>
      </c>
      <c r="Q444">
        <v>1</v>
      </c>
    </row>
    <row r="445" spans="1:17" x14ac:dyDescent="0.25">
      <c r="A445" t="s">
        <v>755</v>
      </c>
      <c r="B445" t="s">
        <v>380</v>
      </c>
      <c r="C445" t="s">
        <v>381</v>
      </c>
      <c r="D445" t="s">
        <v>382</v>
      </c>
      <c r="E445" t="s">
        <v>391</v>
      </c>
      <c r="K445">
        <v>1</v>
      </c>
      <c r="O445" t="s">
        <v>400</v>
      </c>
      <c r="P445" t="s">
        <v>393</v>
      </c>
      <c r="Q445">
        <v>1</v>
      </c>
    </row>
    <row r="446" spans="1:17" x14ac:dyDescent="0.25">
      <c r="A446" t="s">
        <v>755</v>
      </c>
      <c r="B446" t="s">
        <v>384</v>
      </c>
      <c r="C446" t="s">
        <v>385</v>
      </c>
      <c r="D446" t="s">
        <v>386</v>
      </c>
      <c r="E446" t="s">
        <v>391</v>
      </c>
      <c r="K446">
        <v>1</v>
      </c>
      <c r="O446" t="s">
        <v>457</v>
      </c>
      <c r="P446" t="s">
        <v>393</v>
      </c>
      <c r="Q446">
        <v>1</v>
      </c>
    </row>
    <row r="447" spans="1:17" x14ac:dyDescent="0.25">
      <c r="A447" t="s">
        <v>755</v>
      </c>
      <c r="B447" t="s">
        <v>402</v>
      </c>
      <c r="C447" t="s">
        <v>403</v>
      </c>
      <c r="D447" t="s">
        <v>404</v>
      </c>
      <c r="E447" t="s">
        <v>391</v>
      </c>
      <c r="K447">
        <v>1</v>
      </c>
      <c r="O447" t="s">
        <v>458</v>
      </c>
      <c r="P447" t="s">
        <v>393</v>
      </c>
      <c r="Q447">
        <v>1</v>
      </c>
    </row>
    <row r="448" spans="1:17" x14ac:dyDescent="0.25">
      <c r="A448" t="s">
        <v>755</v>
      </c>
      <c r="B448" t="s">
        <v>406</v>
      </c>
      <c r="C448" t="s">
        <v>407</v>
      </c>
      <c r="D448" t="s">
        <v>408</v>
      </c>
      <c r="E448" t="s">
        <v>391</v>
      </c>
      <c r="K448">
        <v>1</v>
      </c>
      <c r="O448" t="s">
        <v>459</v>
      </c>
      <c r="P448" t="s">
        <v>393</v>
      </c>
      <c r="Q448">
        <v>1</v>
      </c>
    </row>
    <row r="449" spans="1:17" x14ac:dyDescent="0.25">
      <c r="A449" t="s">
        <v>755</v>
      </c>
      <c r="B449" t="s">
        <v>410</v>
      </c>
      <c r="C449" t="s">
        <v>411</v>
      </c>
      <c r="D449" t="s">
        <v>412</v>
      </c>
      <c r="E449" t="s">
        <v>391</v>
      </c>
      <c r="K449">
        <v>1</v>
      </c>
      <c r="O449" t="s">
        <v>460</v>
      </c>
      <c r="P449" t="s">
        <v>393</v>
      </c>
      <c r="Q449">
        <v>1</v>
      </c>
    </row>
    <row r="450" spans="1:17" x14ac:dyDescent="0.25">
      <c r="A450" t="s">
        <v>755</v>
      </c>
      <c r="B450" t="s">
        <v>414</v>
      </c>
      <c r="C450" t="s">
        <v>415</v>
      </c>
      <c r="D450" t="s">
        <v>416</v>
      </c>
      <c r="E450" t="s">
        <v>391</v>
      </c>
      <c r="K450">
        <v>1</v>
      </c>
      <c r="O450" t="s">
        <v>461</v>
      </c>
      <c r="P450" t="s">
        <v>393</v>
      </c>
      <c r="Q450">
        <v>1</v>
      </c>
    </row>
    <row r="451" spans="1:17" x14ac:dyDescent="0.25">
      <c r="A451" t="s">
        <v>755</v>
      </c>
      <c r="B451" t="s">
        <v>418</v>
      </c>
      <c r="C451" t="s">
        <v>419</v>
      </c>
      <c r="D451" t="s">
        <v>420</v>
      </c>
      <c r="E451" t="s">
        <v>391</v>
      </c>
      <c r="K451">
        <v>1</v>
      </c>
      <c r="O451" t="s">
        <v>462</v>
      </c>
      <c r="P451" t="s">
        <v>393</v>
      </c>
      <c r="Q451">
        <v>1</v>
      </c>
    </row>
    <row r="452" spans="1:17" x14ac:dyDescent="0.25">
      <c r="A452" t="s">
        <v>755</v>
      </c>
      <c r="B452" t="s">
        <v>336</v>
      </c>
      <c r="C452" t="s">
        <v>350</v>
      </c>
      <c r="D452" t="s">
        <v>351</v>
      </c>
      <c r="E452" s="2" t="s">
        <v>422</v>
      </c>
      <c r="F452" s="2"/>
      <c r="G452" s="2"/>
      <c r="H452" s="2"/>
      <c r="K452">
        <v>1</v>
      </c>
      <c r="O452" t="s">
        <v>463</v>
      </c>
      <c r="P452" t="s">
        <v>393</v>
      </c>
      <c r="Q452">
        <v>1</v>
      </c>
    </row>
    <row r="453" spans="1:17" x14ac:dyDescent="0.25">
      <c r="A453" t="s">
        <v>755</v>
      </c>
      <c r="B453" t="s">
        <v>336</v>
      </c>
      <c r="C453" t="s">
        <v>353</v>
      </c>
      <c r="D453" t="s">
        <v>354</v>
      </c>
      <c r="E453" s="2" t="s">
        <v>422</v>
      </c>
      <c r="F453" s="2"/>
      <c r="G453" s="2"/>
      <c r="H453" s="2"/>
      <c r="K453">
        <v>1</v>
      </c>
      <c r="O453" t="s">
        <v>464</v>
      </c>
      <c r="P453" t="s">
        <v>393</v>
      </c>
      <c r="Q453">
        <v>1</v>
      </c>
    </row>
    <row r="454" spans="1:17" x14ac:dyDescent="0.25">
      <c r="A454" t="s">
        <v>755</v>
      </c>
      <c r="B454" t="s">
        <v>336</v>
      </c>
      <c r="C454" t="s">
        <v>356</v>
      </c>
      <c r="D454" t="s">
        <v>357</v>
      </c>
      <c r="E454" s="2" t="s">
        <v>422</v>
      </c>
      <c r="F454" s="2"/>
      <c r="G454" s="2"/>
      <c r="H454" s="2"/>
      <c r="K454">
        <v>1</v>
      </c>
      <c r="O454" t="s">
        <v>465</v>
      </c>
      <c r="P454" t="s">
        <v>393</v>
      </c>
      <c r="Q454">
        <v>1</v>
      </c>
    </row>
    <row r="455" spans="1:17" x14ac:dyDescent="0.25">
      <c r="A455" t="s">
        <v>755</v>
      </c>
      <c r="B455" t="s">
        <v>359</v>
      </c>
      <c r="C455" t="s">
        <v>360</v>
      </c>
      <c r="D455" t="s">
        <v>361</v>
      </c>
      <c r="E455" s="2" t="s">
        <v>422</v>
      </c>
      <c r="F455" s="2"/>
      <c r="G455" s="2"/>
      <c r="H455" s="2"/>
      <c r="K455">
        <v>1</v>
      </c>
      <c r="O455" t="s">
        <v>466</v>
      </c>
      <c r="P455" t="s">
        <v>393</v>
      </c>
      <c r="Q455">
        <v>1</v>
      </c>
    </row>
    <row r="456" spans="1:17" x14ac:dyDescent="0.25">
      <c r="A456" t="s">
        <v>755</v>
      </c>
      <c r="B456" t="s">
        <v>372</v>
      </c>
      <c r="C456" t="s">
        <v>373</v>
      </c>
      <c r="D456" t="s">
        <v>374</v>
      </c>
      <c r="E456" s="2" t="s">
        <v>422</v>
      </c>
      <c r="F456" s="2"/>
      <c r="G456" s="2"/>
      <c r="H456" s="2"/>
      <c r="K456">
        <v>1</v>
      </c>
      <c r="O456" t="s">
        <v>467</v>
      </c>
      <c r="P456" t="s">
        <v>393</v>
      </c>
      <c r="Q456">
        <v>1</v>
      </c>
    </row>
    <row r="457" spans="1:17" x14ac:dyDescent="0.25">
      <c r="A457" t="s">
        <v>755</v>
      </c>
      <c r="B457" t="s">
        <v>376</v>
      </c>
      <c r="C457" t="s">
        <v>377</v>
      </c>
      <c r="D457" t="s">
        <v>378</v>
      </c>
      <c r="E457" s="2" t="s">
        <v>422</v>
      </c>
      <c r="F457" s="2"/>
      <c r="G457" s="2"/>
      <c r="H457" s="2"/>
      <c r="K457">
        <v>1</v>
      </c>
      <c r="O457" t="s">
        <v>468</v>
      </c>
      <c r="P457" t="s">
        <v>393</v>
      </c>
      <c r="Q457">
        <v>1</v>
      </c>
    </row>
    <row r="458" spans="1:17" x14ac:dyDescent="0.25">
      <c r="A458" t="s">
        <v>755</v>
      </c>
      <c r="B458" t="s">
        <v>380</v>
      </c>
      <c r="C458" t="s">
        <v>381</v>
      </c>
      <c r="D458" t="s">
        <v>382</v>
      </c>
      <c r="E458" s="2" t="s">
        <v>422</v>
      </c>
      <c r="F458" s="2"/>
      <c r="G458" s="2"/>
      <c r="H458" s="2"/>
      <c r="K458">
        <v>1</v>
      </c>
      <c r="O458" t="s">
        <v>429</v>
      </c>
      <c r="P458" t="s">
        <v>393</v>
      </c>
      <c r="Q458">
        <v>1</v>
      </c>
    </row>
    <row r="459" spans="1:17" x14ac:dyDescent="0.25">
      <c r="A459" t="s">
        <v>755</v>
      </c>
      <c r="B459" t="s">
        <v>384</v>
      </c>
      <c r="C459" t="s">
        <v>385</v>
      </c>
      <c r="D459" t="s">
        <v>386</v>
      </c>
      <c r="E459" s="2" t="s">
        <v>422</v>
      </c>
      <c r="F459" s="2"/>
      <c r="G459" s="2"/>
      <c r="H459" s="2"/>
      <c r="K459">
        <v>1</v>
      </c>
      <c r="O459" t="s">
        <v>469</v>
      </c>
      <c r="P459" t="s">
        <v>393</v>
      </c>
      <c r="Q459">
        <v>1</v>
      </c>
    </row>
    <row r="460" spans="1:17" x14ac:dyDescent="0.25">
      <c r="A460" t="s">
        <v>755</v>
      </c>
      <c r="B460" t="s">
        <v>402</v>
      </c>
      <c r="C460" t="s">
        <v>403</v>
      </c>
      <c r="D460" t="s">
        <v>404</v>
      </c>
      <c r="E460" s="2" t="s">
        <v>422</v>
      </c>
      <c r="F460" s="2"/>
      <c r="G460" s="2"/>
      <c r="H460" s="2"/>
      <c r="K460">
        <v>1</v>
      </c>
      <c r="O460" t="s">
        <v>470</v>
      </c>
      <c r="P460" t="s">
        <v>393</v>
      </c>
      <c r="Q460">
        <v>1</v>
      </c>
    </row>
    <row r="461" spans="1:17" x14ac:dyDescent="0.25">
      <c r="A461" t="s">
        <v>755</v>
      </c>
      <c r="B461" t="s">
        <v>406</v>
      </c>
      <c r="C461" t="s">
        <v>407</v>
      </c>
      <c r="D461" t="s">
        <v>408</v>
      </c>
      <c r="E461" s="2" t="s">
        <v>422</v>
      </c>
      <c r="F461" s="2"/>
      <c r="G461" s="2"/>
      <c r="H461" s="2"/>
      <c r="K461">
        <v>1</v>
      </c>
      <c r="O461" t="s">
        <v>471</v>
      </c>
      <c r="P461" t="s">
        <v>393</v>
      </c>
      <c r="Q461">
        <v>1</v>
      </c>
    </row>
    <row r="462" spans="1:17" x14ac:dyDescent="0.25">
      <c r="A462" t="s">
        <v>755</v>
      </c>
      <c r="B462" t="s">
        <v>410</v>
      </c>
      <c r="C462" t="s">
        <v>411</v>
      </c>
      <c r="D462" t="s">
        <v>412</v>
      </c>
      <c r="E462" s="2" t="s">
        <v>422</v>
      </c>
      <c r="F462" s="2"/>
      <c r="G462" s="2"/>
      <c r="H462" s="2"/>
      <c r="K462">
        <v>1</v>
      </c>
      <c r="O462" t="s">
        <v>472</v>
      </c>
      <c r="P462" t="s">
        <v>393</v>
      </c>
      <c r="Q462">
        <v>1</v>
      </c>
    </row>
    <row r="463" spans="1:17" x14ac:dyDescent="0.25">
      <c r="A463" t="s">
        <v>755</v>
      </c>
      <c r="B463" t="s">
        <v>414</v>
      </c>
      <c r="C463" t="s">
        <v>415</v>
      </c>
      <c r="D463" t="s">
        <v>416</v>
      </c>
      <c r="E463" s="2" t="s">
        <v>422</v>
      </c>
      <c r="F463" s="2"/>
      <c r="G463" s="2"/>
      <c r="H463" s="2"/>
      <c r="K463">
        <v>1</v>
      </c>
      <c r="O463" t="s">
        <v>473</v>
      </c>
      <c r="P463" t="s">
        <v>393</v>
      </c>
      <c r="Q463">
        <v>1</v>
      </c>
    </row>
    <row r="464" spans="1:17" x14ac:dyDescent="0.25">
      <c r="A464" t="s">
        <v>755</v>
      </c>
      <c r="B464" t="s">
        <v>418</v>
      </c>
      <c r="C464" t="s">
        <v>419</v>
      </c>
      <c r="D464" t="s">
        <v>420</v>
      </c>
      <c r="E464" s="2" t="s">
        <v>422</v>
      </c>
      <c r="F464" s="2"/>
      <c r="G464" s="2"/>
      <c r="H464" s="2"/>
      <c r="K464">
        <v>1</v>
      </c>
      <c r="O464" t="s">
        <v>474</v>
      </c>
      <c r="P464" t="s">
        <v>393</v>
      </c>
      <c r="Q464">
        <v>1</v>
      </c>
    </row>
    <row r="465" spans="1:17" x14ac:dyDescent="0.25">
      <c r="A465" t="s">
        <v>755</v>
      </c>
      <c r="B465" t="s">
        <v>336</v>
      </c>
      <c r="C465" t="s">
        <v>347</v>
      </c>
      <c r="D465" t="s">
        <v>348</v>
      </c>
      <c r="E465" t="s">
        <v>391</v>
      </c>
      <c r="F465" t="s">
        <v>388</v>
      </c>
      <c r="K465">
        <v>1</v>
      </c>
      <c r="O465" t="s">
        <v>392</v>
      </c>
      <c r="P465" t="s">
        <v>393</v>
      </c>
      <c r="Q465">
        <v>1</v>
      </c>
    </row>
    <row r="466" spans="1:17" x14ac:dyDescent="0.25">
      <c r="A466" t="s">
        <v>755</v>
      </c>
      <c r="B466" t="s">
        <v>336</v>
      </c>
      <c r="C466" t="s">
        <v>350</v>
      </c>
      <c r="D466" t="s">
        <v>351</v>
      </c>
      <c r="E466" t="s">
        <v>391</v>
      </c>
      <c r="F466" t="s">
        <v>388</v>
      </c>
      <c r="K466">
        <v>1</v>
      </c>
      <c r="O466" t="s">
        <v>394</v>
      </c>
      <c r="P466" t="s">
        <v>393</v>
      </c>
      <c r="Q466">
        <v>1</v>
      </c>
    </row>
    <row r="467" spans="1:17" x14ac:dyDescent="0.25">
      <c r="A467" t="s">
        <v>755</v>
      </c>
      <c r="B467" t="s">
        <v>336</v>
      </c>
      <c r="C467" t="s">
        <v>353</v>
      </c>
      <c r="D467" t="s">
        <v>354</v>
      </c>
      <c r="E467" t="s">
        <v>391</v>
      </c>
      <c r="F467" t="s">
        <v>388</v>
      </c>
      <c r="K467">
        <v>1</v>
      </c>
      <c r="O467" t="s">
        <v>395</v>
      </c>
      <c r="P467" t="s">
        <v>393</v>
      </c>
      <c r="Q467">
        <v>1</v>
      </c>
    </row>
    <row r="468" spans="1:17" x14ac:dyDescent="0.25">
      <c r="A468" t="s">
        <v>755</v>
      </c>
      <c r="B468" t="s">
        <v>336</v>
      </c>
      <c r="C468" t="s">
        <v>356</v>
      </c>
      <c r="D468" t="s">
        <v>357</v>
      </c>
      <c r="E468" t="s">
        <v>391</v>
      </c>
      <c r="F468" t="s">
        <v>388</v>
      </c>
      <c r="K468">
        <v>1</v>
      </c>
      <c r="O468" t="s">
        <v>396</v>
      </c>
      <c r="P468" t="s">
        <v>393</v>
      </c>
      <c r="Q468">
        <v>1</v>
      </c>
    </row>
    <row r="469" spans="1:17" x14ac:dyDescent="0.25">
      <c r="A469" t="s">
        <v>755</v>
      </c>
      <c r="B469" t="s">
        <v>359</v>
      </c>
      <c r="C469" t="s">
        <v>360</v>
      </c>
      <c r="D469" t="s">
        <v>361</v>
      </c>
      <c r="E469" t="s">
        <v>391</v>
      </c>
      <c r="F469" t="s">
        <v>388</v>
      </c>
      <c r="K469">
        <v>1</v>
      </c>
      <c r="O469" t="s">
        <v>397</v>
      </c>
      <c r="P469" t="s">
        <v>393</v>
      </c>
      <c r="Q469">
        <v>1</v>
      </c>
    </row>
    <row r="470" spans="1:17" x14ac:dyDescent="0.25">
      <c r="A470" t="s">
        <v>755</v>
      </c>
      <c r="B470" t="s">
        <v>372</v>
      </c>
      <c r="C470" t="s">
        <v>373</v>
      </c>
      <c r="D470" t="s">
        <v>374</v>
      </c>
      <c r="E470" t="s">
        <v>391</v>
      </c>
      <c r="F470" t="s">
        <v>388</v>
      </c>
      <c r="K470">
        <v>1</v>
      </c>
      <c r="O470" t="s">
        <v>398</v>
      </c>
      <c r="P470" t="s">
        <v>393</v>
      </c>
      <c r="Q470">
        <v>1</v>
      </c>
    </row>
    <row r="471" spans="1:17" x14ac:dyDescent="0.25">
      <c r="A471" t="s">
        <v>755</v>
      </c>
      <c r="B471" t="s">
        <v>376</v>
      </c>
      <c r="C471" t="s">
        <v>377</v>
      </c>
      <c r="D471" t="s">
        <v>378</v>
      </c>
      <c r="E471" t="s">
        <v>391</v>
      </c>
      <c r="F471" t="s">
        <v>388</v>
      </c>
      <c r="K471">
        <v>1</v>
      </c>
      <c r="O471" t="s">
        <v>399</v>
      </c>
      <c r="P471" t="s">
        <v>393</v>
      </c>
      <c r="Q471">
        <v>1</v>
      </c>
    </row>
    <row r="472" spans="1:17" x14ac:dyDescent="0.25">
      <c r="A472" t="s">
        <v>755</v>
      </c>
      <c r="B472" t="s">
        <v>380</v>
      </c>
      <c r="C472" t="s">
        <v>381</v>
      </c>
      <c r="D472" t="s">
        <v>382</v>
      </c>
      <c r="E472" t="s">
        <v>391</v>
      </c>
      <c r="F472" t="s">
        <v>388</v>
      </c>
      <c r="K472">
        <v>1</v>
      </c>
      <c r="O472" t="s">
        <v>400</v>
      </c>
      <c r="P472" t="s">
        <v>393</v>
      </c>
      <c r="Q472">
        <v>1</v>
      </c>
    </row>
    <row r="473" spans="1:17" x14ac:dyDescent="0.25">
      <c r="A473" t="s">
        <v>755</v>
      </c>
      <c r="B473" t="s">
        <v>384</v>
      </c>
      <c r="C473" t="s">
        <v>385</v>
      </c>
      <c r="D473" t="s">
        <v>386</v>
      </c>
      <c r="E473" t="s">
        <v>391</v>
      </c>
      <c r="F473" t="s">
        <v>388</v>
      </c>
      <c r="K473">
        <v>1</v>
      </c>
      <c r="O473" t="s">
        <v>457</v>
      </c>
      <c r="P473" t="s">
        <v>393</v>
      </c>
      <c r="Q473">
        <v>1</v>
      </c>
    </row>
    <row r="474" spans="1:17" x14ac:dyDescent="0.25">
      <c r="A474" t="s">
        <v>755</v>
      </c>
      <c r="B474" t="s">
        <v>402</v>
      </c>
      <c r="C474" t="s">
        <v>403</v>
      </c>
      <c r="D474" t="s">
        <v>404</v>
      </c>
      <c r="E474" t="s">
        <v>391</v>
      </c>
      <c r="F474" t="s">
        <v>388</v>
      </c>
      <c r="K474">
        <v>1</v>
      </c>
      <c r="O474" t="s">
        <v>458</v>
      </c>
      <c r="P474" t="s">
        <v>393</v>
      </c>
      <c r="Q474">
        <v>1</v>
      </c>
    </row>
    <row r="475" spans="1:17" x14ac:dyDescent="0.25">
      <c r="A475" t="s">
        <v>755</v>
      </c>
      <c r="B475" t="s">
        <v>406</v>
      </c>
      <c r="C475" t="s">
        <v>407</v>
      </c>
      <c r="D475" t="s">
        <v>408</v>
      </c>
      <c r="E475" t="s">
        <v>391</v>
      </c>
      <c r="F475" t="s">
        <v>388</v>
      </c>
      <c r="K475">
        <v>1</v>
      </c>
      <c r="O475" t="s">
        <v>459</v>
      </c>
      <c r="P475" t="s">
        <v>393</v>
      </c>
      <c r="Q475">
        <v>1</v>
      </c>
    </row>
    <row r="476" spans="1:17" x14ac:dyDescent="0.25">
      <c r="A476" t="s">
        <v>755</v>
      </c>
      <c r="B476" t="s">
        <v>410</v>
      </c>
      <c r="C476" t="s">
        <v>411</v>
      </c>
      <c r="D476" t="s">
        <v>412</v>
      </c>
      <c r="E476" t="s">
        <v>391</v>
      </c>
      <c r="F476" t="s">
        <v>388</v>
      </c>
      <c r="K476">
        <v>1</v>
      </c>
      <c r="O476" t="s">
        <v>460</v>
      </c>
      <c r="P476" t="s">
        <v>393</v>
      </c>
      <c r="Q476">
        <v>1</v>
      </c>
    </row>
    <row r="477" spans="1:17" x14ac:dyDescent="0.25">
      <c r="A477" t="s">
        <v>755</v>
      </c>
      <c r="B477" t="s">
        <v>414</v>
      </c>
      <c r="C477" t="s">
        <v>415</v>
      </c>
      <c r="D477" t="s">
        <v>416</v>
      </c>
      <c r="E477" t="s">
        <v>391</v>
      </c>
      <c r="F477" t="s">
        <v>388</v>
      </c>
      <c r="K477">
        <v>1</v>
      </c>
      <c r="O477" t="s">
        <v>461</v>
      </c>
      <c r="P477" t="s">
        <v>393</v>
      </c>
      <c r="Q477">
        <v>1</v>
      </c>
    </row>
    <row r="478" spans="1:17" x14ac:dyDescent="0.25">
      <c r="A478" t="s">
        <v>755</v>
      </c>
      <c r="B478" t="s">
        <v>418</v>
      </c>
      <c r="C478" t="s">
        <v>419</v>
      </c>
      <c r="D478" t="s">
        <v>420</v>
      </c>
      <c r="E478" t="s">
        <v>391</v>
      </c>
      <c r="F478" t="s">
        <v>388</v>
      </c>
      <c r="K478">
        <v>1</v>
      </c>
      <c r="O478" t="s">
        <v>462</v>
      </c>
      <c r="P478" t="s">
        <v>393</v>
      </c>
      <c r="Q478">
        <v>1</v>
      </c>
    </row>
    <row r="479" spans="1:17" x14ac:dyDescent="0.25">
      <c r="A479" t="s">
        <v>755</v>
      </c>
      <c r="B479" t="s">
        <v>336</v>
      </c>
      <c r="C479" t="s">
        <v>350</v>
      </c>
      <c r="D479" t="s">
        <v>351</v>
      </c>
      <c r="E479" s="2" t="s">
        <v>422</v>
      </c>
      <c r="F479" t="s">
        <v>388</v>
      </c>
      <c r="K479">
        <v>1</v>
      </c>
      <c r="O479" t="s">
        <v>463</v>
      </c>
      <c r="P479" t="s">
        <v>393</v>
      </c>
      <c r="Q479">
        <v>1</v>
      </c>
    </row>
    <row r="480" spans="1:17" x14ac:dyDescent="0.25">
      <c r="A480" t="s">
        <v>755</v>
      </c>
      <c r="B480" t="s">
        <v>336</v>
      </c>
      <c r="C480" t="s">
        <v>353</v>
      </c>
      <c r="D480" t="s">
        <v>354</v>
      </c>
      <c r="E480" s="2" t="s">
        <v>422</v>
      </c>
      <c r="F480" t="s">
        <v>388</v>
      </c>
      <c r="K480">
        <v>1</v>
      </c>
      <c r="O480" t="s">
        <v>464</v>
      </c>
      <c r="P480" t="s">
        <v>393</v>
      </c>
      <c r="Q480">
        <v>1</v>
      </c>
    </row>
    <row r="481" spans="1:17" x14ac:dyDescent="0.25">
      <c r="A481" t="s">
        <v>755</v>
      </c>
      <c r="B481" t="s">
        <v>336</v>
      </c>
      <c r="C481" t="s">
        <v>356</v>
      </c>
      <c r="D481" t="s">
        <v>357</v>
      </c>
      <c r="E481" s="2" t="s">
        <v>422</v>
      </c>
      <c r="F481" t="s">
        <v>388</v>
      </c>
      <c r="K481">
        <v>1</v>
      </c>
      <c r="O481" t="s">
        <v>465</v>
      </c>
      <c r="P481" t="s">
        <v>393</v>
      </c>
      <c r="Q481">
        <v>1</v>
      </c>
    </row>
    <row r="482" spans="1:17" x14ac:dyDescent="0.25">
      <c r="A482" t="s">
        <v>755</v>
      </c>
      <c r="B482" t="s">
        <v>359</v>
      </c>
      <c r="C482" t="s">
        <v>360</v>
      </c>
      <c r="D482" t="s">
        <v>361</v>
      </c>
      <c r="E482" s="2" t="s">
        <v>422</v>
      </c>
      <c r="F482" t="s">
        <v>388</v>
      </c>
      <c r="K482">
        <v>1</v>
      </c>
      <c r="O482" t="s">
        <v>466</v>
      </c>
      <c r="P482" t="s">
        <v>393</v>
      </c>
      <c r="Q482">
        <v>1</v>
      </c>
    </row>
    <row r="483" spans="1:17" x14ac:dyDescent="0.25">
      <c r="A483" t="s">
        <v>755</v>
      </c>
      <c r="B483" t="s">
        <v>372</v>
      </c>
      <c r="C483" t="s">
        <v>373</v>
      </c>
      <c r="D483" t="s">
        <v>374</v>
      </c>
      <c r="E483" s="2" t="s">
        <v>422</v>
      </c>
      <c r="F483" t="s">
        <v>388</v>
      </c>
      <c r="K483">
        <v>1</v>
      </c>
      <c r="O483" t="s">
        <v>467</v>
      </c>
      <c r="P483" t="s">
        <v>393</v>
      </c>
      <c r="Q483">
        <v>1</v>
      </c>
    </row>
    <row r="484" spans="1:17" x14ac:dyDescent="0.25">
      <c r="A484" t="s">
        <v>755</v>
      </c>
      <c r="B484" t="s">
        <v>376</v>
      </c>
      <c r="C484" t="s">
        <v>377</v>
      </c>
      <c r="D484" t="s">
        <v>378</v>
      </c>
      <c r="E484" s="2" t="s">
        <v>422</v>
      </c>
      <c r="F484" t="s">
        <v>388</v>
      </c>
      <c r="K484">
        <v>1</v>
      </c>
      <c r="O484" t="s">
        <v>468</v>
      </c>
      <c r="P484" t="s">
        <v>393</v>
      </c>
      <c r="Q484">
        <v>1</v>
      </c>
    </row>
    <row r="485" spans="1:17" x14ac:dyDescent="0.25">
      <c r="A485" t="s">
        <v>755</v>
      </c>
      <c r="B485" t="s">
        <v>380</v>
      </c>
      <c r="C485" t="s">
        <v>381</v>
      </c>
      <c r="D485" t="s">
        <v>382</v>
      </c>
      <c r="E485" s="2" t="s">
        <v>422</v>
      </c>
      <c r="F485" t="s">
        <v>388</v>
      </c>
      <c r="K485">
        <v>1</v>
      </c>
      <c r="O485" t="s">
        <v>429</v>
      </c>
      <c r="P485" t="s">
        <v>393</v>
      </c>
      <c r="Q485">
        <v>1</v>
      </c>
    </row>
    <row r="486" spans="1:17" x14ac:dyDescent="0.25">
      <c r="A486" t="s">
        <v>755</v>
      </c>
      <c r="B486" t="s">
        <v>384</v>
      </c>
      <c r="C486" t="s">
        <v>385</v>
      </c>
      <c r="D486" t="s">
        <v>386</v>
      </c>
      <c r="E486" s="2" t="s">
        <v>422</v>
      </c>
      <c r="F486" t="s">
        <v>388</v>
      </c>
      <c r="K486">
        <v>1</v>
      </c>
      <c r="O486" t="s">
        <v>469</v>
      </c>
      <c r="P486" t="s">
        <v>393</v>
      </c>
      <c r="Q486">
        <v>1</v>
      </c>
    </row>
    <row r="487" spans="1:17" x14ac:dyDescent="0.25">
      <c r="A487" t="s">
        <v>755</v>
      </c>
      <c r="B487" t="s">
        <v>402</v>
      </c>
      <c r="C487" t="s">
        <v>403</v>
      </c>
      <c r="D487" t="s">
        <v>404</v>
      </c>
      <c r="E487" s="2" t="s">
        <v>422</v>
      </c>
      <c r="F487" t="s">
        <v>388</v>
      </c>
      <c r="K487">
        <v>1</v>
      </c>
      <c r="O487" t="s">
        <v>470</v>
      </c>
      <c r="P487" t="s">
        <v>393</v>
      </c>
      <c r="Q487">
        <v>1</v>
      </c>
    </row>
    <row r="488" spans="1:17" x14ac:dyDescent="0.25">
      <c r="A488" t="s">
        <v>755</v>
      </c>
      <c r="B488" t="s">
        <v>406</v>
      </c>
      <c r="C488" t="s">
        <v>407</v>
      </c>
      <c r="D488" t="s">
        <v>408</v>
      </c>
      <c r="E488" s="2" t="s">
        <v>422</v>
      </c>
      <c r="F488" t="s">
        <v>388</v>
      </c>
      <c r="K488">
        <v>1</v>
      </c>
      <c r="O488" t="s">
        <v>471</v>
      </c>
      <c r="P488" t="s">
        <v>393</v>
      </c>
      <c r="Q488">
        <v>1</v>
      </c>
    </row>
    <row r="489" spans="1:17" x14ac:dyDescent="0.25">
      <c r="A489" t="s">
        <v>755</v>
      </c>
      <c r="B489" t="s">
        <v>410</v>
      </c>
      <c r="C489" t="s">
        <v>411</v>
      </c>
      <c r="D489" t="s">
        <v>412</v>
      </c>
      <c r="E489" s="2" t="s">
        <v>422</v>
      </c>
      <c r="F489" t="s">
        <v>388</v>
      </c>
      <c r="K489">
        <v>1</v>
      </c>
      <c r="O489" t="s">
        <v>472</v>
      </c>
      <c r="P489" t="s">
        <v>393</v>
      </c>
      <c r="Q489">
        <v>1</v>
      </c>
    </row>
    <row r="490" spans="1:17" x14ac:dyDescent="0.25">
      <c r="A490" t="s">
        <v>755</v>
      </c>
      <c r="B490" t="s">
        <v>414</v>
      </c>
      <c r="C490" t="s">
        <v>415</v>
      </c>
      <c r="D490" t="s">
        <v>416</v>
      </c>
      <c r="E490" s="2" t="s">
        <v>422</v>
      </c>
      <c r="F490" t="s">
        <v>388</v>
      </c>
      <c r="K490">
        <v>1</v>
      </c>
      <c r="O490" t="s">
        <v>473</v>
      </c>
      <c r="P490" t="s">
        <v>393</v>
      </c>
      <c r="Q490">
        <v>1</v>
      </c>
    </row>
    <row r="491" spans="1:17" x14ac:dyDescent="0.25">
      <c r="A491" t="s">
        <v>755</v>
      </c>
      <c r="B491" t="s">
        <v>418</v>
      </c>
      <c r="C491" t="s">
        <v>419</v>
      </c>
      <c r="D491" t="s">
        <v>420</v>
      </c>
      <c r="E491" s="2" t="s">
        <v>422</v>
      </c>
      <c r="F491" t="s">
        <v>388</v>
      </c>
      <c r="K491">
        <v>1</v>
      </c>
      <c r="O491" t="s">
        <v>474</v>
      </c>
      <c r="P491" t="s">
        <v>393</v>
      </c>
      <c r="Q491">
        <v>1</v>
      </c>
    </row>
    <row r="492" spans="1:17" x14ac:dyDescent="0.25">
      <c r="A492" t="s">
        <v>757</v>
      </c>
      <c r="B492" t="s">
        <v>336</v>
      </c>
      <c r="C492" t="s">
        <v>773</v>
      </c>
      <c r="D492" t="s">
        <v>337</v>
      </c>
      <c r="E492" t="s">
        <v>338</v>
      </c>
      <c r="I492">
        <v>1</v>
      </c>
      <c r="K492">
        <v>1</v>
      </c>
      <c r="O492" t="s">
        <v>445</v>
      </c>
      <c r="P492" t="s">
        <v>364</v>
      </c>
      <c r="Q492">
        <v>1</v>
      </c>
    </row>
    <row r="493" spans="1:17" x14ac:dyDescent="0.25">
      <c r="A493" t="s">
        <v>757</v>
      </c>
      <c r="B493" t="s">
        <v>336</v>
      </c>
      <c r="C493" t="s">
        <v>341</v>
      </c>
      <c r="D493" t="s">
        <v>342</v>
      </c>
      <c r="E493" t="s">
        <v>338</v>
      </c>
      <c r="I493">
        <v>1</v>
      </c>
      <c r="K493">
        <v>1</v>
      </c>
      <c r="O493" t="s">
        <v>446</v>
      </c>
      <c r="P493" t="s">
        <v>364</v>
      </c>
      <c r="Q493">
        <v>1</v>
      </c>
    </row>
    <row r="494" spans="1:17" x14ac:dyDescent="0.25">
      <c r="A494" t="s">
        <v>757</v>
      </c>
      <c r="B494" t="s">
        <v>336</v>
      </c>
      <c r="C494" t="s">
        <v>344</v>
      </c>
      <c r="D494" t="s">
        <v>345</v>
      </c>
      <c r="E494" t="s">
        <v>338</v>
      </c>
      <c r="I494">
        <v>1</v>
      </c>
      <c r="K494">
        <v>1</v>
      </c>
      <c r="O494" t="s">
        <v>447</v>
      </c>
      <c r="P494" t="s">
        <v>364</v>
      </c>
      <c r="Q494">
        <v>1</v>
      </c>
    </row>
    <row r="495" spans="1:17" x14ac:dyDescent="0.25">
      <c r="A495" t="s">
        <v>757</v>
      </c>
      <c r="B495" t="s">
        <v>336</v>
      </c>
      <c r="C495" t="s">
        <v>347</v>
      </c>
      <c r="D495" t="s">
        <v>348</v>
      </c>
      <c r="E495" t="s">
        <v>338</v>
      </c>
      <c r="I495">
        <v>1</v>
      </c>
      <c r="K495">
        <v>1</v>
      </c>
      <c r="O495" t="s">
        <v>448</v>
      </c>
      <c r="P495" t="s">
        <v>364</v>
      </c>
      <c r="Q495">
        <v>1</v>
      </c>
    </row>
    <row r="496" spans="1:17" x14ac:dyDescent="0.25">
      <c r="A496" t="s">
        <v>757</v>
      </c>
      <c r="B496" t="s">
        <v>336</v>
      </c>
      <c r="C496" t="s">
        <v>350</v>
      </c>
      <c r="D496" t="s">
        <v>351</v>
      </c>
      <c r="E496" t="s">
        <v>338</v>
      </c>
      <c r="I496">
        <v>1</v>
      </c>
      <c r="K496">
        <v>1</v>
      </c>
      <c r="O496" t="s">
        <v>449</v>
      </c>
      <c r="P496" t="s">
        <v>364</v>
      </c>
      <c r="Q496">
        <v>1</v>
      </c>
    </row>
    <row r="497" spans="1:17" x14ac:dyDescent="0.25">
      <c r="A497" t="s">
        <v>757</v>
      </c>
      <c r="B497" t="s">
        <v>336</v>
      </c>
      <c r="C497" t="s">
        <v>353</v>
      </c>
      <c r="D497" t="s">
        <v>354</v>
      </c>
      <c r="E497" t="s">
        <v>338</v>
      </c>
      <c r="I497">
        <v>1</v>
      </c>
      <c r="K497">
        <v>1</v>
      </c>
      <c r="O497" t="s">
        <v>450</v>
      </c>
      <c r="P497" t="s">
        <v>364</v>
      </c>
      <c r="Q497">
        <v>1</v>
      </c>
    </row>
    <row r="498" spans="1:17" x14ac:dyDescent="0.25">
      <c r="A498" t="s">
        <v>757</v>
      </c>
      <c r="B498" t="s">
        <v>336</v>
      </c>
      <c r="C498" t="s">
        <v>356</v>
      </c>
      <c r="D498" t="s">
        <v>357</v>
      </c>
      <c r="E498" t="s">
        <v>338</v>
      </c>
      <c r="I498">
        <v>1</v>
      </c>
      <c r="K498">
        <v>1</v>
      </c>
      <c r="O498" t="s">
        <v>451</v>
      </c>
      <c r="P498" t="s">
        <v>364</v>
      </c>
      <c r="Q498">
        <v>1</v>
      </c>
    </row>
    <row r="499" spans="1:17" x14ac:dyDescent="0.25">
      <c r="A499" t="s">
        <v>757</v>
      </c>
      <c r="B499" t="s">
        <v>359</v>
      </c>
      <c r="C499" t="s">
        <v>360</v>
      </c>
      <c r="D499" t="s">
        <v>361</v>
      </c>
      <c r="E499" t="s">
        <v>338</v>
      </c>
      <c r="I499">
        <v>1</v>
      </c>
      <c r="K499">
        <v>1</v>
      </c>
      <c r="O499" t="s">
        <v>452</v>
      </c>
      <c r="P499" t="s">
        <v>364</v>
      </c>
      <c r="Q499">
        <v>1</v>
      </c>
    </row>
    <row r="500" spans="1:17" x14ac:dyDescent="0.25">
      <c r="A500" t="s">
        <v>757</v>
      </c>
      <c r="B500" t="s">
        <v>372</v>
      </c>
      <c r="C500" t="s">
        <v>373</v>
      </c>
      <c r="D500" t="s">
        <v>374</v>
      </c>
      <c r="E500" t="s">
        <v>338</v>
      </c>
      <c r="I500">
        <v>1</v>
      </c>
      <c r="K500">
        <v>1</v>
      </c>
      <c r="O500" t="s">
        <v>453</v>
      </c>
      <c r="P500" t="s">
        <v>364</v>
      </c>
      <c r="Q500">
        <v>1</v>
      </c>
    </row>
    <row r="501" spans="1:17" x14ac:dyDescent="0.25">
      <c r="A501" t="s">
        <v>757</v>
      </c>
      <c r="B501" t="s">
        <v>376</v>
      </c>
      <c r="C501" t="s">
        <v>377</v>
      </c>
      <c r="D501" t="s">
        <v>378</v>
      </c>
      <c r="E501" t="s">
        <v>338</v>
      </c>
      <c r="I501">
        <v>1</v>
      </c>
      <c r="K501">
        <v>1</v>
      </c>
      <c r="O501" t="s">
        <v>454</v>
      </c>
      <c r="P501" t="s">
        <v>364</v>
      </c>
      <c r="Q501">
        <v>1</v>
      </c>
    </row>
    <row r="502" spans="1:17" x14ac:dyDescent="0.25">
      <c r="A502" t="s">
        <v>757</v>
      </c>
      <c r="B502" t="s">
        <v>380</v>
      </c>
      <c r="C502" t="s">
        <v>381</v>
      </c>
      <c r="D502" t="s">
        <v>382</v>
      </c>
      <c r="E502" t="s">
        <v>338</v>
      </c>
      <c r="I502">
        <v>1</v>
      </c>
      <c r="K502">
        <v>1</v>
      </c>
      <c r="O502" t="s">
        <v>455</v>
      </c>
      <c r="P502" t="s">
        <v>364</v>
      </c>
      <c r="Q502">
        <v>1</v>
      </c>
    </row>
    <row r="503" spans="1:17" x14ac:dyDescent="0.25">
      <c r="A503" t="s">
        <v>757</v>
      </c>
      <c r="B503" t="s">
        <v>384</v>
      </c>
      <c r="C503" t="s">
        <v>385</v>
      </c>
      <c r="D503" t="s">
        <v>386</v>
      </c>
      <c r="E503" t="s">
        <v>338</v>
      </c>
      <c r="I503">
        <v>1</v>
      </c>
      <c r="K503">
        <v>1</v>
      </c>
      <c r="O503" t="s">
        <v>456</v>
      </c>
      <c r="P503" t="s">
        <v>364</v>
      </c>
      <c r="Q503">
        <v>1</v>
      </c>
    </row>
    <row r="504" spans="1:17" x14ac:dyDescent="0.25">
      <c r="A504" t="s">
        <v>757</v>
      </c>
      <c r="B504" t="s">
        <v>336</v>
      </c>
      <c r="C504" t="s">
        <v>773</v>
      </c>
      <c r="D504" t="s">
        <v>337</v>
      </c>
      <c r="E504" t="s">
        <v>338</v>
      </c>
      <c r="F504" t="s">
        <v>388</v>
      </c>
      <c r="I504">
        <v>1</v>
      </c>
      <c r="K504">
        <v>1</v>
      </c>
      <c r="O504" t="s">
        <v>445</v>
      </c>
      <c r="P504" t="s">
        <v>389</v>
      </c>
      <c r="Q504">
        <v>1</v>
      </c>
    </row>
    <row r="505" spans="1:17" x14ac:dyDescent="0.25">
      <c r="A505" t="s">
        <v>757</v>
      </c>
      <c r="B505" t="s">
        <v>336</v>
      </c>
      <c r="C505" t="s">
        <v>341</v>
      </c>
      <c r="D505" t="s">
        <v>342</v>
      </c>
      <c r="E505" t="s">
        <v>338</v>
      </c>
      <c r="F505" t="s">
        <v>388</v>
      </c>
      <c r="I505">
        <v>1</v>
      </c>
      <c r="K505">
        <v>1</v>
      </c>
      <c r="O505" t="s">
        <v>446</v>
      </c>
      <c r="P505" t="s">
        <v>389</v>
      </c>
      <c r="Q505">
        <v>1</v>
      </c>
    </row>
    <row r="506" spans="1:17" x14ac:dyDescent="0.25">
      <c r="A506" t="s">
        <v>757</v>
      </c>
      <c r="B506" t="s">
        <v>336</v>
      </c>
      <c r="C506" t="s">
        <v>344</v>
      </c>
      <c r="D506" t="s">
        <v>345</v>
      </c>
      <c r="E506" t="s">
        <v>338</v>
      </c>
      <c r="F506" t="s">
        <v>388</v>
      </c>
      <c r="I506">
        <v>1</v>
      </c>
      <c r="K506">
        <v>1</v>
      </c>
      <c r="O506" t="s">
        <v>447</v>
      </c>
      <c r="P506" t="s">
        <v>389</v>
      </c>
      <c r="Q506">
        <v>1</v>
      </c>
    </row>
    <row r="507" spans="1:17" x14ac:dyDescent="0.25">
      <c r="A507" t="s">
        <v>757</v>
      </c>
      <c r="B507" t="s">
        <v>336</v>
      </c>
      <c r="C507" t="s">
        <v>347</v>
      </c>
      <c r="D507" t="s">
        <v>348</v>
      </c>
      <c r="E507" t="s">
        <v>338</v>
      </c>
      <c r="F507" t="s">
        <v>388</v>
      </c>
      <c r="I507">
        <v>1</v>
      </c>
      <c r="K507">
        <v>1</v>
      </c>
      <c r="O507" t="s">
        <v>448</v>
      </c>
      <c r="P507" t="s">
        <v>389</v>
      </c>
      <c r="Q507">
        <v>1</v>
      </c>
    </row>
    <row r="508" spans="1:17" x14ac:dyDescent="0.25">
      <c r="A508" t="s">
        <v>757</v>
      </c>
      <c r="B508" t="s">
        <v>336</v>
      </c>
      <c r="C508" t="s">
        <v>350</v>
      </c>
      <c r="D508" t="s">
        <v>351</v>
      </c>
      <c r="E508" t="s">
        <v>338</v>
      </c>
      <c r="F508" t="s">
        <v>388</v>
      </c>
      <c r="I508">
        <v>1</v>
      </c>
      <c r="K508">
        <v>1</v>
      </c>
      <c r="O508" t="s">
        <v>449</v>
      </c>
      <c r="P508" t="s">
        <v>389</v>
      </c>
      <c r="Q508">
        <v>1</v>
      </c>
    </row>
    <row r="509" spans="1:17" x14ac:dyDescent="0.25">
      <c r="A509" t="s">
        <v>757</v>
      </c>
      <c r="B509" t="s">
        <v>336</v>
      </c>
      <c r="C509" t="s">
        <v>353</v>
      </c>
      <c r="D509" t="s">
        <v>354</v>
      </c>
      <c r="E509" t="s">
        <v>338</v>
      </c>
      <c r="F509" t="s">
        <v>388</v>
      </c>
      <c r="I509">
        <v>1</v>
      </c>
      <c r="K509">
        <v>1</v>
      </c>
      <c r="O509" t="s">
        <v>450</v>
      </c>
      <c r="P509" t="s">
        <v>389</v>
      </c>
      <c r="Q509">
        <v>1</v>
      </c>
    </row>
    <row r="510" spans="1:17" x14ac:dyDescent="0.25">
      <c r="A510" t="s">
        <v>757</v>
      </c>
      <c r="B510" t="s">
        <v>336</v>
      </c>
      <c r="C510" t="s">
        <v>356</v>
      </c>
      <c r="D510" t="s">
        <v>357</v>
      </c>
      <c r="E510" t="s">
        <v>338</v>
      </c>
      <c r="F510" t="s">
        <v>388</v>
      </c>
      <c r="I510">
        <v>1</v>
      </c>
      <c r="K510">
        <v>1</v>
      </c>
      <c r="O510" t="s">
        <v>451</v>
      </c>
      <c r="P510" t="s">
        <v>389</v>
      </c>
      <c r="Q510">
        <v>1</v>
      </c>
    </row>
    <row r="511" spans="1:17" x14ac:dyDescent="0.25">
      <c r="A511" t="s">
        <v>757</v>
      </c>
      <c r="B511" t="s">
        <v>359</v>
      </c>
      <c r="C511" t="s">
        <v>360</v>
      </c>
      <c r="D511" t="s">
        <v>361</v>
      </c>
      <c r="E511" t="s">
        <v>338</v>
      </c>
      <c r="F511" t="s">
        <v>388</v>
      </c>
      <c r="I511">
        <v>1</v>
      </c>
      <c r="K511">
        <v>1</v>
      </c>
      <c r="O511" t="s">
        <v>452</v>
      </c>
      <c r="P511" t="s">
        <v>389</v>
      </c>
      <c r="Q511">
        <v>1</v>
      </c>
    </row>
    <row r="512" spans="1:17" x14ac:dyDescent="0.25">
      <c r="A512" t="s">
        <v>757</v>
      </c>
      <c r="B512" t="s">
        <v>372</v>
      </c>
      <c r="C512" t="s">
        <v>373</v>
      </c>
      <c r="D512" t="s">
        <v>374</v>
      </c>
      <c r="E512" t="s">
        <v>338</v>
      </c>
      <c r="F512" t="s">
        <v>388</v>
      </c>
      <c r="I512">
        <v>1</v>
      </c>
      <c r="K512">
        <v>1</v>
      </c>
      <c r="O512" t="s">
        <v>453</v>
      </c>
      <c r="P512" t="s">
        <v>389</v>
      </c>
      <c r="Q512">
        <v>1</v>
      </c>
    </row>
    <row r="513" spans="1:19" x14ac:dyDescent="0.25">
      <c r="A513" t="s">
        <v>757</v>
      </c>
      <c r="B513" t="s">
        <v>376</v>
      </c>
      <c r="C513" t="s">
        <v>377</v>
      </c>
      <c r="D513" t="s">
        <v>378</v>
      </c>
      <c r="E513" t="s">
        <v>338</v>
      </c>
      <c r="F513" t="s">
        <v>388</v>
      </c>
      <c r="I513">
        <v>1</v>
      </c>
      <c r="K513">
        <v>1</v>
      </c>
      <c r="O513" t="s">
        <v>454</v>
      </c>
      <c r="P513" t="s">
        <v>389</v>
      </c>
      <c r="Q513">
        <v>1</v>
      </c>
    </row>
    <row r="514" spans="1:19" x14ac:dyDescent="0.25">
      <c r="A514" t="s">
        <v>757</v>
      </c>
      <c r="B514" t="s">
        <v>380</v>
      </c>
      <c r="C514" t="s">
        <v>381</v>
      </c>
      <c r="D514" t="s">
        <v>382</v>
      </c>
      <c r="E514" t="s">
        <v>338</v>
      </c>
      <c r="F514" t="s">
        <v>388</v>
      </c>
      <c r="I514">
        <v>1</v>
      </c>
      <c r="K514">
        <v>1</v>
      </c>
      <c r="O514" t="s">
        <v>455</v>
      </c>
      <c r="P514" t="s">
        <v>389</v>
      </c>
      <c r="Q514">
        <v>1</v>
      </c>
    </row>
    <row r="515" spans="1:19" x14ac:dyDescent="0.25">
      <c r="A515" t="s">
        <v>757</v>
      </c>
      <c r="B515" t="s">
        <v>384</v>
      </c>
      <c r="C515" t="s">
        <v>385</v>
      </c>
      <c r="D515" t="s">
        <v>386</v>
      </c>
      <c r="E515" t="s">
        <v>338</v>
      </c>
      <c r="F515" t="s">
        <v>388</v>
      </c>
      <c r="I515">
        <v>1</v>
      </c>
      <c r="K515">
        <v>1</v>
      </c>
      <c r="O515" t="s">
        <v>456</v>
      </c>
      <c r="P515" t="s">
        <v>389</v>
      </c>
      <c r="Q515">
        <v>1</v>
      </c>
    </row>
    <row r="516" spans="1:19" x14ac:dyDescent="0.25">
      <c r="A516" t="s">
        <v>757</v>
      </c>
      <c r="B516" t="s">
        <v>336</v>
      </c>
      <c r="C516" t="s">
        <v>347</v>
      </c>
      <c r="D516" t="s">
        <v>348</v>
      </c>
      <c r="E516" t="s">
        <v>391</v>
      </c>
      <c r="I516">
        <v>1</v>
      </c>
      <c r="K516">
        <v>1</v>
      </c>
      <c r="O516" t="s">
        <v>392</v>
      </c>
      <c r="P516" t="s">
        <v>393</v>
      </c>
      <c r="Q516">
        <v>1</v>
      </c>
      <c r="R516" t="s">
        <v>436</v>
      </c>
      <c r="S516">
        <v>1</v>
      </c>
    </row>
    <row r="517" spans="1:19" x14ac:dyDescent="0.25">
      <c r="A517" t="s">
        <v>757</v>
      </c>
      <c r="B517" t="s">
        <v>336</v>
      </c>
      <c r="C517" t="s">
        <v>350</v>
      </c>
      <c r="D517" t="s">
        <v>351</v>
      </c>
      <c r="E517" t="s">
        <v>391</v>
      </c>
      <c r="I517">
        <v>1</v>
      </c>
      <c r="K517">
        <v>1</v>
      </c>
      <c r="O517" t="s">
        <v>394</v>
      </c>
      <c r="P517" t="s">
        <v>393</v>
      </c>
      <c r="Q517">
        <v>1</v>
      </c>
      <c r="R517" t="s">
        <v>436</v>
      </c>
      <c r="S517">
        <v>1</v>
      </c>
    </row>
    <row r="518" spans="1:19" x14ac:dyDescent="0.25">
      <c r="A518" t="s">
        <v>757</v>
      </c>
      <c r="B518" t="s">
        <v>336</v>
      </c>
      <c r="C518" t="s">
        <v>353</v>
      </c>
      <c r="D518" t="s">
        <v>354</v>
      </c>
      <c r="E518" t="s">
        <v>391</v>
      </c>
      <c r="I518">
        <v>1</v>
      </c>
      <c r="K518">
        <v>1</v>
      </c>
      <c r="O518" t="s">
        <v>395</v>
      </c>
      <c r="P518" t="s">
        <v>393</v>
      </c>
      <c r="Q518">
        <v>1</v>
      </c>
      <c r="R518" t="s">
        <v>436</v>
      </c>
      <c r="S518">
        <v>1</v>
      </c>
    </row>
    <row r="519" spans="1:19" x14ac:dyDescent="0.25">
      <c r="A519" t="s">
        <v>757</v>
      </c>
      <c r="B519" t="s">
        <v>336</v>
      </c>
      <c r="C519" t="s">
        <v>356</v>
      </c>
      <c r="D519" t="s">
        <v>357</v>
      </c>
      <c r="E519" t="s">
        <v>391</v>
      </c>
      <c r="I519">
        <v>1</v>
      </c>
      <c r="K519">
        <v>1</v>
      </c>
      <c r="O519" t="s">
        <v>396</v>
      </c>
      <c r="P519" t="s">
        <v>393</v>
      </c>
      <c r="Q519">
        <v>1</v>
      </c>
      <c r="R519" t="s">
        <v>436</v>
      </c>
      <c r="S519">
        <v>1</v>
      </c>
    </row>
    <row r="520" spans="1:19" x14ac:dyDescent="0.25">
      <c r="A520" t="s">
        <v>757</v>
      </c>
      <c r="B520" t="s">
        <v>359</v>
      </c>
      <c r="C520" t="s">
        <v>360</v>
      </c>
      <c r="D520" t="s">
        <v>361</v>
      </c>
      <c r="E520" t="s">
        <v>391</v>
      </c>
      <c r="I520">
        <v>1</v>
      </c>
      <c r="K520">
        <v>1</v>
      </c>
      <c r="O520" t="s">
        <v>397</v>
      </c>
      <c r="P520" t="s">
        <v>393</v>
      </c>
      <c r="Q520">
        <v>1</v>
      </c>
      <c r="R520" t="s">
        <v>436</v>
      </c>
      <c r="S520">
        <v>1</v>
      </c>
    </row>
    <row r="521" spans="1:19" x14ac:dyDescent="0.25">
      <c r="A521" t="s">
        <v>757</v>
      </c>
      <c r="B521" t="s">
        <v>372</v>
      </c>
      <c r="C521" t="s">
        <v>373</v>
      </c>
      <c r="D521" t="s">
        <v>374</v>
      </c>
      <c r="E521" t="s">
        <v>391</v>
      </c>
      <c r="I521">
        <v>1</v>
      </c>
      <c r="K521">
        <v>1</v>
      </c>
      <c r="O521" t="s">
        <v>398</v>
      </c>
      <c r="P521" t="s">
        <v>393</v>
      </c>
      <c r="Q521">
        <v>1</v>
      </c>
      <c r="R521" t="s">
        <v>436</v>
      </c>
      <c r="S521">
        <v>1</v>
      </c>
    </row>
    <row r="522" spans="1:19" x14ac:dyDescent="0.25">
      <c r="A522" t="s">
        <v>757</v>
      </c>
      <c r="B522" t="s">
        <v>376</v>
      </c>
      <c r="C522" t="s">
        <v>377</v>
      </c>
      <c r="D522" t="s">
        <v>378</v>
      </c>
      <c r="E522" t="s">
        <v>391</v>
      </c>
      <c r="I522">
        <v>1</v>
      </c>
      <c r="K522">
        <v>1</v>
      </c>
      <c r="O522" t="s">
        <v>399</v>
      </c>
      <c r="P522" t="s">
        <v>393</v>
      </c>
      <c r="Q522">
        <v>1</v>
      </c>
      <c r="R522" t="s">
        <v>436</v>
      </c>
      <c r="S522">
        <v>1</v>
      </c>
    </row>
    <row r="523" spans="1:19" x14ac:dyDescent="0.25">
      <c r="A523" t="s">
        <v>757</v>
      </c>
      <c r="B523" t="s">
        <v>380</v>
      </c>
      <c r="C523" t="s">
        <v>381</v>
      </c>
      <c r="D523" t="s">
        <v>382</v>
      </c>
      <c r="E523" t="s">
        <v>391</v>
      </c>
      <c r="I523">
        <v>1</v>
      </c>
      <c r="K523">
        <v>1</v>
      </c>
      <c r="O523" t="s">
        <v>400</v>
      </c>
      <c r="P523" t="s">
        <v>393</v>
      </c>
      <c r="Q523">
        <v>1</v>
      </c>
      <c r="R523" t="s">
        <v>436</v>
      </c>
      <c r="S523">
        <v>1</v>
      </c>
    </row>
    <row r="524" spans="1:19" x14ac:dyDescent="0.25">
      <c r="A524" t="s">
        <v>757</v>
      </c>
      <c r="B524" t="s">
        <v>384</v>
      </c>
      <c r="C524" t="s">
        <v>385</v>
      </c>
      <c r="D524" t="s">
        <v>386</v>
      </c>
      <c r="E524" t="s">
        <v>391</v>
      </c>
      <c r="I524">
        <v>1</v>
      </c>
      <c r="K524">
        <v>1</v>
      </c>
      <c r="O524" t="s">
        <v>457</v>
      </c>
      <c r="P524" t="s">
        <v>393</v>
      </c>
      <c r="Q524">
        <v>1</v>
      </c>
      <c r="R524" t="s">
        <v>436</v>
      </c>
      <c r="S524">
        <v>1</v>
      </c>
    </row>
    <row r="525" spans="1:19" x14ac:dyDescent="0.25">
      <c r="A525" t="s">
        <v>757</v>
      </c>
      <c r="B525" t="s">
        <v>402</v>
      </c>
      <c r="C525" t="s">
        <v>403</v>
      </c>
      <c r="D525" t="s">
        <v>404</v>
      </c>
      <c r="E525" t="s">
        <v>391</v>
      </c>
      <c r="I525">
        <v>1</v>
      </c>
      <c r="K525">
        <v>1</v>
      </c>
      <c r="O525" t="s">
        <v>458</v>
      </c>
      <c r="P525" t="s">
        <v>393</v>
      </c>
      <c r="Q525">
        <v>1</v>
      </c>
      <c r="R525" t="s">
        <v>436</v>
      </c>
      <c r="S525">
        <v>1</v>
      </c>
    </row>
    <row r="526" spans="1:19" x14ac:dyDescent="0.25">
      <c r="A526" t="s">
        <v>757</v>
      </c>
      <c r="B526" t="s">
        <v>406</v>
      </c>
      <c r="C526" t="s">
        <v>407</v>
      </c>
      <c r="D526" t="s">
        <v>408</v>
      </c>
      <c r="E526" t="s">
        <v>391</v>
      </c>
      <c r="I526">
        <v>1</v>
      </c>
      <c r="K526">
        <v>1</v>
      </c>
      <c r="O526" t="s">
        <v>459</v>
      </c>
      <c r="P526" t="s">
        <v>393</v>
      </c>
      <c r="Q526">
        <v>1</v>
      </c>
      <c r="R526" t="s">
        <v>436</v>
      </c>
      <c r="S526">
        <v>1</v>
      </c>
    </row>
    <row r="527" spans="1:19" x14ac:dyDescent="0.25">
      <c r="A527" t="s">
        <v>757</v>
      </c>
      <c r="B527" t="s">
        <v>410</v>
      </c>
      <c r="C527" t="s">
        <v>411</v>
      </c>
      <c r="D527" t="s">
        <v>412</v>
      </c>
      <c r="E527" t="s">
        <v>391</v>
      </c>
      <c r="I527">
        <v>1</v>
      </c>
      <c r="K527">
        <v>1</v>
      </c>
      <c r="O527" t="s">
        <v>460</v>
      </c>
      <c r="P527" t="s">
        <v>393</v>
      </c>
      <c r="Q527">
        <v>1</v>
      </c>
      <c r="R527" t="s">
        <v>436</v>
      </c>
      <c r="S527">
        <v>1</v>
      </c>
    </row>
    <row r="528" spans="1:19" x14ac:dyDescent="0.25">
      <c r="A528" t="s">
        <v>757</v>
      </c>
      <c r="B528" t="s">
        <v>414</v>
      </c>
      <c r="C528" t="s">
        <v>415</v>
      </c>
      <c r="D528" t="s">
        <v>416</v>
      </c>
      <c r="E528" t="s">
        <v>391</v>
      </c>
      <c r="I528">
        <v>1</v>
      </c>
      <c r="K528">
        <v>1</v>
      </c>
      <c r="O528" t="s">
        <v>461</v>
      </c>
      <c r="P528" t="s">
        <v>393</v>
      </c>
      <c r="Q528">
        <v>1</v>
      </c>
      <c r="R528" t="s">
        <v>436</v>
      </c>
      <c r="S528">
        <v>1</v>
      </c>
    </row>
    <row r="529" spans="1:19" x14ac:dyDescent="0.25">
      <c r="A529" t="s">
        <v>757</v>
      </c>
      <c r="B529" t="s">
        <v>418</v>
      </c>
      <c r="C529" t="s">
        <v>419</v>
      </c>
      <c r="D529" t="s">
        <v>420</v>
      </c>
      <c r="E529" t="s">
        <v>391</v>
      </c>
      <c r="I529">
        <v>1</v>
      </c>
      <c r="K529">
        <v>1</v>
      </c>
      <c r="O529" t="s">
        <v>462</v>
      </c>
      <c r="P529" t="s">
        <v>393</v>
      </c>
      <c r="Q529">
        <v>1</v>
      </c>
      <c r="R529" t="s">
        <v>436</v>
      </c>
      <c r="S529">
        <v>1</v>
      </c>
    </row>
    <row r="530" spans="1:19" x14ac:dyDescent="0.25">
      <c r="A530" t="s">
        <v>757</v>
      </c>
      <c r="B530" t="s">
        <v>336</v>
      </c>
      <c r="C530" t="s">
        <v>350</v>
      </c>
      <c r="D530" t="s">
        <v>351</v>
      </c>
      <c r="E530" s="2" t="s">
        <v>422</v>
      </c>
      <c r="F530" s="2"/>
      <c r="I530">
        <v>1</v>
      </c>
      <c r="K530">
        <v>1</v>
      </c>
      <c r="O530" t="s">
        <v>463</v>
      </c>
      <c r="P530" t="s">
        <v>393</v>
      </c>
      <c r="Q530">
        <v>1</v>
      </c>
      <c r="R530" t="s">
        <v>436</v>
      </c>
      <c r="S530">
        <v>1</v>
      </c>
    </row>
    <row r="531" spans="1:19" x14ac:dyDescent="0.25">
      <c r="A531" t="s">
        <v>757</v>
      </c>
      <c r="B531" t="s">
        <v>336</v>
      </c>
      <c r="C531" t="s">
        <v>353</v>
      </c>
      <c r="D531" t="s">
        <v>354</v>
      </c>
      <c r="E531" s="2" t="s">
        <v>422</v>
      </c>
      <c r="F531" s="2"/>
      <c r="I531">
        <v>1</v>
      </c>
      <c r="K531">
        <v>1</v>
      </c>
      <c r="O531" t="s">
        <v>464</v>
      </c>
      <c r="P531" t="s">
        <v>393</v>
      </c>
      <c r="Q531">
        <v>1</v>
      </c>
      <c r="R531" t="s">
        <v>436</v>
      </c>
      <c r="S531">
        <v>1</v>
      </c>
    </row>
    <row r="532" spans="1:19" x14ac:dyDescent="0.25">
      <c r="A532" t="s">
        <v>757</v>
      </c>
      <c r="B532" t="s">
        <v>336</v>
      </c>
      <c r="C532" t="s">
        <v>356</v>
      </c>
      <c r="D532" t="s">
        <v>357</v>
      </c>
      <c r="E532" s="2" t="s">
        <v>422</v>
      </c>
      <c r="F532" s="2"/>
      <c r="I532">
        <v>1</v>
      </c>
      <c r="K532">
        <v>1</v>
      </c>
      <c r="O532" t="s">
        <v>465</v>
      </c>
      <c r="P532" t="s">
        <v>393</v>
      </c>
      <c r="Q532">
        <v>1</v>
      </c>
      <c r="R532" t="s">
        <v>436</v>
      </c>
      <c r="S532">
        <v>1</v>
      </c>
    </row>
    <row r="533" spans="1:19" x14ac:dyDescent="0.25">
      <c r="A533" t="s">
        <v>757</v>
      </c>
      <c r="B533" t="s">
        <v>359</v>
      </c>
      <c r="C533" t="s">
        <v>360</v>
      </c>
      <c r="D533" t="s">
        <v>361</v>
      </c>
      <c r="E533" s="2" t="s">
        <v>422</v>
      </c>
      <c r="F533" s="2"/>
      <c r="I533">
        <v>1</v>
      </c>
      <c r="K533">
        <v>1</v>
      </c>
      <c r="O533" t="s">
        <v>466</v>
      </c>
      <c r="P533" t="s">
        <v>393</v>
      </c>
      <c r="Q533">
        <v>1</v>
      </c>
      <c r="R533" t="s">
        <v>436</v>
      </c>
      <c r="S533">
        <v>1</v>
      </c>
    </row>
    <row r="534" spans="1:19" x14ac:dyDescent="0.25">
      <c r="A534" t="s">
        <v>757</v>
      </c>
      <c r="B534" t="s">
        <v>372</v>
      </c>
      <c r="C534" t="s">
        <v>373</v>
      </c>
      <c r="D534" t="s">
        <v>374</v>
      </c>
      <c r="E534" s="2" t="s">
        <v>422</v>
      </c>
      <c r="F534" s="2"/>
      <c r="I534">
        <v>1</v>
      </c>
      <c r="K534">
        <v>1</v>
      </c>
      <c r="O534" t="s">
        <v>467</v>
      </c>
      <c r="P534" t="s">
        <v>393</v>
      </c>
      <c r="Q534">
        <v>1</v>
      </c>
      <c r="R534" t="s">
        <v>436</v>
      </c>
      <c r="S534">
        <v>1</v>
      </c>
    </row>
    <row r="535" spans="1:19" x14ac:dyDescent="0.25">
      <c r="A535" t="s">
        <v>757</v>
      </c>
      <c r="B535" t="s">
        <v>376</v>
      </c>
      <c r="C535" t="s">
        <v>377</v>
      </c>
      <c r="D535" t="s">
        <v>378</v>
      </c>
      <c r="E535" s="2" t="s">
        <v>422</v>
      </c>
      <c r="F535" s="2"/>
      <c r="I535">
        <v>1</v>
      </c>
      <c r="K535">
        <v>1</v>
      </c>
      <c r="O535" t="s">
        <v>468</v>
      </c>
      <c r="P535" t="s">
        <v>393</v>
      </c>
      <c r="Q535">
        <v>1</v>
      </c>
      <c r="R535" t="s">
        <v>436</v>
      </c>
      <c r="S535">
        <v>1</v>
      </c>
    </row>
    <row r="536" spans="1:19" x14ac:dyDescent="0.25">
      <c r="A536" t="s">
        <v>757</v>
      </c>
      <c r="B536" t="s">
        <v>380</v>
      </c>
      <c r="C536" t="s">
        <v>381</v>
      </c>
      <c r="D536" t="s">
        <v>382</v>
      </c>
      <c r="E536" s="2" t="s">
        <v>422</v>
      </c>
      <c r="F536" s="2"/>
      <c r="I536">
        <v>1</v>
      </c>
      <c r="K536">
        <v>1</v>
      </c>
      <c r="O536" t="s">
        <v>429</v>
      </c>
      <c r="P536" t="s">
        <v>393</v>
      </c>
      <c r="Q536">
        <v>1</v>
      </c>
      <c r="R536" t="s">
        <v>436</v>
      </c>
      <c r="S536">
        <v>1</v>
      </c>
    </row>
    <row r="537" spans="1:19" x14ac:dyDescent="0.25">
      <c r="A537" t="s">
        <v>757</v>
      </c>
      <c r="B537" t="s">
        <v>384</v>
      </c>
      <c r="C537" t="s">
        <v>385</v>
      </c>
      <c r="D537" t="s">
        <v>386</v>
      </c>
      <c r="E537" s="2" t="s">
        <v>422</v>
      </c>
      <c r="F537" s="2"/>
      <c r="I537">
        <v>1</v>
      </c>
      <c r="K537">
        <v>1</v>
      </c>
      <c r="O537" t="s">
        <v>469</v>
      </c>
      <c r="P537" t="s">
        <v>393</v>
      </c>
      <c r="Q537">
        <v>1</v>
      </c>
      <c r="R537" t="s">
        <v>436</v>
      </c>
      <c r="S537">
        <v>1</v>
      </c>
    </row>
    <row r="538" spans="1:19" x14ac:dyDescent="0.25">
      <c r="A538" t="s">
        <v>757</v>
      </c>
      <c r="B538" t="s">
        <v>402</v>
      </c>
      <c r="C538" t="s">
        <v>403</v>
      </c>
      <c r="D538" t="s">
        <v>404</v>
      </c>
      <c r="E538" s="2" t="s">
        <v>422</v>
      </c>
      <c r="F538" s="2"/>
      <c r="I538">
        <v>1</v>
      </c>
      <c r="K538">
        <v>1</v>
      </c>
      <c r="O538" t="s">
        <v>470</v>
      </c>
      <c r="P538" t="s">
        <v>393</v>
      </c>
      <c r="Q538">
        <v>1</v>
      </c>
      <c r="R538" t="s">
        <v>436</v>
      </c>
      <c r="S538">
        <v>1</v>
      </c>
    </row>
    <row r="539" spans="1:19" x14ac:dyDescent="0.25">
      <c r="A539" t="s">
        <v>757</v>
      </c>
      <c r="B539" t="s">
        <v>406</v>
      </c>
      <c r="C539" t="s">
        <v>407</v>
      </c>
      <c r="D539" t="s">
        <v>408</v>
      </c>
      <c r="E539" s="2" t="s">
        <v>422</v>
      </c>
      <c r="F539" s="2"/>
      <c r="I539">
        <v>1</v>
      </c>
      <c r="K539">
        <v>1</v>
      </c>
      <c r="O539" t="s">
        <v>471</v>
      </c>
      <c r="P539" t="s">
        <v>393</v>
      </c>
      <c r="Q539">
        <v>1</v>
      </c>
      <c r="R539" t="s">
        <v>436</v>
      </c>
      <c r="S539">
        <v>1</v>
      </c>
    </row>
    <row r="540" spans="1:19" x14ac:dyDescent="0.25">
      <c r="A540" t="s">
        <v>757</v>
      </c>
      <c r="B540" t="s">
        <v>410</v>
      </c>
      <c r="C540" t="s">
        <v>411</v>
      </c>
      <c r="D540" t="s">
        <v>412</v>
      </c>
      <c r="E540" s="2" t="s">
        <v>422</v>
      </c>
      <c r="F540" s="2"/>
      <c r="I540">
        <v>1</v>
      </c>
      <c r="K540">
        <v>1</v>
      </c>
      <c r="O540" t="s">
        <v>472</v>
      </c>
      <c r="P540" t="s">
        <v>393</v>
      </c>
      <c r="Q540">
        <v>1</v>
      </c>
      <c r="R540" t="s">
        <v>436</v>
      </c>
      <c r="S540">
        <v>1</v>
      </c>
    </row>
    <row r="541" spans="1:19" x14ac:dyDescent="0.25">
      <c r="A541" t="s">
        <v>757</v>
      </c>
      <c r="B541" t="s">
        <v>414</v>
      </c>
      <c r="C541" t="s">
        <v>415</v>
      </c>
      <c r="D541" t="s">
        <v>416</v>
      </c>
      <c r="E541" s="2" t="s">
        <v>422</v>
      </c>
      <c r="F541" s="2"/>
      <c r="I541">
        <v>1</v>
      </c>
      <c r="K541">
        <v>1</v>
      </c>
      <c r="O541" t="s">
        <v>473</v>
      </c>
      <c r="P541" t="s">
        <v>393</v>
      </c>
      <c r="Q541">
        <v>1</v>
      </c>
      <c r="R541" t="s">
        <v>436</v>
      </c>
      <c r="S541">
        <v>1</v>
      </c>
    </row>
    <row r="542" spans="1:19" x14ac:dyDescent="0.25">
      <c r="A542" t="s">
        <v>757</v>
      </c>
      <c r="B542" t="s">
        <v>418</v>
      </c>
      <c r="C542" t="s">
        <v>419</v>
      </c>
      <c r="D542" t="s">
        <v>420</v>
      </c>
      <c r="E542" s="2" t="s">
        <v>422</v>
      </c>
      <c r="F542" s="2"/>
      <c r="I542">
        <v>1</v>
      </c>
      <c r="K542">
        <v>1</v>
      </c>
      <c r="O542" t="s">
        <v>474</v>
      </c>
      <c r="P542" t="s">
        <v>393</v>
      </c>
      <c r="Q542">
        <v>1</v>
      </c>
      <c r="R542" t="s">
        <v>436</v>
      </c>
      <c r="S542">
        <v>1</v>
      </c>
    </row>
    <row r="543" spans="1:19" x14ac:dyDescent="0.25">
      <c r="A543" t="s">
        <v>757</v>
      </c>
      <c r="B543" t="s">
        <v>336</v>
      </c>
      <c r="C543" t="s">
        <v>347</v>
      </c>
      <c r="D543" t="s">
        <v>348</v>
      </c>
      <c r="E543" t="s">
        <v>391</v>
      </c>
      <c r="F543" t="s">
        <v>388</v>
      </c>
      <c r="I543">
        <v>1</v>
      </c>
      <c r="K543">
        <v>1</v>
      </c>
      <c r="O543" t="s">
        <v>392</v>
      </c>
      <c r="P543" t="s">
        <v>393</v>
      </c>
      <c r="Q543">
        <v>1</v>
      </c>
      <c r="R543" t="s">
        <v>436</v>
      </c>
      <c r="S543">
        <v>1</v>
      </c>
    </row>
    <row r="544" spans="1:19" x14ac:dyDescent="0.25">
      <c r="A544" t="s">
        <v>757</v>
      </c>
      <c r="B544" t="s">
        <v>336</v>
      </c>
      <c r="C544" t="s">
        <v>350</v>
      </c>
      <c r="D544" t="s">
        <v>351</v>
      </c>
      <c r="E544" t="s">
        <v>391</v>
      </c>
      <c r="F544" t="s">
        <v>388</v>
      </c>
      <c r="I544">
        <v>1</v>
      </c>
      <c r="K544">
        <v>1</v>
      </c>
      <c r="O544" t="s">
        <v>394</v>
      </c>
      <c r="P544" t="s">
        <v>393</v>
      </c>
      <c r="Q544">
        <v>1</v>
      </c>
      <c r="R544" t="s">
        <v>436</v>
      </c>
      <c r="S544">
        <v>1</v>
      </c>
    </row>
    <row r="545" spans="1:19" x14ac:dyDescent="0.25">
      <c r="A545" t="s">
        <v>757</v>
      </c>
      <c r="B545" t="s">
        <v>336</v>
      </c>
      <c r="C545" t="s">
        <v>353</v>
      </c>
      <c r="D545" t="s">
        <v>354</v>
      </c>
      <c r="E545" t="s">
        <v>391</v>
      </c>
      <c r="F545" t="s">
        <v>388</v>
      </c>
      <c r="I545">
        <v>1</v>
      </c>
      <c r="K545">
        <v>1</v>
      </c>
      <c r="O545" t="s">
        <v>395</v>
      </c>
      <c r="P545" t="s">
        <v>393</v>
      </c>
      <c r="Q545">
        <v>1</v>
      </c>
      <c r="R545" t="s">
        <v>436</v>
      </c>
      <c r="S545">
        <v>1</v>
      </c>
    </row>
    <row r="546" spans="1:19" x14ac:dyDescent="0.25">
      <c r="A546" t="s">
        <v>757</v>
      </c>
      <c r="B546" t="s">
        <v>336</v>
      </c>
      <c r="C546" t="s">
        <v>356</v>
      </c>
      <c r="D546" t="s">
        <v>357</v>
      </c>
      <c r="E546" t="s">
        <v>391</v>
      </c>
      <c r="F546" t="s">
        <v>388</v>
      </c>
      <c r="I546">
        <v>1</v>
      </c>
      <c r="K546">
        <v>1</v>
      </c>
      <c r="O546" t="s">
        <v>396</v>
      </c>
      <c r="P546" t="s">
        <v>393</v>
      </c>
      <c r="Q546">
        <v>1</v>
      </c>
      <c r="R546" t="s">
        <v>436</v>
      </c>
      <c r="S546">
        <v>1</v>
      </c>
    </row>
    <row r="547" spans="1:19" x14ac:dyDescent="0.25">
      <c r="A547" t="s">
        <v>757</v>
      </c>
      <c r="B547" t="s">
        <v>359</v>
      </c>
      <c r="C547" t="s">
        <v>360</v>
      </c>
      <c r="D547" t="s">
        <v>361</v>
      </c>
      <c r="E547" t="s">
        <v>391</v>
      </c>
      <c r="F547" t="s">
        <v>388</v>
      </c>
      <c r="I547">
        <v>1</v>
      </c>
      <c r="K547">
        <v>1</v>
      </c>
      <c r="O547" t="s">
        <v>397</v>
      </c>
      <c r="P547" t="s">
        <v>393</v>
      </c>
      <c r="Q547">
        <v>1</v>
      </c>
      <c r="R547" t="s">
        <v>436</v>
      </c>
      <c r="S547">
        <v>1</v>
      </c>
    </row>
    <row r="548" spans="1:19" x14ac:dyDescent="0.25">
      <c r="A548" t="s">
        <v>757</v>
      </c>
      <c r="B548" t="s">
        <v>372</v>
      </c>
      <c r="C548" t="s">
        <v>373</v>
      </c>
      <c r="D548" t="s">
        <v>374</v>
      </c>
      <c r="E548" t="s">
        <v>391</v>
      </c>
      <c r="F548" t="s">
        <v>388</v>
      </c>
      <c r="I548">
        <v>1</v>
      </c>
      <c r="K548">
        <v>1</v>
      </c>
      <c r="O548" t="s">
        <v>398</v>
      </c>
      <c r="P548" t="s">
        <v>393</v>
      </c>
      <c r="Q548">
        <v>1</v>
      </c>
      <c r="R548" t="s">
        <v>436</v>
      </c>
      <c r="S548">
        <v>1</v>
      </c>
    </row>
    <row r="549" spans="1:19" x14ac:dyDescent="0.25">
      <c r="A549" t="s">
        <v>757</v>
      </c>
      <c r="B549" t="s">
        <v>376</v>
      </c>
      <c r="C549" t="s">
        <v>377</v>
      </c>
      <c r="D549" t="s">
        <v>378</v>
      </c>
      <c r="E549" t="s">
        <v>391</v>
      </c>
      <c r="F549" t="s">
        <v>388</v>
      </c>
      <c r="I549">
        <v>1</v>
      </c>
      <c r="K549">
        <v>1</v>
      </c>
      <c r="O549" t="s">
        <v>399</v>
      </c>
      <c r="P549" t="s">
        <v>393</v>
      </c>
      <c r="Q549">
        <v>1</v>
      </c>
      <c r="R549" t="s">
        <v>436</v>
      </c>
      <c r="S549">
        <v>1</v>
      </c>
    </row>
    <row r="550" spans="1:19" x14ac:dyDescent="0.25">
      <c r="A550" t="s">
        <v>757</v>
      </c>
      <c r="B550" t="s">
        <v>380</v>
      </c>
      <c r="C550" t="s">
        <v>381</v>
      </c>
      <c r="D550" t="s">
        <v>382</v>
      </c>
      <c r="E550" t="s">
        <v>391</v>
      </c>
      <c r="F550" t="s">
        <v>388</v>
      </c>
      <c r="I550">
        <v>1</v>
      </c>
      <c r="K550">
        <v>1</v>
      </c>
      <c r="O550" t="s">
        <v>400</v>
      </c>
      <c r="P550" t="s">
        <v>393</v>
      </c>
      <c r="Q550">
        <v>1</v>
      </c>
      <c r="R550" t="s">
        <v>436</v>
      </c>
      <c r="S550">
        <v>1</v>
      </c>
    </row>
    <row r="551" spans="1:19" x14ac:dyDescent="0.25">
      <c r="A551" t="s">
        <v>757</v>
      </c>
      <c r="B551" t="s">
        <v>384</v>
      </c>
      <c r="C551" t="s">
        <v>385</v>
      </c>
      <c r="D551" t="s">
        <v>386</v>
      </c>
      <c r="E551" t="s">
        <v>391</v>
      </c>
      <c r="F551" t="s">
        <v>388</v>
      </c>
      <c r="I551">
        <v>1</v>
      </c>
      <c r="K551">
        <v>1</v>
      </c>
      <c r="O551" t="s">
        <v>457</v>
      </c>
      <c r="P551" t="s">
        <v>393</v>
      </c>
      <c r="Q551">
        <v>1</v>
      </c>
      <c r="R551" t="s">
        <v>436</v>
      </c>
      <c r="S551">
        <v>1</v>
      </c>
    </row>
    <row r="552" spans="1:19" x14ac:dyDescent="0.25">
      <c r="A552" t="s">
        <v>757</v>
      </c>
      <c r="B552" t="s">
        <v>402</v>
      </c>
      <c r="C552" t="s">
        <v>403</v>
      </c>
      <c r="D552" t="s">
        <v>404</v>
      </c>
      <c r="E552" t="s">
        <v>391</v>
      </c>
      <c r="F552" t="s">
        <v>388</v>
      </c>
      <c r="I552">
        <v>1</v>
      </c>
      <c r="K552">
        <v>1</v>
      </c>
      <c r="O552" t="s">
        <v>458</v>
      </c>
      <c r="P552" t="s">
        <v>393</v>
      </c>
      <c r="Q552">
        <v>1</v>
      </c>
      <c r="R552" t="s">
        <v>436</v>
      </c>
      <c r="S552">
        <v>1</v>
      </c>
    </row>
    <row r="553" spans="1:19" x14ac:dyDescent="0.25">
      <c r="A553" t="s">
        <v>757</v>
      </c>
      <c r="B553" t="s">
        <v>406</v>
      </c>
      <c r="C553" t="s">
        <v>407</v>
      </c>
      <c r="D553" t="s">
        <v>408</v>
      </c>
      <c r="E553" t="s">
        <v>391</v>
      </c>
      <c r="F553" t="s">
        <v>388</v>
      </c>
      <c r="I553">
        <v>1</v>
      </c>
      <c r="K553">
        <v>1</v>
      </c>
      <c r="O553" t="s">
        <v>459</v>
      </c>
      <c r="P553" t="s">
        <v>393</v>
      </c>
      <c r="Q553">
        <v>1</v>
      </c>
      <c r="R553" t="s">
        <v>436</v>
      </c>
      <c r="S553">
        <v>1</v>
      </c>
    </row>
    <row r="554" spans="1:19" x14ac:dyDescent="0.25">
      <c r="A554" t="s">
        <v>757</v>
      </c>
      <c r="B554" t="s">
        <v>410</v>
      </c>
      <c r="C554" t="s">
        <v>411</v>
      </c>
      <c r="D554" t="s">
        <v>412</v>
      </c>
      <c r="E554" t="s">
        <v>391</v>
      </c>
      <c r="F554" t="s">
        <v>388</v>
      </c>
      <c r="I554">
        <v>1</v>
      </c>
      <c r="K554">
        <v>1</v>
      </c>
      <c r="O554" t="s">
        <v>460</v>
      </c>
      <c r="P554" t="s">
        <v>393</v>
      </c>
      <c r="Q554">
        <v>1</v>
      </c>
      <c r="R554" t="s">
        <v>436</v>
      </c>
      <c r="S554">
        <v>1</v>
      </c>
    </row>
    <row r="555" spans="1:19" x14ac:dyDescent="0.25">
      <c r="A555" t="s">
        <v>757</v>
      </c>
      <c r="B555" t="s">
        <v>414</v>
      </c>
      <c r="C555" t="s">
        <v>415</v>
      </c>
      <c r="D555" t="s">
        <v>416</v>
      </c>
      <c r="E555" t="s">
        <v>391</v>
      </c>
      <c r="F555" t="s">
        <v>388</v>
      </c>
      <c r="I555">
        <v>1</v>
      </c>
      <c r="K555">
        <v>1</v>
      </c>
      <c r="O555" t="s">
        <v>461</v>
      </c>
      <c r="P555" t="s">
        <v>393</v>
      </c>
      <c r="Q555">
        <v>1</v>
      </c>
      <c r="R555" t="s">
        <v>436</v>
      </c>
      <c r="S555">
        <v>1</v>
      </c>
    </row>
    <row r="556" spans="1:19" x14ac:dyDescent="0.25">
      <c r="A556" t="s">
        <v>757</v>
      </c>
      <c r="B556" t="s">
        <v>418</v>
      </c>
      <c r="C556" t="s">
        <v>419</v>
      </c>
      <c r="D556" t="s">
        <v>420</v>
      </c>
      <c r="E556" t="s">
        <v>391</v>
      </c>
      <c r="F556" t="s">
        <v>388</v>
      </c>
      <c r="I556">
        <v>1</v>
      </c>
      <c r="K556">
        <v>1</v>
      </c>
      <c r="O556" t="s">
        <v>462</v>
      </c>
      <c r="P556" t="s">
        <v>393</v>
      </c>
      <c r="Q556">
        <v>1</v>
      </c>
      <c r="R556" t="s">
        <v>436</v>
      </c>
      <c r="S556">
        <v>1</v>
      </c>
    </row>
    <row r="557" spans="1:19" x14ac:dyDescent="0.25">
      <c r="A557" t="s">
        <v>757</v>
      </c>
      <c r="B557" t="s">
        <v>336</v>
      </c>
      <c r="C557" t="s">
        <v>350</v>
      </c>
      <c r="D557" t="s">
        <v>351</v>
      </c>
      <c r="E557" s="2" t="s">
        <v>422</v>
      </c>
      <c r="F557" t="s">
        <v>388</v>
      </c>
      <c r="I557">
        <v>1</v>
      </c>
      <c r="K557">
        <v>1</v>
      </c>
      <c r="O557" t="s">
        <v>463</v>
      </c>
      <c r="P557" t="s">
        <v>393</v>
      </c>
      <c r="Q557">
        <v>1</v>
      </c>
      <c r="R557" t="s">
        <v>436</v>
      </c>
      <c r="S557">
        <v>1</v>
      </c>
    </row>
    <row r="558" spans="1:19" x14ac:dyDescent="0.25">
      <c r="A558" t="s">
        <v>757</v>
      </c>
      <c r="B558" t="s">
        <v>336</v>
      </c>
      <c r="C558" t="s">
        <v>353</v>
      </c>
      <c r="D558" t="s">
        <v>354</v>
      </c>
      <c r="E558" s="2" t="s">
        <v>422</v>
      </c>
      <c r="F558" t="s">
        <v>388</v>
      </c>
      <c r="I558">
        <v>1</v>
      </c>
      <c r="K558">
        <v>1</v>
      </c>
      <c r="O558" t="s">
        <v>464</v>
      </c>
      <c r="P558" t="s">
        <v>393</v>
      </c>
      <c r="Q558">
        <v>1</v>
      </c>
      <c r="R558" t="s">
        <v>436</v>
      </c>
      <c r="S558">
        <v>1</v>
      </c>
    </row>
    <row r="559" spans="1:19" x14ac:dyDescent="0.25">
      <c r="A559" t="s">
        <v>757</v>
      </c>
      <c r="B559" t="s">
        <v>336</v>
      </c>
      <c r="C559" t="s">
        <v>356</v>
      </c>
      <c r="D559" t="s">
        <v>357</v>
      </c>
      <c r="E559" s="2" t="s">
        <v>422</v>
      </c>
      <c r="F559" t="s">
        <v>388</v>
      </c>
      <c r="I559">
        <v>1</v>
      </c>
      <c r="K559">
        <v>1</v>
      </c>
      <c r="O559" t="s">
        <v>465</v>
      </c>
      <c r="P559" t="s">
        <v>393</v>
      </c>
      <c r="Q559">
        <v>1</v>
      </c>
      <c r="R559" t="s">
        <v>436</v>
      </c>
      <c r="S559">
        <v>1</v>
      </c>
    </row>
    <row r="560" spans="1:19" x14ac:dyDescent="0.25">
      <c r="A560" t="s">
        <v>757</v>
      </c>
      <c r="B560" t="s">
        <v>359</v>
      </c>
      <c r="C560" t="s">
        <v>360</v>
      </c>
      <c r="D560" t="s">
        <v>361</v>
      </c>
      <c r="E560" s="2" t="s">
        <v>422</v>
      </c>
      <c r="F560" t="s">
        <v>388</v>
      </c>
      <c r="I560">
        <v>1</v>
      </c>
      <c r="K560">
        <v>1</v>
      </c>
      <c r="O560" t="s">
        <v>466</v>
      </c>
      <c r="P560" t="s">
        <v>393</v>
      </c>
      <c r="Q560">
        <v>1</v>
      </c>
      <c r="R560" t="s">
        <v>436</v>
      </c>
      <c r="S560">
        <v>1</v>
      </c>
    </row>
    <row r="561" spans="1:19" x14ac:dyDescent="0.25">
      <c r="A561" t="s">
        <v>757</v>
      </c>
      <c r="B561" t="s">
        <v>372</v>
      </c>
      <c r="C561" t="s">
        <v>373</v>
      </c>
      <c r="D561" t="s">
        <v>374</v>
      </c>
      <c r="E561" s="2" t="s">
        <v>422</v>
      </c>
      <c r="F561" t="s">
        <v>388</v>
      </c>
      <c r="I561">
        <v>1</v>
      </c>
      <c r="K561">
        <v>1</v>
      </c>
      <c r="O561" t="s">
        <v>467</v>
      </c>
      <c r="P561" t="s">
        <v>393</v>
      </c>
      <c r="Q561">
        <v>1</v>
      </c>
      <c r="R561" t="s">
        <v>436</v>
      </c>
      <c r="S561">
        <v>1</v>
      </c>
    </row>
    <row r="562" spans="1:19" x14ac:dyDescent="0.25">
      <c r="A562" t="s">
        <v>757</v>
      </c>
      <c r="B562" t="s">
        <v>376</v>
      </c>
      <c r="C562" t="s">
        <v>377</v>
      </c>
      <c r="D562" t="s">
        <v>378</v>
      </c>
      <c r="E562" s="2" t="s">
        <v>422</v>
      </c>
      <c r="F562" t="s">
        <v>388</v>
      </c>
      <c r="I562">
        <v>1</v>
      </c>
      <c r="K562">
        <v>1</v>
      </c>
      <c r="O562" t="s">
        <v>468</v>
      </c>
      <c r="P562" t="s">
        <v>393</v>
      </c>
      <c r="Q562">
        <v>1</v>
      </c>
      <c r="R562" t="s">
        <v>436</v>
      </c>
      <c r="S562">
        <v>1</v>
      </c>
    </row>
    <row r="563" spans="1:19" x14ac:dyDescent="0.25">
      <c r="A563" t="s">
        <v>757</v>
      </c>
      <c r="B563" t="s">
        <v>380</v>
      </c>
      <c r="C563" t="s">
        <v>381</v>
      </c>
      <c r="D563" t="s">
        <v>382</v>
      </c>
      <c r="E563" s="2" t="s">
        <v>422</v>
      </c>
      <c r="F563" t="s">
        <v>388</v>
      </c>
      <c r="I563">
        <v>1</v>
      </c>
      <c r="K563">
        <v>1</v>
      </c>
      <c r="O563" t="s">
        <v>429</v>
      </c>
      <c r="P563" t="s">
        <v>393</v>
      </c>
      <c r="Q563">
        <v>1</v>
      </c>
      <c r="R563" t="s">
        <v>436</v>
      </c>
      <c r="S563">
        <v>1</v>
      </c>
    </row>
    <row r="564" spans="1:19" x14ac:dyDescent="0.25">
      <c r="A564" t="s">
        <v>757</v>
      </c>
      <c r="B564" t="s">
        <v>384</v>
      </c>
      <c r="C564" t="s">
        <v>385</v>
      </c>
      <c r="D564" t="s">
        <v>386</v>
      </c>
      <c r="E564" s="2" t="s">
        <v>422</v>
      </c>
      <c r="F564" t="s">
        <v>388</v>
      </c>
      <c r="I564">
        <v>1</v>
      </c>
      <c r="K564">
        <v>1</v>
      </c>
      <c r="O564" t="s">
        <v>469</v>
      </c>
      <c r="P564" t="s">
        <v>393</v>
      </c>
      <c r="Q564">
        <v>1</v>
      </c>
      <c r="R564" t="s">
        <v>436</v>
      </c>
      <c r="S564">
        <v>1</v>
      </c>
    </row>
    <row r="565" spans="1:19" x14ac:dyDescent="0.25">
      <c r="A565" t="s">
        <v>757</v>
      </c>
      <c r="B565" t="s">
        <v>402</v>
      </c>
      <c r="C565" t="s">
        <v>403</v>
      </c>
      <c r="D565" t="s">
        <v>404</v>
      </c>
      <c r="E565" s="2" t="s">
        <v>422</v>
      </c>
      <c r="F565" t="s">
        <v>388</v>
      </c>
      <c r="I565">
        <v>1</v>
      </c>
      <c r="K565">
        <v>1</v>
      </c>
      <c r="O565" t="s">
        <v>470</v>
      </c>
      <c r="P565" t="s">
        <v>393</v>
      </c>
      <c r="Q565">
        <v>1</v>
      </c>
      <c r="R565" t="s">
        <v>436</v>
      </c>
      <c r="S565">
        <v>1</v>
      </c>
    </row>
    <row r="566" spans="1:19" x14ac:dyDescent="0.25">
      <c r="A566" t="s">
        <v>757</v>
      </c>
      <c r="B566" t="s">
        <v>406</v>
      </c>
      <c r="C566" t="s">
        <v>407</v>
      </c>
      <c r="D566" t="s">
        <v>408</v>
      </c>
      <c r="E566" s="2" t="s">
        <v>422</v>
      </c>
      <c r="F566" t="s">
        <v>388</v>
      </c>
      <c r="I566">
        <v>1</v>
      </c>
      <c r="K566">
        <v>1</v>
      </c>
      <c r="O566" t="s">
        <v>471</v>
      </c>
      <c r="P566" t="s">
        <v>393</v>
      </c>
      <c r="Q566">
        <v>1</v>
      </c>
      <c r="R566" t="s">
        <v>436</v>
      </c>
      <c r="S566">
        <v>1</v>
      </c>
    </row>
    <row r="567" spans="1:19" x14ac:dyDescent="0.25">
      <c r="A567" t="s">
        <v>757</v>
      </c>
      <c r="B567" t="s">
        <v>410</v>
      </c>
      <c r="C567" t="s">
        <v>411</v>
      </c>
      <c r="D567" t="s">
        <v>412</v>
      </c>
      <c r="E567" s="2" t="s">
        <v>422</v>
      </c>
      <c r="F567" t="s">
        <v>388</v>
      </c>
      <c r="I567">
        <v>1</v>
      </c>
      <c r="K567">
        <v>1</v>
      </c>
      <c r="O567" t="s">
        <v>472</v>
      </c>
      <c r="P567" t="s">
        <v>393</v>
      </c>
      <c r="Q567">
        <v>1</v>
      </c>
      <c r="R567" t="s">
        <v>436</v>
      </c>
      <c r="S567">
        <v>1</v>
      </c>
    </row>
    <row r="568" spans="1:19" x14ac:dyDescent="0.25">
      <c r="A568" t="s">
        <v>757</v>
      </c>
      <c r="B568" t="s">
        <v>414</v>
      </c>
      <c r="C568" t="s">
        <v>415</v>
      </c>
      <c r="D568" t="s">
        <v>416</v>
      </c>
      <c r="E568" s="2" t="s">
        <v>422</v>
      </c>
      <c r="F568" t="s">
        <v>388</v>
      </c>
      <c r="I568">
        <v>1</v>
      </c>
      <c r="K568">
        <v>1</v>
      </c>
      <c r="O568" t="s">
        <v>473</v>
      </c>
      <c r="P568" t="s">
        <v>393</v>
      </c>
      <c r="Q568">
        <v>1</v>
      </c>
      <c r="R568" t="s">
        <v>436</v>
      </c>
      <c r="S568">
        <v>1</v>
      </c>
    </row>
    <row r="569" spans="1:19" x14ac:dyDescent="0.25">
      <c r="A569" t="s">
        <v>757</v>
      </c>
      <c r="B569" t="s">
        <v>418</v>
      </c>
      <c r="C569" t="s">
        <v>419</v>
      </c>
      <c r="D569" t="s">
        <v>420</v>
      </c>
      <c r="E569" s="2" t="s">
        <v>422</v>
      </c>
      <c r="F569" t="s">
        <v>388</v>
      </c>
      <c r="I569">
        <v>1</v>
      </c>
      <c r="K569">
        <v>1</v>
      </c>
      <c r="O569" t="s">
        <v>474</v>
      </c>
      <c r="P569" t="s">
        <v>393</v>
      </c>
      <c r="Q569">
        <v>1</v>
      </c>
      <c r="R569" t="s">
        <v>436</v>
      </c>
      <c r="S569">
        <v>1</v>
      </c>
    </row>
    <row r="570" spans="1:19" x14ac:dyDescent="0.25">
      <c r="A570" t="s">
        <v>98</v>
      </c>
      <c r="B570" t="s">
        <v>336</v>
      </c>
      <c r="C570" t="s">
        <v>475</v>
      </c>
      <c r="D570" s="2"/>
      <c r="E570" s="2" t="s">
        <v>533</v>
      </c>
      <c r="K570">
        <v>1</v>
      </c>
      <c r="O570" t="s">
        <v>476</v>
      </c>
      <c r="P570" t="s">
        <v>477</v>
      </c>
      <c r="Q570">
        <v>1</v>
      </c>
      <c r="R570" t="s">
        <v>478</v>
      </c>
      <c r="S570">
        <v>1</v>
      </c>
    </row>
    <row r="571" spans="1:19" x14ac:dyDescent="0.25">
      <c r="A571" t="s">
        <v>98</v>
      </c>
      <c r="B571" t="s">
        <v>336</v>
      </c>
      <c r="C571" t="s">
        <v>479</v>
      </c>
      <c r="D571" s="2"/>
      <c r="E571" s="2" t="s">
        <v>533</v>
      </c>
      <c r="K571">
        <v>1</v>
      </c>
      <c r="O571" t="s">
        <v>480</v>
      </c>
      <c r="P571" t="s">
        <v>477</v>
      </c>
      <c r="Q571">
        <v>1</v>
      </c>
      <c r="R571" t="s">
        <v>478</v>
      </c>
      <c r="S571">
        <v>1</v>
      </c>
    </row>
    <row r="572" spans="1:19" x14ac:dyDescent="0.25">
      <c r="A572" t="s">
        <v>98</v>
      </c>
      <c r="B572" t="s">
        <v>336</v>
      </c>
      <c r="C572" t="s">
        <v>481</v>
      </c>
      <c r="D572" s="2"/>
      <c r="E572" s="2" t="s">
        <v>533</v>
      </c>
      <c r="K572">
        <v>1</v>
      </c>
      <c r="O572" t="s">
        <v>482</v>
      </c>
      <c r="P572" t="s">
        <v>477</v>
      </c>
      <c r="Q572">
        <v>1</v>
      </c>
      <c r="R572" t="s">
        <v>478</v>
      </c>
      <c r="S572">
        <v>1</v>
      </c>
    </row>
    <row r="573" spans="1:19" x14ac:dyDescent="0.25">
      <c r="A573" t="s">
        <v>98</v>
      </c>
      <c r="B573" t="s">
        <v>359</v>
      </c>
      <c r="C573" t="s">
        <v>483</v>
      </c>
      <c r="D573" s="2"/>
      <c r="E573" s="2" t="s">
        <v>533</v>
      </c>
      <c r="K573">
        <v>1</v>
      </c>
      <c r="O573" t="s">
        <v>484</v>
      </c>
      <c r="P573" t="s">
        <v>477</v>
      </c>
      <c r="Q573">
        <v>1</v>
      </c>
      <c r="R573" t="s">
        <v>478</v>
      </c>
      <c r="S573">
        <v>1</v>
      </c>
    </row>
    <row r="574" spans="1:19" x14ac:dyDescent="0.25">
      <c r="A574" t="s">
        <v>98</v>
      </c>
      <c r="B574" t="s">
        <v>359</v>
      </c>
      <c r="C574" t="s">
        <v>485</v>
      </c>
      <c r="D574" s="2"/>
      <c r="E574" s="2" t="s">
        <v>533</v>
      </c>
      <c r="K574">
        <v>1</v>
      </c>
      <c r="O574" t="s">
        <v>486</v>
      </c>
      <c r="P574" t="s">
        <v>477</v>
      </c>
      <c r="Q574">
        <v>1</v>
      </c>
      <c r="R574" t="s">
        <v>478</v>
      </c>
      <c r="S574">
        <v>1</v>
      </c>
    </row>
    <row r="575" spans="1:19" x14ac:dyDescent="0.25">
      <c r="A575" t="s">
        <v>98</v>
      </c>
      <c r="B575" t="s">
        <v>372</v>
      </c>
      <c r="C575" t="s">
        <v>487</v>
      </c>
      <c r="D575" s="2"/>
      <c r="E575" s="2" t="s">
        <v>533</v>
      </c>
      <c r="K575">
        <v>1</v>
      </c>
      <c r="O575" t="s">
        <v>488</v>
      </c>
      <c r="P575" t="s">
        <v>489</v>
      </c>
      <c r="Q575">
        <v>1</v>
      </c>
      <c r="R575" t="s">
        <v>490</v>
      </c>
      <c r="S575">
        <v>1</v>
      </c>
    </row>
    <row r="576" spans="1:19" x14ac:dyDescent="0.25">
      <c r="A576" t="s">
        <v>98</v>
      </c>
      <c r="B576" t="s">
        <v>372</v>
      </c>
      <c r="C576" t="s">
        <v>491</v>
      </c>
      <c r="D576" s="2"/>
      <c r="E576" s="2" t="s">
        <v>533</v>
      </c>
      <c r="K576">
        <v>1</v>
      </c>
      <c r="O576" t="s">
        <v>492</v>
      </c>
      <c r="P576" t="s">
        <v>489</v>
      </c>
      <c r="Q576">
        <v>1</v>
      </c>
      <c r="R576" t="s">
        <v>490</v>
      </c>
      <c r="S576">
        <v>1</v>
      </c>
    </row>
    <row r="577" spans="1:19" x14ac:dyDescent="0.25">
      <c r="A577" t="s">
        <v>98</v>
      </c>
      <c r="B577" t="s">
        <v>376</v>
      </c>
      <c r="C577" t="s">
        <v>491</v>
      </c>
      <c r="D577" s="2"/>
      <c r="E577" s="2" t="s">
        <v>533</v>
      </c>
      <c r="K577">
        <v>1</v>
      </c>
      <c r="O577" t="s">
        <v>493</v>
      </c>
      <c r="P577" t="s">
        <v>489</v>
      </c>
      <c r="Q577">
        <v>1</v>
      </c>
      <c r="R577" t="s">
        <v>490</v>
      </c>
      <c r="S577">
        <v>1</v>
      </c>
    </row>
    <row r="578" spans="1:19" x14ac:dyDescent="0.25">
      <c r="A578" t="s">
        <v>98</v>
      </c>
      <c r="B578" t="s">
        <v>376</v>
      </c>
      <c r="C578" t="s">
        <v>494</v>
      </c>
      <c r="D578" s="2"/>
      <c r="E578" s="2" t="s">
        <v>533</v>
      </c>
      <c r="K578">
        <v>1</v>
      </c>
      <c r="O578" t="s">
        <v>495</v>
      </c>
      <c r="P578" t="s">
        <v>489</v>
      </c>
      <c r="Q578">
        <v>1</v>
      </c>
      <c r="R578" t="s">
        <v>490</v>
      </c>
      <c r="S578">
        <v>1</v>
      </c>
    </row>
    <row r="579" spans="1:19" x14ac:dyDescent="0.25">
      <c r="A579" t="s">
        <v>98</v>
      </c>
      <c r="B579" t="s">
        <v>380</v>
      </c>
      <c r="C579" t="s">
        <v>496</v>
      </c>
      <c r="D579" s="2"/>
      <c r="E579" s="2" t="s">
        <v>533</v>
      </c>
      <c r="K579">
        <v>1</v>
      </c>
      <c r="O579" t="s">
        <v>497</v>
      </c>
      <c r="P579" t="s">
        <v>498</v>
      </c>
      <c r="Q579">
        <v>1</v>
      </c>
      <c r="R579" t="s">
        <v>499</v>
      </c>
      <c r="S579">
        <v>1</v>
      </c>
    </row>
    <row r="580" spans="1:19" x14ac:dyDescent="0.25">
      <c r="A580" t="s">
        <v>98</v>
      </c>
      <c r="B580" t="s">
        <v>380</v>
      </c>
      <c r="C580" t="s">
        <v>496</v>
      </c>
      <c r="D580" s="2"/>
      <c r="E580" s="2" t="s">
        <v>533</v>
      </c>
      <c r="K580">
        <v>1</v>
      </c>
      <c r="O580" t="s">
        <v>500</v>
      </c>
      <c r="P580" t="s">
        <v>498</v>
      </c>
      <c r="Q580">
        <v>1</v>
      </c>
      <c r="R580" t="s">
        <v>499</v>
      </c>
      <c r="S580">
        <v>1</v>
      </c>
    </row>
    <row r="581" spans="1:19" x14ac:dyDescent="0.25">
      <c r="A581" t="s">
        <v>98</v>
      </c>
      <c r="B581" t="s">
        <v>380</v>
      </c>
      <c r="C581" t="s">
        <v>501</v>
      </c>
      <c r="D581" s="2"/>
      <c r="E581" s="2" t="s">
        <v>533</v>
      </c>
      <c r="K581">
        <v>1</v>
      </c>
      <c r="O581" t="s">
        <v>502</v>
      </c>
      <c r="P581" t="s">
        <v>498</v>
      </c>
      <c r="Q581">
        <v>1</v>
      </c>
      <c r="R581" t="s">
        <v>499</v>
      </c>
      <c r="S581">
        <v>1</v>
      </c>
    </row>
    <row r="582" spans="1:19" x14ac:dyDescent="0.25">
      <c r="A582" t="s">
        <v>98</v>
      </c>
      <c r="B582" t="s">
        <v>380</v>
      </c>
      <c r="C582" t="s">
        <v>503</v>
      </c>
      <c r="D582" s="2"/>
      <c r="E582" s="2" t="s">
        <v>533</v>
      </c>
      <c r="K582">
        <v>1</v>
      </c>
      <c r="O582" t="s">
        <v>504</v>
      </c>
      <c r="P582" t="s">
        <v>498</v>
      </c>
      <c r="Q582">
        <v>1</v>
      </c>
      <c r="R582" t="s">
        <v>499</v>
      </c>
      <c r="S582">
        <v>1</v>
      </c>
    </row>
    <row r="583" spans="1:19" x14ac:dyDescent="0.25">
      <c r="A583" t="s">
        <v>98</v>
      </c>
      <c r="B583" t="s">
        <v>384</v>
      </c>
      <c r="C583" t="s">
        <v>505</v>
      </c>
      <c r="D583" s="2"/>
      <c r="E583" s="2" t="s">
        <v>533</v>
      </c>
      <c r="K583">
        <v>1</v>
      </c>
      <c r="O583" t="s">
        <v>506</v>
      </c>
      <c r="P583" t="s">
        <v>498</v>
      </c>
      <c r="Q583">
        <v>1</v>
      </c>
      <c r="R583" t="s">
        <v>499</v>
      </c>
      <c r="S583">
        <v>1</v>
      </c>
    </row>
    <row r="584" spans="1:19" x14ac:dyDescent="0.25">
      <c r="A584" t="s">
        <v>98</v>
      </c>
      <c r="B584" t="s">
        <v>384</v>
      </c>
      <c r="C584" t="s">
        <v>507</v>
      </c>
      <c r="D584" s="2"/>
      <c r="E584" s="2" t="s">
        <v>533</v>
      </c>
      <c r="K584">
        <v>1</v>
      </c>
      <c r="O584" t="s">
        <v>508</v>
      </c>
      <c r="P584" t="s">
        <v>498</v>
      </c>
      <c r="Q584">
        <v>1</v>
      </c>
      <c r="R584" t="s">
        <v>499</v>
      </c>
      <c r="S584">
        <v>1</v>
      </c>
    </row>
    <row r="585" spans="1:19" x14ac:dyDescent="0.25">
      <c r="A585" t="s">
        <v>98</v>
      </c>
      <c r="B585" t="s">
        <v>384</v>
      </c>
      <c r="C585" t="s">
        <v>507</v>
      </c>
      <c r="D585" s="2"/>
      <c r="E585" s="2" t="s">
        <v>533</v>
      </c>
      <c r="K585">
        <v>1</v>
      </c>
      <c r="O585" t="s">
        <v>509</v>
      </c>
      <c r="P585" t="s">
        <v>498</v>
      </c>
      <c r="Q585">
        <v>1</v>
      </c>
      <c r="R585" t="s">
        <v>499</v>
      </c>
      <c r="S585">
        <v>1</v>
      </c>
    </row>
    <row r="586" spans="1:19" x14ac:dyDescent="0.25">
      <c r="A586" t="s">
        <v>98</v>
      </c>
      <c r="B586" t="s">
        <v>402</v>
      </c>
      <c r="C586" t="s">
        <v>510</v>
      </c>
      <c r="D586" s="2"/>
      <c r="E586" s="2" t="s">
        <v>533</v>
      </c>
      <c r="K586">
        <v>1</v>
      </c>
      <c r="O586" t="s">
        <v>511</v>
      </c>
      <c r="P586" t="s">
        <v>512</v>
      </c>
      <c r="Q586">
        <v>1</v>
      </c>
    </row>
    <row r="587" spans="1:19" x14ac:dyDescent="0.25">
      <c r="A587" t="s">
        <v>98</v>
      </c>
      <c r="B587" t="s">
        <v>406</v>
      </c>
      <c r="C587" t="s">
        <v>513</v>
      </c>
      <c r="D587" s="2"/>
      <c r="E587" s="2" t="s">
        <v>533</v>
      </c>
      <c r="K587">
        <v>1</v>
      </c>
      <c r="O587" t="s">
        <v>514</v>
      </c>
      <c r="P587" t="s">
        <v>515</v>
      </c>
      <c r="Q587">
        <v>1</v>
      </c>
    </row>
    <row r="588" spans="1:19" x14ac:dyDescent="0.25">
      <c r="A588" t="s">
        <v>98</v>
      </c>
      <c r="B588" t="s">
        <v>410</v>
      </c>
      <c r="C588" t="s">
        <v>516</v>
      </c>
      <c r="D588" s="2"/>
      <c r="E588" s="2" t="s">
        <v>533</v>
      </c>
      <c r="K588">
        <v>1</v>
      </c>
      <c r="O588" t="s">
        <v>517</v>
      </c>
      <c r="P588" t="s">
        <v>515</v>
      </c>
      <c r="Q588">
        <v>1</v>
      </c>
    </row>
    <row r="589" spans="1:19" x14ac:dyDescent="0.25">
      <c r="A589" t="s">
        <v>98</v>
      </c>
      <c r="B589" t="s">
        <v>414</v>
      </c>
      <c r="C589" t="s">
        <v>518</v>
      </c>
      <c r="D589" s="2"/>
      <c r="E589" s="2" t="s">
        <v>533</v>
      </c>
      <c r="K589">
        <v>1</v>
      </c>
      <c r="O589" t="s">
        <v>519</v>
      </c>
      <c r="P589" t="s">
        <v>515</v>
      </c>
      <c r="Q589">
        <v>1</v>
      </c>
    </row>
    <row r="590" spans="1:19" x14ac:dyDescent="0.25">
      <c r="A590" t="s">
        <v>98</v>
      </c>
      <c r="B590" t="s">
        <v>418</v>
      </c>
      <c r="C590" t="s">
        <v>520</v>
      </c>
      <c r="D590" s="2"/>
      <c r="E590" s="2" t="s">
        <v>533</v>
      </c>
      <c r="K590">
        <v>1</v>
      </c>
      <c r="O590" t="s">
        <v>521</v>
      </c>
      <c r="P590" t="s">
        <v>515</v>
      </c>
      <c r="Q590">
        <v>1</v>
      </c>
    </row>
    <row r="591" spans="1:19" x14ac:dyDescent="0.25">
      <c r="A591" t="s">
        <v>98</v>
      </c>
      <c r="B591" t="s">
        <v>522</v>
      </c>
      <c r="C591" t="s">
        <v>523</v>
      </c>
      <c r="D591" s="2"/>
      <c r="E591" s="2" t="s">
        <v>533</v>
      </c>
      <c r="K591">
        <v>1</v>
      </c>
      <c r="O591" t="s">
        <v>524</v>
      </c>
      <c r="P591" t="s">
        <v>525</v>
      </c>
      <c r="Q591">
        <v>1</v>
      </c>
    </row>
    <row r="592" spans="1:19" x14ac:dyDescent="0.25">
      <c r="A592" t="s">
        <v>98</v>
      </c>
      <c r="B592" t="s">
        <v>526</v>
      </c>
      <c r="C592" t="s">
        <v>527</v>
      </c>
      <c r="D592" s="2"/>
      <c r="E592" s="2" t="s">
        <v>533</v>
      </c>
      <c r="K592">
        <v>1</v>
      </c>
      <c r="O592" t="s">
        <v>528</v>
      </c>
      <c r="P592" t="s">
        <v>525</v>
      </c>
      <c r="Q592">
        <v>1</v>
      </c>
    </row>
    <row r="593" spans="1:19" x14ac:dyDescent="0.25">
      <c r="A593" t="s">
        <v>756</v>
      </c>
      <c r="B593" t="s">
        <v>718</v>
      </c>
      <c r="C593" t="s">
        <v>773</v>
      </c>
      <c r="D593" s="2" t="s">
        <v>337</v>
      </c>
      <c r="E593" t="s">
        <v>338</v>
      </c>
      <c r="K593">
        <v>1</v>
      </c>
      <c r="O593" t="s">
        <v>476</v>
      </c>
      <c r="P593" t="s">
        <v>437</v>
      </c>
      <c r="Q593">
        <v>1</v>
      </c>
      <c r="R593" t="s">
        <v>340</v>
      </c>
      <c r="S593">
        <v>1</v>
      </c>
    </row>
    <row r="594" spans="1:19" x14ac:dyDescent="0.25">
      <c r="A594" t="s">
        <v>756</v>
      </c>
      <c r="B594" t="s">
        <v>718</v>
      </c>
      <c r="C594" t="s">
        <v>773</v>
      </c>
      <c r="D594" s="2" t="s">
        <v>337</v>
      </c>
      <c r="E594" t="s">
        <v>338</v>
      </c>
      <c r="F594" t="s">
        <v>388</v>
      </c>
      <c r="K594">
        <v>1</v>
      </c>
      <c r="O594" t="s">
        <v>476</v>
      </c>
      <c r="P594" t="s">
        <v>445</v>
      </c>
      <c r="Q594">
        <v>1</v>
      </c>
      <c r="R594" t="s">
        <v>389</v>
      </c>
      <c r="S594">
        <v>1</v>
      </c>
    </row>
    <row r="595" spans="1:19" x14ac:dyDescent="0.25">
      <c r="A595" t="s">
        <v>756</v>
      </c>
      <c r="B595" t="s">
        <v>718</v>
      </c>
      <c r="C595" t="s">
        <v>529</v>
      </c>
      <c r="D595" s="2" t="s">
        <v>342</v>
      </c>
      <c r="E595" t="s">
        <v>338</v>
      </c>
      <c r="K595">
        <v>1</v>
      </c>
      <c r="O595" t="s">
        <v>476</v>
      </c>
      <c r="P595" t="s">
        <v>438</v>
      </c>
      <c r="Q595">
        <v>1</v>
      </c>
      <c r="R595" t="s">
        <v>340</v>
      </c>
      <c r="S595">
        <v>1</v>
      </c>
    </row>
    <row r="596" spans="1:19" x14ac:dyDescent="0.25">
      <c r="A596" t="s">
        <v>756</v>
      </c>
      <c r="B596" t="s">
        <v>718</v>
      </c>
      <c r="C596" t="s">
        <v>529</v>
      </c>
      <c r="D596" s="2" t="s">
        <v>342</v>
      </c>
      <c r="E596" t="s">
        <v>338</v>
      </c>
      <c r="F596" t="s">
        <v>388</v>
      </c>
      <c r="K596">
        <v>1</v>
      </c>
      <c r="O596" t="s">
        <v>476</v>
      </c>
      <c r="P596" t="s">
        <v>446</v>
      </c>
      <c r="Q596">
        <v>1</v>
      </c>
      <c r="R596" t="s">
        <v>389</v>
      </c>
      <c r="S596">
        <v>1</v>
      </c>
    </row>
    <row r="597" spans="1:19" x14ac:dyDescent="0.25">
      <c r="A597" t="s">
        <v>756</v>
      </c>
      <c r="B597" t="s">
        <v>718</v>
      </c>
      <c r="C597" t="s">
        <v>530</v>
      </c>
      <c r="D597" s="2" t="s">
        <v>342</v>
      </c>
      <c r="E597" t="s">
        <v>338</v>
      </c>
      <c r="K597">
        <v>1</v>
      </c>
      <c r="O597" t="s">
        <v>480</v>
      </c>
      <c r="P597" t="s">
        <v>438</v>
      </c>
      <c r="Q597">
        <v>1</v>
      </c>
      <c r="R597" t="s">
        <v>340</v>
      </c>
      <c r="S597">
        <v>1</v>
      </c>
    </row>
    <row r="598" spans="1:19" x14ac:dyDescent="0.25">
      <c r="A598" t="s">
        <v>756</v>
      </c>
      <c r="B598" t="s">
        <v>718</v>
      </c>
      <c r="C598" t="s">
        <v>530</v>
      </c>
      <c r="D598" s="2" t="s">
        <v>342</v>
      </c>
      <c r="E598" t="s">
        <v>338</v>
      </c>
      <c r="F598" t="s">
        <v>388</v>
      </c>
      <c r="K598">
        <v>1</v>
      </c>
      <c r="O598" t="s">
        <v>480</v>
      </c>
      <c r="P598" t="s">
        <v>446</v>
      </c>
      <c r="Q598">
        <v>1</v>
      </c>
      <c r="R598" t="s">
        <v>389</v>
      </c>
      <c r="S598">
        <v>1</v>
      </c>
    </row>
    <row r="599" spans="1:19" x14ac:dyDescent="0.25">
      <c r="A599" t="s">
        <v>756</v>
      </c>
      <c r="B599" t="s">
        <v>718</v>
      </c>
      <c r="C599" t="s">
        <v>344</v>
      </c>
      <c r="D599" s="2" t="s">
        <v>345</v>
      </c>
      <c r="E599" t="s">
        <v>338</v>
      </c>
      <c r="K599">
        <v>1</v>
      </c>
      <c r="O599" t="s">
        <v>480</v>
      </c>
      <c r="P599" t="s">
        <v>439</v>
      </c>
      <c r="Q599">
        <v>1</v>
      </c>
      <c r="R599" t="s">
        <v>340</v>
      </c>
      <c r="S599">
        <v>1</v>
      </c>
    </row>
    <row r="600" spans="1:19" x14ac:dyDescent="0.25">
      <c r="A600" t="s">
        <v>756</v>
      </c>
      <c r="B600" t="s">
        <v>718</v>
      </c>
      <c r="C600" t="s">
        <v>344</v>
      </c>
      <c r="D600" s="2" t="s">
        <v>345</v>
      </c>
      <c r="E600" t="s">
        <v>338</v>
      </c>
      <c r="F600" t="s">
        <v>388</v>
      </c>
      <c r="K600">
        <v>1</v>
      </c>
      <c r="O600" t="s">
        <v>480</v>
      </c>
      <c r="P600" t="s">
        <v>447</v>
      </c>
      <c r="Q600">
        <v>1</v>
      </c>
      <c r="R600" t="s">
        <v>389</v>
      </c>
      <c r="S600">
        <v>1</v>
      </c>
    </row>
    <row r="601" spans="1:19" x14ac:dyDescent="0.25">
      <c r="A601" t="s">
        <v>756</v>
      </c>
      <c r="B601" t="s">
        <v>718</v>
      </c>
      <c r="C601" t="s">
        <v>531</v>
      </c>
      <c r="D601" s="2" t="s">
        <v>348</v>
      </c>
      <c r="E601" t="s">
        <v>338</v>
      </c>
      <c r="K601">
        <v>1</v>
      </c>
      <c r="O601" t="s">
        <v>480</v>
      </c>
      <c r="P601" t="s">
        <v>440</v>
      </c>
      <c r="Q601">
        <v>1</v>
      </c>
      <c r="R601" t="s">
        <v>340</v>
      </c>
      <c r="S601">
        <v>1</v>
      </c>
    </row>
    <row r="602" spans="1:19" x14ac:dyDescent="0.25">
      <c r="A602" t="s">
        <v>756</v>
      </c>
      <c r="B602" t="s">
        <v>718</v>
      </c>
      <c r="C602" t="s">
        <v>531</v>
      </c>
      <c r="D602" s="2" t="s">
        <v>348</v>
      </c>
      <c r="E602" t="s">
        <v>338</v>
      </c>
      <c r="F602" t="s">
        <v>388</v>
      </c>
      <c r="K602">
        <v>1</v>
      </c>
      <c r="O602" t="s">
        <v>480</v>
      </c>
      <c r="P602" t="s">
        <v>448</v>
      </c>
      <c r="Q602">
        <v>1</v>
      </c>
      <c r="R602" t="s">
        <v>389</v>
      </c>
      <c r="S602">
        <v>1</v>
      </c>
    </row>
    <row r="603" spans="1:19" x14ac:dyDescent="0.25">
      <c r="A603" t="s">
        <v>756</v>
      </c>
      <c r="B603" t="s">
        <v>718</v>
      </c>
      <c r="C603" t="s">
        <v>532</v>
      </c>
      <c r="D603" s="2" t="s">
        <v>348</v>
      </c>
      <c r="E603" t="s">
        <v>338</v>
      </c>
      <c r="K603">
        <v>1</v>
      </c>
      <c r="O603" t="s">
        <v>482</v>
      </c>
      <c r="P603" t="s">
        <v>440</v>
      </c>
      <c r="Q603">
        <v>1</v>
      </c>
      <c r="R603" t="s">
        <v>340</v>
      </c>
      <c r="S603">
        <v>1</v>
      </c>
    </row>
    <row r="604" spans="1:19" x14ac:dyDescent="0.25">
      <c r="A604" t="s">
        <v>756</v>
      </c>
      <c r="B604" t="s">
        <v>718</v>
      </c>
      <c r="C604" t="s">
        <v>532</v>
      </c>
      <c r="D604" s="2" t="s">
        <v>348</v>
      </c>
      <c r="E604" t="s">
        <v>338</v>
      </c>
      <c r="F604" t="s">
        <v>388</v>
      </c>
      <c r="K604">
        <v>1</v>
      </c>
      <c r="O604" t="s">
        <v>482</v>
      </c>
      <c r="P604" t="s">
        <v>448</v>
      </c>
      <c r="Q604">
        <v>1</v>
      </c>
      <c r="R604" t="s">
        <v>389</v>
      </c>
      <c r="S604">
        <v>1</v>
      </c>
    </row>
    <row r="605" spans="1:19" x14ac:dyDescent="0.25">
      <c r="A605" t="s">
        <v>756</v>
      </c>
      <c r="B605" t="s">
        <v>718</v>
      </c>
      <c r="C605" t="s">
        <v>350</v>
      </c>
      <c r="D605" s="2" t="s">
        <v>351</v>
      </c>
      <c r="E605" t="s">
        <v>338</v>
      </c>
      <c r="K605">
        <v>1</v>
      </c>
      <c r="O605" t="s">
        <v>482</v>
      </c>
      <c r="P605" t="s">
        <v>441</v>
      </c>
      <c r="Q605">
        <v>1</v>
      </c>
      <c r="R605" t="s">
        <v>340</v>
      </c>
      <c r="S605">
        <v>1</v>
      </c>
    </row>
    <row r="606" spans="1:19" x14ac:dyDescent="0.25">
      <c r="A606" t="s">
        <v>756</v>
      </c>
      <c r="B606" t="s">
        <v>718</v>
      </c>
      <c r="C606" t="s">
        <v>350</v>
      </c>
      <c r="D606" s="2" t="s">
        <v>351</v>
      </c>
      <c r="E606" t="s">
        <v>338</v>
      </c>
      <c r="F606" t="s">
        <v>388</v>
      </c>
      <c r="K606">
        <v>1</v>
      </c>
      <c r="O606" t="s">
        <v>482</v>
      </c>
      <c r="P606" t="s">
        <v>449</v>
      </c>
      <c r="Q606">
        <v>1</v>
      </c>
      <c r="R606" t="s">
        <v>389</v>
      </c>
      <c r="S606">
        <v>1</v>
      </c>
    </row>
    <row r="607" spans="1:19" x14ac:dyDescent="0.25">
      <c r="A607" t="s">
        <v>756</v>
      </c>
      <c r="B607" t="s">
        <v>718</v>
      </c>
      <c r="C607" t="s">
        <v>350</v>
      </c>
      <c r="D607" s="2" t="s">
        <v>351</v>
      </c>
      <c r="E607" s="2" t="s">
        <v>533</v>
      </c>
      <c r="K607">
        <v>1</v>
      </c>
      <c r="O607" t="s">
        <v>482</v>
      </c>
      <c r="P607" t="s">
        <v>463</v>
      </c>
      <c r="Q607">
        <v>1</v>
      </c>
      <c r="R607" t="s">
        <v>393</v>
      </c>
      <c r="S607">
        <v>1</v>
      </c>
    </row>
    <row r="608" spans="1:19" x14ac:dyDescent="0.25">
      <c r="A608" t="s">
        <v>756</v>
      </c>
      <c r="B608" t="s">
        <v>718</v>
      </c>
      <c r="C608" t="s">
        <v>534</v>
      </c>
      <c r="D608" s="2" t="s">
        <v>354</v>
      </c>
      <c r="E608" t="s">
        <v>338</v>
      </c>
      <c r="K608">
        <v>1</v>
      </c>
      <c r="O608" t="s">
        <v>482</v>
      </c>
      <c r="P608" t="s">
        <v>442</v>
      </c>
      <c r="Q608">
        <v>1</v>
      </c>
      <c r="R608" t="s">
        <v>340</v>
      </c>
      <c r="S608">
        <v>1</v>
      </c>
    </row>
    <row r="609" spans="1:19" x14ac:dyDescent="0.25">
      <c r="A609" t="s">
        <v>756</v>
      </c>
      <c r="B609" t="s">
        <v>718</v>
      </c>
      <c r="C609" t="s">
        <v>534</v>
      </c>
      <c r="D609" s="2" t="s">
        <v>354</v>
      </c>
      <c r="E609" t="s">
        <v>338</v>
      </c>
      <c r="F609" t="s">
        <v>388</v>
      </c>
      <c r="K609">
        <v>1</v>
      </c>
      <c r="O609" t="s">
        <v>482</v>
      </c>
      <c r="P609" t="s">
        <v>450</v>
      </c>
      <c r="Q609">
        <v>1</v>
      </c>
      <c r="R609" t="s">
        <v>389</v>
      </c>
      <c r="S609">
        <v>1</v>
      </c>
    </row>
    <row r="610" spans="1:19" x14ac:dyDescent="0.25">
      <c r="A610" t="s">
        <v>756</v>
      </c>
      <c r="B610" t="s">
        <v>718</v>
      </c>
      <c r="C610" t="s">
        <v>534</v>
      </c>
      <c r="D610" s="2" t="s">
        <v>354</v>
      </c>
      <c r="E610" s="2" t="s">
        <v>533</v>
      </c>
      <c r="K610">
        <v>1</v>
      </c>
      <c r="O610" t="s">
        <v>482</v>
      </c>
      <c r="P610" t="s">
        <v>464</v>
      </c>
      <c r="Q610">
        <v>1</v>
      </c>
      <c r="R610" t="s">
        <v>393</v>
      </c>
      <c r="S610">
        <v>1</v>
      </c>
    </row>
    <row r="611" spans="1:19" x14ac:dyDescent="0.25">
      <c r="A611" t="s">
        <v>756</v>
      </c>
      <c r="B611" t="s">
        <v>719</v>
      </c>
      <c r="C611" t="s">
        <v>483</v>
      </c>
      <c r="D611" s="2" t="s">
        <v>354</v>
      </c>
      <c r="E611" t="s">
        <v>338</v>
      </c>
      <c r="K611">
        <v>1</v>
      </c>
      <c r="O611" t="s">
        <v>484</v>
      </c>
      <c r="P611" t="s">
        <v>442</v>
      </c>
      <c r="Q611">
        <v>1</v>
      </c>
      <c r="R611" t="s">
        <v>340</v>
      </c>
      <c r="S611">
        <v>1</v>
      </c>
    </row>
    <row r="612" spans="1:19" x14ac:dyDescent="0.25">
      <c r="A612" t="s">
        <v>756</v>
      </c>
      <c r="B612" t="s">
        <v>719</v>
      </c>
      <c r="C612" t="s">
        <v>483</v>
      </c>
      <c r="D612" s="2" t="s">
        <v>354</v>
      </c>
      <c r="E612" t="s">
        <v>338</v>
      </c>
      <c r="F612" t="s">
        <v>388</v>
      </c>
      <c r="K612">
        <v>1</v>
      </c>
      <c r="O612" t="s">
        <v>484</v>
      </c>
      <c r="P612" t="s">
        <v>450</v>
      </c>
      <c r="Q612">
        <v>1</v>
      </c>
      <c r="R612" t="s">
        <v>389</v>
      </c>
      <c r="S612">
        <v>1</v>
      </c>
    </row>
    <row r="613" spans="1:19" x14ac:dyDescent="0.25">
      <c r="A613" t="s">
        <v>756</v>
      </c>
      <c r="B613" t="s">
        <v>719</v>
      </c>
      <c r="C613" t="s">
        <v>483</v>
      </c>
      <c r="D613" s="2" t="s">
        <v>354</v>
      </c>
      <c r="E613" s="2" t="s">
        <v>533</v>
      </c>
      <c r="K613">
        <v>1</v>
      </c>
      <c r="O613" t="s">
        <v>484</v>
      </c>
      <c r="P613" t="s">
        <v>464</v>
      </c>
      <c r="Q613">
        <v>1</v>
      </c>
      <c r="R613" t="s">
        <v>393</v>
      </c>
      <c r="S613">
        <v>1</v>
      </c>
    </row>
    <row r="614" spans="1:19" x14ac:dyDescent="0.25">
      <c r="A614" t="s">
        <v>756</v>
      </c>
      <c r="B614" t="s">
        <v>719</v>
      </c>
      <c r="C614" t="s">
        <v>535</v>
      </c>
      <c r="D614" s="2" t="s">
        <v>354</v>
      </c>
      <c r="E614" t="s">
        <v>338</v>
      </c>
      <c r="K614">
        <v>1</v>
      </c>
      <c r="O614" t="s">
        <v>486</v>
      </c>
      <c r="P614" t="s">
        <v>442</v>
      </c>
      <c r="Q614">
        <v>1</v>
      </c>
      <c r="R614" t="s">
        <v>340</v>
      </c>
      <c r="S614">
        <v>1</v>
      </c>
    </row>
    <row r="615" spans="1:19" x14ac:dyDescent="0.25">
      <c r="A615" t="s">
        <v>756</v>
      </c>
      <c r="B615" t="s">
        <v>719</v>
      </c>
      <c r="C615" t="s">
        <v>535</v>
      </c>
      <c r="D615" s="2" t="s">
        <v>354</v>
      </c>
      <c r="E615" t="s">
        <v>338</v>
      </c>
      <c r="F615" t="s">
        <v>388</v>
      </c>
      <c r="K615">
        <v>1</v>
      </c>
      <c r="O615" t="s">
        <v>486</v>
      </c>
      <c r="P615" t="s">
        <v>450</v>
      </c>
      <c r="Q615">
        <v>1</v>
      </c>
      <c r="R615" t="s">
        <v>389</v>
      </c>
      <c r="S615">
        <v>1</v>
      </c>
    </row>
    <row r="616" spans="1:19" x14ac:dyDescent="0.25">
      <c r="A616" t="s">
        <v>756</v>
      </c>
      <c r="B616" t="s">
        <v>719</v>
      </c>
      <c r="C616" t="s">
        <v>535</v>
      </c>
      <c r="D616" s="2" t="s">
        <v>354</v>
      </c>
      <c r="E616" s="2" t="s">
        <v>533</v>
      </c>
      <c r="K616">
        <v>1</v>
      </c>
      <c r="O616" t="s">
        <v>486</v>
      </c>
      <c r="P616" t="s">
        <v>464</v>
      </c>
      <c r="Q616">
        <v>1</v>
      </c>
      <c r="R616" t="s">
        <v>393</v>
      </c>
      <c r="S616">
        <v>1</v>
      </c>
    </row>
    <row r="617" spans="1:19" x14ac:dyDescent="0.25">
      <c r="A617" t="s">
        <v>756</v>
      </c>
      <c r="B617" t="s">
        <v>719</v>
      </c>
      <c r="C617" t="s">
        <v>536</v>
      </c>
      <c r="D617" s="2" t="s">
        <v>357</v>
      </c>
      <c r="E617" t="s">
        <v>338</v>
      </c>
      <c r="K617">
        <v>1</v>
      </c>
      <c r="O617" t="s">
        <v>486</v>
      </c>
      <c r="P617" t="s">
        <v>443</v>
      </c>
      <c r="Q617">
        <v>1</v>
      </c>
      <c r="R617" t="s">
        <v>340</v>
      </c>
      <c r="S617">
        <v>1</v>
      </c>
    </row>
    <row r="618" spans="1:19" x14ac:dyDescent="0.25">
      <c r="A618" t="s">
        <v>756</v>
      </c>
      <c r="B618" t="s">
        <v>719</v>
      </c>
      <c r="C618" t="s">
        <v>536</v>
      </c>
      <c r="D618" s="2" t="s">
        <v>357</v>
      </c>
      <c r="E618" t="s">
        <v>338</v>
      </c>
      <c r="F618" t="s">
        <v>388</v>
      </c>
      <c r="K618">
        <v>1</v>
      </c>
      <c r="O618" t="s">
        <v>486</v>
      </c>
      <c r="P618" t="s">
        <v>451</v>
      </c>
      <c r="Q618">
        <v>1</v>
      </c>
      <c r="R618" t="s">
        <v>389</v>
      </c>
      <c r="S618">
        <v>1</v>
      </c>
    </row>
    <row r="619" spans="1:19" x14ac:dyDescent="0.25">
      <c r="A619" t="s">
        <v>756</v>
      </c>
      <c r="B619" t="s">
        <v>719</v>
      </c>
      <c r="C619" t="s">
        <v>536</v>
      </c>
      <c r="D619" s="2" t="s">
        <v>357</v>
      </c>
      <c r="E619" s="2" t="s">
        <v>533</v>
      </c>
      <c r="K619">
        <v>1</v>
      </c>
      <c r="O619" t="s">
        <v>486</v>
      </c>
      <c r="P619" t="s">
        <v>465</v>
      </c>
      <c r="Q619">
        <v>1</v>
      </c>
      <c r="R619" t="s">
        <v>393</v>
      </c>
      <c r="S619">
        <v>1</v>
      </c>
    </row>
    <row r="620" spans="1:19" x14ac:dyDescent="0.25">
      <c r="A620" t="s">
        <v>756</v>
      </c>
      <c r="B620" t="s">
        <v>720</v>
      </c>
      <c r="C620" t="s">
        <v>537</v>
      </c>
      <c r="D620" s="2" t="s">
        <v>357</v>
      </c>
      <c r="E620" t="s">
        <v>338</v>
      </c>
      <c r="K620">
        <v>1</v>
      </c>
      <c r="O620" t="s">
        <v>488</v>
      </c>
      <c r="P620" t="s">
        <v>443</v>
      </c>
      <c r="Q620">
        <v>1</v>
      </c>
      <c r="R620" t="s">
        <v>340</v>
      </c>
      <c r="S620">
        <v>1</v>
      </c>
    </row>
    <row r="621" spans="1:19" x14ac:dyDescent="0.25">
      <c r="A621" t="s">
        <v>756</v>
      </c>
      <c r="B621" t="s">
        <v>720</v>
      </c>
      <c r="C621" t="s">
        <v>537</v>
      </c>
      <c r="D621" s="2" t="s">
        <v>357</v>
      </c>
      <c r="E621" t="s">
        <v>338</v>
      </c>
      <c r="F621" t="s">
        <v>388</v>
      </c>
      <c r="K621">
        <v>1</v>
      </c>
      <c r="O621" t="s">
        <v>488</v>
      </c>
      <c r="P621" t="s">
        <v>451</v>
      </c>
      <c r="Q621">
        <v>1</v>
      </c>
      <c r="R621" t="s">
        <v>389</v>
      </c>
      <c r="S621">
        <v>1</v>
      </c>
    </row>
    <row r="622" spans="1:19" x14ac:dyDescent="0.25">
      <c r="A622" t="s">
        <v>756</v>
      </c>
      <c r="B622" t="s">
        <v>720</v>
      </c>
      <c r="C622" t="s">
        <v>537</v>
      </c>
      <c r="D622" s="2" t="s">
        <v>357</v>
      </c>
      <c r="E622" s="2" t="s">
        <v>533</v>
      </c>
      <c r="K622">
        <v>1</v>
      </c>
      <c r="O622" t="s">
        <v>488</v>
      </c>
      <c r="P622" t="s">
        <v>465</v>
      </c>
      <c r="Q622">
        <v>1</v>
      </c>
      <c r="R622" t="s">
        <v>393</v>
      </c>
      <c r="S622">
        <v>1</v>
      </c>
    </row>
    <row r="623" spans="1:19" x14ac:dyDescent="0.25">
      <c r="A623" t="s">
        <v>756</v>
      </c>
      <c r="B623" t="s">
        <v>721</v>
      </c>
      <c r="C623" t="s">
        <v>538</v>
      </c>
      <c r="D623" s="2" t="s">
        <v>361</v>
      </c>
      <c r="E623" t="s">
        <v>338</v>
      </c>
      <c r="K623">
        <v>1</v>
      </c>
      <c r="O623" t="s">
        <v>488</v>
      </c>
      <c r="P623" t="s">
        <v>444</v>
      </c>
      <c r="Q623">
        <v>1</v>
      </c>
      <c r="R623" t="s">
        <v>340</v>
      </c>
      <c r="S623">
        <v>1</v>
      </c>
    </row>
    <row r="624" spans="1:19" x14ac:dyDescent="0.25">
      <c r="A624" t="s">
        <v>756</v>
      </c>
      <c r="B624" t="s">
        <v>721</v>
      </c>
      <c r="C624" t="s">
        <v>538</v>
      </c>
      <c r="D624" s="2" t="s">
        <v>361</v>
      </c>
      <c r="E624" t="s">
        <v>338</v>
      </c>
      <c r="F624" t="s">
        <v>388</v>
      </c>
      <c r="K624">
        <v>1</v>
      </c>
      <c r="O624" t="s">
        <v>488</v>
      </c>
      <c r="P624" t="s">
        <v>452</v>
      </c>
      <c r="Q624">
        <v>1</v>
      </c>
      <c r="R624" t="s">
        <v>389</v>
      </c>
      <c r="S624">
        <v>1</v>
      </c>
    </row>
    <row r="625" spans="1:19" x14ac:dyDescent="0.25">
      <c r="A625" t="s">
        <v>756</v>
      </c>
      <c r="B625" t="s">
        <v>721</v>
      </c>
      <c r="C625" t="s">
        <v>538</v>
      </c>
      <c r="D625" s="2" t="s">
        <v>361</v>
      </c>
      <c r="E625" s="2" t="s">
        <v>533</v>
      </c>
      <c r="K625">
        <v>1</v>
      </c>
      <c r="O625" t="s">
        <v>488</v>
      </c>
      <c r="P625" t="s">
        <v>397</v>
      </c>
      <c r="Q625">
        <v>1</v>
      </c>
      <c r="R625" t="s">
        <v>393</v>
      </c>
      <c r="S625">
        <v>1</v>
      </c>
    </row>
    <row r="626" spans="1:19" x14ac:dyDescent="0.25">
      <c r="A626" t="s">
        <v>756</v>
      </c>
      <c r="B626" t="s">
        <v>721</v>
      </c>
      <c r="C626" t="s">
        <v>491</v>
      </c>
      <c r="D626" s="2" t="s">
        <v>361</v>
      </c>
      <c r="E626" t="s">
        <v>338</v>
      </c>
      <c r="K626">
        <v>1</v>
      </c>
      <c r="O626" t="s">
        <v>492</v>
      </c>
      <c r="P626" t="s">
        <v>444</v>
      </c>
      <c r="Q626">
        <v>1</v>
      </c>
      <c r="R626" t="s">
        <v>340</v>
      </c>
      <c r="S626">
        <v>1</v>
      </c>
    </row>
    <row r="627" spans="1:19" x14ac:dyDescent="0.25">
      <c r="A627" t="s">
        <v>756</v>
      </c>
      <c r="B627" t="s">
        <v>721</v>
      </c>
      <c r="C627" t="s">
        <v>491</v>
      </c>
      <c r="D627" s="2" t="s">
        <v>361</v>
      </c>
      <c r="E627" t="s">
        <v>338</v>
      </c>
      <c r="F627" t="s">
        <v>388</v>
      </c>
      <c r="K627">
        <v>1</v>
      </c>
      <c r="O627" t="s">
        <v>492</v>
      </c>
      <c r="P627" t="s">
        <v>452</v>
      </c>
      <c r="Q627">
        <v>1</v>
      </c>
      <c r="R627" t="s">
        <v>389</v>
      </c>
      <c r="S627">
        <v>1</v>
      </c>
    </row>
    <row r="628" spans="1:19" x14ac:dyDescent="0.25">
      <c r="A628" t="s">
        <v>756</v>
      </c>
      <c r="B628" t="s">
        <v>721</v>
      </c>
      <c r="C628" t="s">
        <v>491</v>
      </c>
      <c r="D628" s="2" t="s">
        <v>361</v>
      </c>
      <c r="E628" s="2" t="s">
        <v>533</v>
      </c>
      <c r="K628">
        <v>1</v>
      </c>
      <c r="O628" t="s">
        <v>492</v>
      </c>
      <c r="P628" t="s">
        <v>397</v>
      </c>
      <c r="Q628">
        <v>1</v>
      </c>
      <c r="R628" t="s">
        <v>393</v>
      </c>
      <c r="S628">
        <v>1</v>
      </c>
    </row>
    <row r="629" spans="1:19" x14ac:dyDescent="0.25">
      <c r="A629" t="s">
        <v>756</v>
      </c>
      <c r="B629" t="s">
        <v>722</v>
      </c>
      <c r="C629" t="s">
        <v>491</v>
      </c>
      <c r="D629" s="2" t="s">
        <v>361</v>
      </c>
      <c r="E629" t="s">
        <v>338</v>
      </c>
      <c r="K629">
        <v>1</v>
      </c>
      <c r="O629" t="s">
        <v>493</v>
      </c>
      <c r="P629" t="s">
        <v>444</v>
      </c>
      <c r="Q629">
        <v>1</v>
      </c>
      <c r="R629" t="s">
        <v>340</v>
      </c>
      <c r="S629">
        <v>1</v>
      </c>
    </row>
    <row r="630" spans="1:19" x14ac:dyDescent="0.25">
      <c r="A630" t="s">
        <v>756</v>
      </c>
      <c r="B630" t="s">
        <v>722</v>
      </c>
      <c r="C630" t="s">
        <v>491</v>
      </c>
      <c r="D630" s="2" t="s">
        <v>361</v>
      </c>
      <c r="E630" t="s">
        <v>338</v>
      </c>
      <c r="F630" t="s">
        <v>388</v>
      </c>
      <c r="K630">
        <v>1</v>
      </c>
      <c r="O630" t="s">
        <v>493</v>
      </c>
      <c r="P630" t="s">
        <v>452</v>
      </c>
      <c r="Q630">
        <v>1</v>
      </c>
      <c r="R630" t="s">
        <v>389</v>
      </c>
      <c r="S630">
        <v>1</v>
      </c>
    </row>
    <row r="631" spans="1:19" x14ac:dyDescent="0.25">
      <c r="A631" t="s">
        <v>756</v>
      </c>
      <c r="B631" t="s">
        <v>722</v>
      </c>
      <c r="C631" t="s">
        <v>491</v>
      </c>
      <c r="D631" s="2" t="s">
        <v>361</v>
      </c>
      <c r="E631" s="2" t="s">
        <v>533</v>
      </c>
      <c r="K631">
        <v>1</v>
      </c>
      <c r="O631" t="s">
        <v>493</v>
      </c>
      <c r="P631" t="s">
        <v>397</v>
      </c>
      <c r="Q631">
        <v>1</v>
      </c>
      <c r="R631" t="s">
        <v>393</v>
      </c>
      <c r="S631">
        <v>1</v>
      </c>
    </row>
    <row r="632" spans="1:19" x14ac:dyDescent="0.25">
      <c r="A632" t="s">
        <v>756</v>
      </c>
      <c r="B632" t="s">
        <v>722</v>
      </c>
      <c r="C632" t="s">
        <v>539</v>
      </c>
      <c r="D632" s="2" t="s">
        <v>361</v>
      </c>
      <c r="E632" t="s">
        <v>338</v>
      </c>
      <c r="K632">
        <v>1</v>
      </c>
      <c r="O632" t="s">
        <v>495</v>
      </c>
      <c r="P632" t="s">
        <v>444</v>
      </c>
      <c r="Q632">
        <v>1</v>
      </c>
      <c r="R632" t="s">
        <v>340</v>
      </c>
      <c r="S632">
        <v>1</v>
      </c>
    </row>
    <row r="633" spans="1:19" x14ac:dyDescent="0.25">
      <c r="A633" t="s">
        <v>756</v>
      </c>
      <c r="B633" t="s">
        <v>722</v>
      </c>
      <c r="C633" t="s">
        <v>539</v>
      </c>
      <c r="D633" s="2" t="s">
        <v>361</v>
      </c>
      <c r="E633" t="s">
        <v>338</v>
      </c>
      <c r="F633" t="s">
        <v>388</v>
      </c>
      <c r="K633">
        <v>1</v>
      </c>
      <c r="O633" t="s">
        <v>495</v>
      </c>
      <c r="P633" t="s">
        <v>452</v>
      </c>
      <c r="Q633">
        <v>1</v>
      </c>
      <c r="R633" t="s">
        <v>389</v>
      </c>
      <c r="S633">
        <v>1</v>
      </c>
    </row>
    <row r="634" spans="1:19" x14ac:dyDescent="0.25">
      <c r="A634" t="s">
        <v>756</v>
      </c>
      <c r="B634" t="s">
        <v>722</v>
      </c>
      <c r="C634" t="s">
        <v>539</v>
      </c>
      <c r="D634" s="2" t="s">
        <v>361</v>
      </c>
      <c r="E634" s="2" t="s">
        <v>533</v>
      </c>
      <c r="K634">
        <v>1</v>
      </c>
      <c r="O634" t="s">
        <v>495</v>
      </c>
      <c r="P634" t="s">
        <v>397</v>
      </c>
      <c r="Q634">
        <v>1</v>
      </c>
      <c r="R634" t="s">
        <v>393</v>
      </c>
      <c r="S634">
        <v>1</v>
      </c>
    </row>
    <row r="635" spans="1:19" x14ac:dyDescent="0.25">
      <c r="A635" t="s">
        <v>756</v>
      </c>
      <c r="B635" t="s">
        <v>718</v>
      </c>
      <c r="C635" t="s">
        <v>773</v>
      </c>
      <c r="D635" s="2" t="s">
        <v>337</v>
      </c>
      <c r="E635" t="s">
        <v>338</v>
      </c>
      <c r="K635">
        <v>1</v>
      </c>
      <c r="O635" t="s">
        <v>476</v>
      </c>
      <c r="P635" t="s">
        <v>445</v>
      </c>
      <c r="Q635">
        <v>1</v>
      </c>
      <c r="R635" t="s">
        <v>364</v>
      </c>
      <c r="S635">
        <v>1</v>
      </c>
    </row>
    <row r="636" spans="1:19" x14ac:dyDescent="0.25">
      <c r="A636" t="s">
        <v>756</v>
      </c>
      <c r="B636" t="s">
        <v>718</v>
      </c>
      <c r="C636" t="s">
        <v>529</v>
      </c>
      <c r="D636" s="2" t="s">
        <v>342</v>
      </c>
      <c r="E636" t="s">
        <v>338</v>
      </c>
      <c r="K636">
        <v>1</v>
      </c>
      <c r="O636" t="s">
        <v>476</v>
      </c>
      <c r="P636" t="s">
        <v>446</v>
      </c>
      <c r="Q636">
        <v>1</v>
      </c>
      <c r="R636" t="s">
        <v>364</v>
      </c>
      <c r="S636">
        <v>1</v>
      </c>
    </row>
    <row r="637" spans="1:19" x14ac:dyDescent="0.25">
      <c r="A637" t="s">
        <v>756</v>
      </c>
      <c r="B637" t="s">
        <v>718</v>
      </c>
      <c r="C637" t="s">
        <v>530</v>
      </c>
      <c r="D637" s="2" t="s">
        <v>342</v>
      </c>
      <c r="E637" t="s">
        <v>338</v>
      </c>
      <c r="K637">
        <v>1</v>
      </c>
      <c r="O637" t="s">
        <v>480</v>
      </c>
      <c r="P637" t="s">
        <v>446</v>
      </c>
      <c r="Q637">
        <v>1</v>
      </c>
      <c r="R637" t="s">
        <v>364</v>
      </c>
      <c r="S637">
        <v>1</v>
      </c>
    </row>
    <row r="638" spans="1:19" x14ac:dyDescent="0.25">
      <c r="A638" t="s">
        <v>756</v>
      </c>
      <c r="B638" t="s">
        <v>718</v>
      </c>
      <c r="C638" t="s">
        <v>344</v>
      </c>
      <c r="D638" s="2" t="s">
        <v>345</v>
      </c>
      <c r="E638" t="s">
        <v>338</v>
      </c>
      <c r="K638">
        <v>1</v>
      </c>
      <c r="O638" t="s">
        <v>480</v>
      </c>
      <c r="P638" t="s">
        <v>447</v>
      </c>
      <c r="Q638">
        <v>1</v>
      </c>
      <c r="R638" t="s">
        <v>364</v>
      </c>
      <c r="S638">
        <v>1</v>
      </c>
    </row>
    <row r="639" spans="1:19" x14ac:dyDescent="0.25">
      <c r="A639" t="s">
        <v>756</v>
      </c>
      <c r="B639" t="s">
        <v>718</v>
      </c>
      <c r="C639" t="s">
        <v>531</v>
      </c>
      <c r="D639" s="2" t="s">
        <v>348</v>
      </c>
      <c r="E639" t="s">
        <v>338</v>
      </c>
      <c r="K639">
        <v>1</v>
      </c>
      <c r="O639" t="s">
        <v>480</v>
      </c>
      <c r="P639" t="s">
        <v>448</v>
      </c>
      <c r="Q639">
        <v>1</v>
      </c>
      <c r="R639" t="s">
        <v>364</v>
      </c>
      <c r="S639">
        <v>1</v>
      </c>
    </row>
    <row r="640" spans="1:19" x14ac:dyDescent="0.25">
      <c r="A640" t="s">
        <v>756</v>
      </c>
      <c r="B640" t="s">
        <v>718</v>
      </c>
      <c r="C640" t="s">
        <v>532</v>
      </c>
      <c r="D640" s="2" t="s">
        <v>348</v>
      </c>
      <c r="E640" t="s">
        <v>338</v>
      </c>
      <c r="K640">
        <v>1</v>
      </c>
      <c r="O640" t="s">
        <v>482</v>
      </c>
      <c r="P640" t="s">
        <v>448</v>
      </c>
      <c r="Q640">
        <v>1</v>
      </c>
      <c r="R640" t="s">
        <v>364</v>
      </c>
      <c r="S640">
        <v>1</v>
      </c>
    </row>
    <row r="641" spans="1:19" x14ac:dyDescent="0.25">
      <c r="A641" t="s">
        <v>756</v>
      </c>
      <c r="B641" t="s">
        <v>718</v>
      </c>
      <c r="C641" t="s">
        <v>350</v>
      </c>
      <c r="D641" s="2" t="s">
        <v>351</v>
      </c>
      <c r="E641" t="s">
        <v>338</v>
      </c>
      <c r="K641">
        <v>1</v>
      </c>
      <c r="O641" t="s">
        <v>482</v>
      </c>
      <c r="P641" t="s">
        <v>449</v>
      </c>
      <c r="Q641">
        <v>1</v>
      </c>
      <c r="R641" t="s">
        <v>364</v>
      </c>
      <c r="S641">
        <v>1</v>
      </c>
    </row>
    <row r="642" spans="1:19" x14ac:dyDescent="0.25">
      <c r="A642" t="s">
        <v>756</v>
      </c>
      <c r="B642" t="s">
        <v>718</v>
      </c>
      <c r="C642" t="s">
        <v>534</v>
      </c>
      <c r="D642" s="2" t="s">
        <v>354</v>
      </c>
      <c r="E642" t="s">
        <v>338</v>
      </c>
      <c r="K642">
        <v>1</v>
      </c>
      <c r="O642" t="s">
        <v>482</v>
      </c>
      <c r="P642" t="s">
        <v>450</v>
      </c>
      <c r="Q642">
        <v>1</v>
      </c>
      <c r="R642" t="s">
        <v>364</v>
      </c>
      <c r="S642">
        <v>1</v>
      </c>
    </row>
    <row r="643" spans="1:19" x14ac:dyDescent="0.25">
      <c r="A643" t="s">
        <v>756</v>
      </c>
      <c r="B643" t="s">
        <v>719</v>
      </c>
      <c r="C643" t="s">
        <v>483</v>
      </c>
      <c r="D643" s="2" t="s">
        <v>354</v>
      </c>
      <c r="E643" t="s">
        <v>338</v>
      </c>
      <c r="K643">
        <v>1</v>
      </c>
      <c r="O643" t="s">
        <v>484</v>
      </c>
      <c r="P643" t="s">
        <v>450</v>
      </c>
      <c r="Q643">
        <v>1</v>
      </c>
      <c r="R643" t="s">
        <v>364</v>
      </c>
      <c r="S643">
        <v>1</v>
      </c>
    </row>
    <row r="644" spans="1:19" x14ac:dyDescent="0.25">
      <c r="A644" t="s">
        <v>756</v>
      </c>
      <c r="B644" t="s">
        <v>719</v>
      </c>
      <c r="C644" t="s">
        <v>535</v>
      </c>
      <c r="D644" s="2" t="s">
        <v>354</v>
      </c>
      <c r="E644" t="s">
        <v>338</v>
      </c>
      <c r="K644">
        <v>1</v>
      </c>
      <c r="O644" t="s">
        <v>486</v>
      </c>
      <c r="P644" t="s">
        <v>450</v>
      </c>
      <c r="Q644">
        <v>1</v>
      </c>
      <c r="R644" t="s">
        <v>364</v>
      </c>
      <c r="S644">
        <v>1</v>
      </c>
    </row>
    <row r="645" spans="1:19" x14ac:dyDescent="0.25">
      <c r="A645" t="s">
        <v>756</v>
      </c>
      <c r="B645" t="s">
        <v>719</v>
      </c>
      <c r="C645" t="s">
        <v>536</v>
      </c>
      <c r="D645" s="2" t="s">
        <v>357</v>
      </c>
      <c r="E645" t="s">
        <v>338</v>
      </c>
      <c r="K645">
        <v>1</v>
      </c>
      <c r="O645" t="s">
        <v>486</v>
      </c>
      <c r="P645" t="s">
        <v>451</v>
      </c>
      <c r="Q645">
        <v>1</v>
      </c>
      <c r="R645" t="s">
        <v>364</v>
      </c>
      <c r="S645">
        <v>1</v>
      </c>
    </row>
    <row r="646" spans="1:19" x14ac:dyDescent="0.25">
      <c r="A646" t="s">
        <v>756</v>
      </c>
      <c r="B646" t="s">
        <v>720</v>
      </c>
      <c r="C646" t="s">
        <v>537</v>
      </c>
      <c r="D646" s="2" t="s">
        <v>357</v>
      </c>
      <c r="E646" t="s">
        <v>338</v>
      </c>
      <c r="K646">
        <v>1</v>
      </c>
      <c r="O646" t="s">
        <v>488</v>
      </c>
      <c r="P646" t="s">
        <v>451</v>
      </c>
      <c r="Q646">
        <v>1</v>
      </c>
      <c r="R646" t="s">
        <v>364</v>
      </c>
      <c r="S646">
        <v>1</v>
      </c>
    </row>
    <row r="647" spans="1:19" x14ac:dyDescent="0.25">
      <c r="A647" t="s">
        <v>756</v>
      </c>
      <c r="B647" t="s">
        <v>721</v>
      </c>
      <c r="C647" t="s">
        <v>538</v>
      </c>
      <c r="D647" s="2" t="s">
        <v>361</v>
      </c>
      <c r="E647" t="s">
        <v>338</v>
      </c>
      <c r="K647">
        <v>1</v>
      </c>
      <c r="O647" t="s">
        <v>488</v>
      </c>
      <c r="P647" t="s">
        <v>452</v>
      </c>
      <c r="Q647">
        <v>1</v>
      </c>
      <c r="R647" t="s">
        <v>364</v>
      </c>
      <c r="S647">
        <v>1</v>
      </c>
    </row>
    <row r="648" spans="1:19" x14ac:dyDescent="0.25">
      <c r="A648" t="s">
        <v>756</v>
      </c>
      <c r="B648" t="s">
        <v>721</v>
      </c>
      <c r="C648" t="s">
        <v>491</v>
      </c>
      <c r="D648" s="2" t="s">
        <v>361</v>
      </c>
      <c r="E648" t="s">
        <v>338</v>
      </c>
      <c r="K648">
        <v>1</v>
      </c>
      <c r="O648" t="s">
        <v>492</v>
      </c>
      <c r="P648" t="s">
        <v>452</v>
      </c>
      <c r="Q648">
        <v>1</v>
      </c>
      <c r="R648" t="s">
        <v>364</v>
      </c>
      <c r="S648">
        <v>1</v>
      </c>
    </row>
    <row r="649" spans="1:19" x14ac:dyDescent="0.25">
      <c r="A649" t="s">
        <v>756</v>
      </c>
      <c r="B649" t="s">
        <v>722</v>
      </c>
      <c r="C649" t="s">
        <v>491</v>
      </c>
      <c r="D649" s="2" t="s">
        <v>361</v>
      </c>
      <c r="E649" t="s">
        <v>338</v>
      </c>
      <c r="K649">
        <v>1</v>
      </c>
      <c r="O649" t="s">
        <v>493</v>
      </c>
      <c r="P649" t="s">
        <v>452</v>
      </c>
      <c r="Q649">
        <v>1</v>
      </c>
      <c r="R649" t="s">
        <v>364</v>
      </c>
      <c r="S649">
        <v>1</v>
      </c>
    </row>
    <row r="650" spans="1:19" x14ac:dyDescent="0.25">
      <c r="A650" t="s">
        <v>756</v>
      </c>
      <c r="B650" t="s">
        <v>722</v>
      </c>
      <c r="C650" t="s">
        <v>539</v>
      </c>
      <c r="D650" s="2" t="s">
        <v>361</v>
      </c>
      <c r="E650" t="s">
        <v>338</v>
      </c>
      <c r="K650">
        <v>1</v>
      </c>
      <c r="O650" t="s">
        <v>495</v>
      </c>
      <c r="P650" t="s">
        <v>452</v>
      </c>
      <c r="Q650">
        <v>1</v>
      </c>
      <c r="R650" t="s">
        <v>364</v>
      </c>
      <c r="S650">
        <v>1</v>
      </c>
    </row>
    <row r="651" spans="1:19" x14ac:dyDescent="0.25">
      <c r="A651" t="s">
        <v>756</v>
      </c>
      <c r="B651" t="s">
        <v>723</v>
      </c>
      <c r="C651" t="s">
        <v>373</v>
      </c>
      <c r="D651" s="2" t="s">
        <v>374</v>
      </c>
      <c r="E651" t="s">
        <v>338</v>
      </c>
      <c r="K651">
        <v>1</v>
      </c>
      <c r="O651" t="s">
        <v>497</v>
      </c>
      <c r="P651" t="s">
        <v>453</v>
      </c>
      <c r="Q651">
        <v>1</v>
      </c>
      <c r="R651" t="s">
        <v>364</v>
      </c>
      <c r="S651">
        <v>1</v>
      </c>
    </row>
    <row r="652" spans="1:19" x14ac:dyDescent="0.25">
      <c r="A652" t="s">
        <v>756</v>
      </c>
      <c r="B652" t="s">
        <v>723</v>
      </c>
      <c r="C652" t="s">
        <v>373</v>
      </c>
      <c r="D652" s="2" t="s">
        <v>374</v>
      </c>
      <c r="E652" t="s">
        <v>338</v>
      </c>
      <c r="F652" t="s">
        <v>388</v>
      </c>
      <c r="K652">
        <v>1</v>
      </c>
      <c r="O652" t="s">
        <v>497</v>
      </c>
      <c r="P652" t="s">
        <v>453</v>
      </c>
      <c r="Q652">
        <v>1</v>
      </c>
      <c r="R652" t="s">
        <v>389</v>
      </c>
      <c r="S652">
        <v>1</v>
      </c>
    </row>
    <row r="653" spans="1:19" x14ac:dyDescent="0.25">
      <c r="A653" t="s">
        <v>756</v>
      </c>
      <c r="B653" t="s">
        <v>723</v>
      </c>
      <c r="C653" t="s">
        <v>373</v>
      </c>
      <c r="D653" s="2" t="s">
        <v>374</v>
      </c>
      <c r="E653" s="2" t="s">
        <v>533</v>
      </c>
      <c r="K653">
        <v>1</v>
      </c>
      <c r="O653" t="s">
        <v>497</v>
      </c>
      <c r="P653" t="s">
        <v>467</v>
      </c>
      <c r="Q653">
        <v>1</v>
      </c>
      <c r="R653" t="s">
        <v>393</v>
      </c>
      <c r="S653">
        <v>1</v>
      </c>
    </row>
    <row r="654" spans="1:19" x14ac:dyDescent="0.25">
      <c r="A654" t="s">
        <v>756</v>
      </c>
      <c r="B654" t="s">
        <v>724</v>
      </c>
      <c r="C654" t="s">
        <v>540</v>
      </c>
      <c r="D654" s="2" t="s">
        <v>378</v>
      </c>
      <c r="E654" t="s">
        <v>338</v>
      </c>
      <c r="K654">
        <v>1</v>
      </c>
      <c r="O654" t="s">
        <v>497</v>
      </c>
      <c r="P654" t="s">
        <v>454</v>
      </c>
      <c r="Q654">
        <v>1</v>
      </c>
      <c r="R654" t="s">
        <v>364</v>
      </c>
      <c r="S654">
        <v>1</v>
      </c>
    </row>
    <row r="655" spans="1:19" x14ac:dyDescent="0.25">
      <c r="A655" t="s">
        <v>756</v>
      </c>
      <c r="B655" t="s">
        <v>724</v>
      </c>
      <c r="C655" t="s">
        <v>540</v>
      </c>
      <c r="D655" s="2" t="s">
        <v>378</v>
      </c>
      <c r="E655" t="s">
        <v>338</v>
      </c>
      <c r="F655" t="s">
        <v>388</v>
      </c>
      <c r="K655">
        <v>1</v>
      </c>
      <c r="O655" t="s">
        <v>497</v>
      </c>
      <c r="P655" t="s">
        <v>454</v>
      </c>
      <c r="Q655">
        <v>1</v>
      </c>
      <c r="R655" t="s">
        <v>389</v>
      </c>
      <c r="S655">
        <v>1</v>
      </c>
    </row>
    <row r="656" spans="1:19" x14ac:dyDescent="0.25">
      <c r="A656" t="s">
        <v>756</v>
      </c>
      <c r="B656" t="s">
        <v>724</v>
      </c>
      <c r="C656" t="s">
        <v>540</v>
      </c>
      <c r="D656" s="2" t="s">
        <v>378</v>
      </c>
      <c r="E656" s="2" t="s">
        <v>533</v>
      </c>
      <c r="K656">
        <v>1</v>
      </c>
      <c r="O656" t="s">
        <v>497</v>
      </c>
      <c r="P656" t="s">
        <v>468</v>
      </c>
      <c r="Q656">
        <v>1</v>
      </c>
      <c r="R656" t="s">
        <v>393</v>
      </c>
      <c r="S656">
        <v>1</v>
      </c>
    </row>
    <row r="657" spans="1:19" x14ac:dyDescent="0.25">
      <c r="A657" t="s">
        <v>756</v>
      </c>
      <c r="B657" t="s">
        <v>724</v>
      </c>
      <c r="C657" t="s">
        <v>540</v>
      </c>
      <c r="D657" s="2" t="s">
        <v>378</v>
      </c>
      <c r="E657" t="s">
        <v>338</v>
      </c>
      <c r="K657">
        <v>1</v>
      </c>
      <c r="O657" t="s">
        <v>500</v>
      </c>
      <c r="P657" t="s">
        <v>454</v>
      </c>
      <c r="Q657">
        <v>1</v>
      </c>
      <c r="R657" t="s">
        <v>364</v>
      </c>
      <c r="S657">
        <v>1</v>
      </c>
    </row>
    <row r="658" spans="1:19" x14ac:dyDescent="0.25">
      <c r="A658" t="s">
        <v>756</v>
      </c>
      <c r="B658" t="s">
        <v>724</v>
      </c>
      <c r="C658" t="s">
        <v>540</v>
      </c>
      <c r="D658" s="2" t="s">
        <v>378</v>
      </c>
      <c r="E658" t="s">
        <v>338</v>
      </c>
      <c r="F658" t="s">
        <v>388</v>
      </c>
      <c r="K658">
        <v>1</v>
      </c>
      <c r="O658" t="s">
        <v>500</v>
      </c>
      <c r="P658" t="s">
        <v>454</v>
      </c>
      <c r="Q658">
        <v>1</v>
      </c>
      <c r="R658" t="s">
        <v>389</v>
      </c>
      <c r="S658">
        <v>1</v>
      </c>
    </row>
    <row r="659" spans="1:19" x14ac:dyDescent="0.25">
      <c r="A659" t="s">
        <v>756</v>
      </c>
      <c r="B659" t="s">
        <v>724</v>
      </c>
      <c r="C659" t="s">
        <v>540</v>
      </c>
      <c r="D659" s="2" t="s">
        <v>378</v>
      </c>
      <c r="E659" s="2" t="s">
        <v>533</v>
      </c>
      <c r="K659">
        <v>1</v>
      </c>
      <c r="O659" t="s">
        <v>500</v>
      </c>
      <c r="P659" t="s">
        <v>468</v>
      </c>
      <c r="Q659">
        <v>1</v>
      </c>
      <c r="R659" t="s">
        <v>393</v>
      </c>
      <c r="S659">
        <v>1</v>
      </c>
    </row>
    <row r="660" spans="1:19" x14ac:dyDescent="0.25">
      <c r="A660" t="s">
        <v>756</v>
      </c>
      <c r="B660" t="s">
        <v>724</v>
      </c>
      <c r="C660" t="s">
        <v>541</v>
      </c>
      <c r="D660" s="2" t="s">
        <v>378</v>
      </c>
      <c r="E660" t="s">
        <v>338</v>
      </c>
      <c r="K660">
        <v>1</v>
      </c>
      <c r="O660" t="s">
        <v>502</v>
      </c>
      <c r="P660" t="s">
        <v>454</v>
      </c>
      <c r="Q660">
        <v>1</v>
      </c>
      <c r="R660" t="s">
        <v>364</v>
      </c>
      <c r="S660">
        <v>1</v>
      </c>
    </row>
    <row r="661" spans="1:19" x14ac:dyDescent="0.25">
      <c r="A661" t="s">
        <v>756</v>
      </c>
      <c r="B661" t="s">
        <v>724</v>
      </c>
      <c r="C661" t="s">
        <v>541</v>
      </c>
      <c r="D661" s="2" t="s">
        <v>378</v>
      </c>
      <c r="E661" t="s">
        <v>338</v>
      </c>
      <c r="F661" t="s">
        <v>388</v>
      </c>
      <c r="K661">
        <v>1</v>
      </c>
      <c r="O661" t="s">
        <v>502</v>
      </c>
      <c r="P661" t="s">
        <v>454</v>
      </c>
      <c r="Q661">
        <v>1</v>
      </c>
      <c r="R661" t="s">
        <v>389</v>
      </c>
      <c r="S661">
        <v>1</v>
      </c>
    </row>
    <row r="662" spans="1:19" x14ac:dyDescent="0.25">
      <c r="A662" t="s">
        <v>756</v>
      </c>
      <c r="B662" t="s">
        <v>724</v>
      </c>
      <c r="C662" t="s">
        <v>541</v>
      </c>
      <c r="D662" s="2" t="s">
        <v>378</v>
      </c>
      <c r="E662" s="2" t="s">
        <v>533</v>
      </c>
      <c r="K662">
        <v>1</v>
      </c>
      <c r="O662" t="s">
        <v>502</v>
      </c>
      <c r="P662" t="s">
        <v>468</v>
      </c>
      <c r="Q662">
        <v>1</v>
      </c>
      <c r="R662" t="s">
        <v>393</v>
      </c>
      <c r="S662">
        <v>1</v>
      </c>
    </row>
    <row r="663" spans="1:19" x14ac:dyDescent="0.25">
      <c r="A663" t="s">
        <v>756</v>
      </c>
      <c r="B663" t="s">
        <v>725</v>
      </c>
      <c r="C663" t="s">
        <v>542</v>
      </c>
      <c r="D663" s="2" t="s">
        <v>382</v>
      </c>
      <c r="E663" t="s">
        <v>338</v>
      </c>
      <c r="K663">
        <v>1</v>
      </c>
      <c r="O663" t="s">
        <v>502</v>
      </c>
      <c r="P663" t="s">
        <v>455</v>
      </c>
      <c r="Q663">
        <v>1</v>
      </c>
      <c r="R663" t="s">
        <v>364</v>
      </c>
      <c r="S663">
        <v>1</v>
      </c>
    </row>
    <row r="664" spans="1:19" x14ac:dyDescent="0.25">
      <c r="A664" t="s">
        <v>756</v>
      </c>
      <c r="B664" t="s">
        <v>725</v>
      </c>
      <c r="C664" t="s">
        <v>542</v>
      </c>
      <c r="D664" s="2" t="s">
        <v>382</v>
      </c>
      <c r="E664" t="s">
        <v>338</v>
      </c>
      <c r="F664" t="s">
        <v>388</v>
      </c>
      <c r="K664">
        <v>1</v>
      </c>
      <c r="O664" t="s">
        <v>502</v>
      </c>
      <c r="P664" t="s">
        <v>455</v>
      </c>
      <c r="Q664">
        <v>1</v>
      </c>
      <c r="R664" t="s">
        <v>389</v>
      </c>
      <c r="S664">
        <v>1</v>
      </c>
    </row>
    <row r="665" spans="1:19" x14ac:dyDescent="0.25">
      <c r="A665" t="s">
        <v>756</v>
      </c>
      <c r="B665" t="s">
        <v>725</v>
      </c>
      <c r="C665" t="s">
        <v>542</v>
      </c>
      <c r="D665" s="2" t="s">
        <v>382</v>
      </c>
      <c r="E665" s="2" t="s">
        <v>533</v>
      </c>
      <c r="K665">
        <v>1</v>
      </c>
      <c r="O665" t="s">
        <v>502</v>
      </c>
      <c r="P665" t="s">
        <v>429</v>
      </c>
      <c r="Q665">
        <v>1</v>
      </c>
      <c r="R665" t="s">
        <v>393</v>
      </c>
      <c r="S665">
        <v>1</v>
      </c>
    </row>
    <row r="666" spans="1:19" x14ac:dyDescent="0.25">
      <c r="A666" t="s">
        <v>756</v>
      </c>
      <c r="B666" t="s">
        <v>725</v>
      </c>
      <c r="C666" t="s">
        <v>503</v>
      </c>
      <c r="D666" s="2" t="s">
        <v>382</v>
      </c>
      <c r="E666" t="s">
        <v>338</v>
      </c>
      <c r="K666">
        <v>1</v>
      </c>
      <c r="O666" t="s">
        <v>504</v>
      </c>
      <c r="P666" t="s">
        <v>455</v>
      </c>
      <c r="Q666">
        <v>1</v>
      </c>
      <c r="R666" t="s">
        <v>364</v>
      </c>
      <c r="S666">
        <v>1</v>
      </c>
    </row>
    <row r="667" spans="1:19" x14ac:dyDescent="0.25">
      <c r="A667" t="s">
        <v>756</v>
      </c>
      <c r="B667" t="s">
        <v>725</v>
      </c>
      <c r="C667" t="s">
        <v>503</v>
      </c>
      <c r="D667" s="2" t="s">
        <v>382</v>
      </c>
      <c r="E667" t="s">
        <v>338</v>
      </c>
      <c r="F667" t="s">
        <v>388</v>
      </c>
      <c r="K667">
        <v>1</v>
      </c>
      <c r="O667" t="s">
        <v>504</v>
      </c>
      <c r="P667" t="s">
        <v>455</v>
      </c>
      <c r="Q667">
        <v>1</v>
      </c>
      <c r="R667" t="s">
        <v>389</v>
      </c>
      <c r="S667">
        <v>1</v>
      </c>
    </row>
    <row r="668" spans="1:19" x14ac:dyDescent="0.25">
      <c r="A668" t="s">
        <v>756</v>
      </c>
      <c r="B668" t="s">
        <v>725</v>
      </c>
      <c r="C668" t="s">
        <v>503</v>
      </c>
      <c r="D668" s="2" t="s">
        <v>382</v>
      </c>
      <c r="E668" s="2" t="s">
        <v>533</v>
      </c>
      <c r="K668">
        <v>1</v>
      </c>
      <c r="O668" t="s">
        <v>504</v>
      </c>
      <c r="P668" t="s">
        <v>429</v>
      </c>
      <c r="Q668">
        <v>1</v>
      </c>
      <c r="R668" t="s">
        <v>393</v>
      </c>
      <c r="S668">
        <v>1</v>
      </c>
    </row>
    <row r="669" spans="1:19" x14ac:dyDescent="0.25">
      <c r="A669" t="s">
        <v>756</v>
      </c>
      <c r="B669" t="s">
        <v>726</v>
      </c>
      <c r="C669" t="s">
        <v>543</v>
      </c>
      <c r="D669" s="2" t="s">
        <v>382</v>
      </c>
      <c r="E669" t="s">
        <v>338</v>
      </c>
      <c r="K669">
        <v>1</v>
      </c>
      <c r="O669" t="s">
        <v>506</v>
      </c>
      <c r="P669" t="s">
        <v>455</v>
      </c>
      <c r="Q669">
        <v>1</v>
      </c>
      <c r="R669" t="s">
        <v>364</v>
      </c>
      <c r="S669">
        <v>1</v>
      </c>
    </row>
    <row r="670" spans="1:19" x14ac:dyDescent="0.25">
      <c r="A670" t="s">
        <v>756</v>
      </c>
      <c r="B670" t="s">
        <v>726</v>
      </c>
      <c r="C670" t="s">
        <v>543</v>
      </c>
      <c r="D670" s="2" t="s">
        <v>382</v>
      </c>
      <c r="E670" t="s">
        <v>338</v>
      </c>
      <c r="F670" t="s">
        <v>388</v>
      </c>
      <c r="K670">
        <v>1</v>
      </c>
      <c r="O670" t="s">
        <v>506</v>
      </c>
      <c r="P670" t="s">
        <v>455</v>
      </c>
      <c r="Q670">
        <v>1</v>
      </c>
      <c r="R670" t="s">
        <v>389</v>
      </c>
      <c r="S670">
        <v>1</v>
      </c>
    </row>
    <row r="671" spans="1:19" x14ac:dyDescent="0.25">
      <c r="A671" t="s">
        <v>756</v>
      </c>
      <c r="B671" t="s">
        <v>726</v>
      </c>
      <c r="C671" t="s">
        <v>543</v>
      </c>
      <c r="D671" s="2" t="s">
        <v>382</v>
      </c>
      <c r="E671" s="2" t="s">
        <v>533</v>
      </c>
      <c r="K671">
        <v>1</v>
      </c>
      <c r="O671" t="s">
        <v>506</v>
      </c>
      <c r="P671" t="s">
        <v>429</v>
      </c>
      <c r="Q671">
        <v>1</v>
      </c>
      <c r="R671" t="s">
        <v>393</v>
      </c>
      <c r="S671">
        <v>1</v>
      </c>
    </row>
    <row r="672" spans="1:19" x14ac:dyDescent="0.25">
      <c r="A672" t="s">
        <v>756</v>
      </c>
      <c r="B672" t="s">
        <v>727</v>
      </c>
      <c r="C672" t="s">
        <v>544</v>
      </c>
      <c r="D672" s="2" t="s">
        <v>386</v>
      </c>
      <c r="E672" t="s">
        <v>338</v>
      </c>
      <c r="K672">
        <v>1</v>
      </c>
      <c r="O672" t="s">
        <v>506</v>
      </c>
      <c r="P672" t="s">
        <v>456</v>
      </c>
      <c r="Q672">
        <v>1</v>
      </c>
      <c r="R672" t="s">
        <v>364</v>
      </c>
      <c r="S672">
        <v>1</v>
      </c>
    </row>
    <row r="673" spans="1:19" x14ac:dyDescent="0.25">
      <c r="A673" t="s">
        <v>756</v>
      </c>
      <c r="B673" t="s">
        <v>727</v>
      </c>
      <c r="C673" t="s">
        <v>544</v>
      </c>
      <c r="D673" s="2" t="s">
        <v>386</v>
      </c>
      <c r="E673" t="s">
        <v>338</v>
      </c>
      <c r="F673" t="s">
        <v>388</v>
      </c>
      <c r="K673">
        <v>1</v>
      </c>
      <c r="O673" t="s">
        <v>506</v>
      </c>
      <c r="P673" t="s">
        <v>456</v>
      </c>
      <c r="Q673">
        <v>1</v>
      </c>
      <c r="R673" t="s">
        <v>389</v>
      </c>
      <c r="S673">
        <v>1</v>
      </c>
    </row>
    <row r="674" spans="1:19" x14ac:dyDescent="0.25">
      <c r="A674" t="s">
        <v>756</v>
      </c>
      <c r="B674" t="s">
        <v>727</v>
      </c>
      <c r="C674" t="s">
        <v>544</v>
      </c>
      <c r="D674" s="2" t="s">
        <v>386</v>
      </c>
      <c r="E674" t="s">
        <v>545</v>
      </c>
      <c r="K674">
        <v>1</v>
      </c>
      <c r="O674" t="s">
        <v>506</v>
      </c>
      <c r="P674" t="s">
        <v>457</v>
      </c>
      <c r="Q674">
        <v>1</v>
      </c>
      <c r="R674" t="s">
        <v>393</v>
      </c>
      <c r="S674">
        <v>1</v>
      </c>
    </row>
    <row r="675" spans="1:19" x14ac:dyDescent="0.25">
      <c r="A675" t="s">
        <v>756</v>
      </c>
      <c r="B675" t="s">
        <v>727</v>
      </c>
      <c r="C675" t="s">
        <v>544</v>
      </c>
      <c r="D675" s="2" t="s">
        <v>386</v>
      </c>
      <c r="E675" s="2" t="s">
        <v>533</v>
      </c>
      <c r="K675">
        <v>1</v>
      </c>
      <c r="O675" t="s">
        <v>506</v>
      </c>
      <c r="P675" t="s">
        <v>469</v>
      </c>
      <c r="Q675">
        <v>1</v>
      </c>
      <c r="R675" t="s">
        <v>393</v>
      </c>
      <c r="S675">
        <v>1</v>
      </c>
    </row>
    <row r="676" spans="1:19" x14ac:dyDescent="0.25">
      <c r="A676" t="s">
        <v>756</v>
      </c>
      <c r="B676" t="s">
        <v>727</v>
      </c>
      <c r="C676" t="s">
        <v>507</v>
      </c>
      <c r="D676" s="2" t="s">
        <v>386</v>
      </c>
      <c r="E676" t="s">
        <v>545</v>
      </c>
      <c r="K676">
        <v>1</v>
      </c>
      <c r="O676" t="s">
        <v>508</v>
      </c>
      <c r="P676" t="s">
        <v>456</v>
      </c>
      <c r="Q676">
        <v>1</v>
      </c>
      <c r="R676" t="s">
        <v>364</v>
      </c>
      <c r="S676">
        <v>1</v>
      </c>
    </row>
    <row r="677" spans="1:19" x14ac:dyDescent="0.25">
      <c r="A677" t="s">
        <v>756</v>
      </c>
      <c r="B677" t="s">
        <v>727</v>
      </c>
      <c r="C677" t="s">
        <v>507</v>
      </c>
      <c r="D677" s="2" t="s">
        <v>386</v>
      </c>
      <c r="E677" t="s">
        <v>545</v>
      </c>
      <c r="F677" t="s">
        <v>388</v>
      </c>
      <c r="K677">
        <v>1</v>
      </c>
      <c r="O677" t="s">
        <v>508</v>
      </c>
      <c r="P677" t="s">
        <v>456</v>
      </c>
      <c r="Q677">
        <v>1</v>
      </c>
      <c r="R677" t="s">
        <v>389</v>
      </c>
      <c r="S677">
        <v>1</v>
      </c>
    </row>
    <row r="678" spans="1:19" x14ac:dyDescent="0.25">
      <c r="A678" t="s">
        <v>756</v>
      </c>
      <c r="B678" t="s">
        <v>727</v>
      </c>
      <c r="C678" t="s">
        <v>507</v>
      </c>
      <c r="D678" s="2" t="s">
        <v>386</v>
      </c>
      <c r="E678" t="s">
        <v>545</v>
      </c>
      <c r="K678">
        <v>1</v>
      </c>
      <c r="O678" t="s">
        <v>508</v>
      </c>
      <c r="P678" t="s">
        <v>457</v>
      </c>
      <c r="Q678">
        <v>1</v>
      </c>
      <c r="R678" t="s">
        <v>393</v>
      </c>
      <c r="S678">
        <v>1</v>
      </c>
    </row>
    <row r="679" spans="1:19" x14ac:dyDescent="0.25">
      <c r="A679" t="s">
        <v>756</v>
      </c>
      <c r="B679" t="s">
        <v>727</v>
      </c>
      <c r="C679" t="s">
        <v>507</v>
      </c>
      <c r="D679" s="2" t="s">
        <v>386</v>
      </c>
      <c r="E679" s="2" t="s">
        <v>533</v>
      </c>
      <c r="K679">
        <v>1</v>
      </c>
      <c r="O679" t="s">
        <v>508</v>
      </c>
      <c r="P679" t="s">
        <v>469</v>
      </c>
      <c r="Q679">
        <v>1</v>
      </c>
      <c r="R679" t="s">
        <v>393</v>
      </c>
      <c r="S679">
        <v>1</v>
      </c>
    </row>
    <row r="680" spans="1:19" x14ac:dyDescent="0.25">
      <c r="A680" t="s">
        <v>756</v>
      </c>
      <c r="B680" t="s">
        <v>727</v>
      </c>
      <c r="C680" t="s">
        <v>507</v>
      </c>
      <c r="D680" s="2" t="s">
        <v>386</v>
      </c>
      <c r="E680" t="s">
        <v>545</v>
      </c>
      <c r="K680">
        <v>1</v>
      </c>
      <c r="O680" t="s">
        <v>509</v>
      </c>
      <c r="P680" t="s">
        <v>456</v>
      </c>
      <c r="Q680">
        <v>1</v>
      </c>
      <c r="R680" t="s">
        <v>364</v>
      </c>
      <c r="S680">
        <v>1</v>
      </c>
    </row>
    <row r="681" spans="1:19" x14ac:dyDescent="0.25">
      <c r="A681" t="s">
        <v>756</v>
      </c>
      <c r="B681" t="s">
        <v>727</v>
      </c>
      <c r="C681" t="s">
        <v>507</v>
      </c>
      <c r="D681" s="2" t="s">
        <v>386</v>
      </c>
      <c r="E681" t="s">
        <v>545</v>
      </c>
      <c r="F681" t="s">
        <v>388</v>
      </c>
      <c r="K681">
        <v>1</v>
      </c>
      <c r="O681" t="s">
        <v>509</v>
      </c>
      <c r="P681" t="s">
        <v>456</v>
      </c>
      <c r="Q681">
        <v>1</v>
      </c>
      <c r="R681" t="s">
        <v>389</v>
      </c>
      <c r="S681">
        <v>1</v>
      </c>
    </row>
    <row r="682" spans="1:19" x14ac:dyDescent="0.25">
      <c r="A682" t="s">
        <v>756</v>
      </c>
      <c r="B682" t="s">
        <v>727</v>
      </c>
      <c r="C682" t="s">
        <v>507</v>
      </c>
      <c r="D682" s="2" t="s">
        <v>386</v>
      </c>
      <c r="E682" t="s">
        <v>545</v>
      </c>
      <c r="K682">
        <v>1</v>
      </c>
      <c r="O682" t="s">
        <v>509</v>
      </c>
      <c r="P682" t="s">
        <v>457</v>
      </c>
      <c r="Q682">
        <v>1</v>
      </c>
      <c r="R682" t="s">
        <v>393</v>
      </c>
      <c r="S682">
        <v>1</v>
      </c>
    </row>
    <row r="683" spans="1:19" x14ac:dyDescent="0.25">
      <c r="A683" t="s">
        <v>756</v>
      </c>
      <c r="B683" t="s">
        <v>727</v>
      </c>
      <c r="C683" t="s">
        <v>507</v>
      </c>
      <c r="D683" s="2" t="s">
        <v>386</v>
      </c>
      <c r="E683" s="2" t="s">
        <v>533</v>
      </c>
      <c r="K683">
        <v>1</v>
      </c>
      <c r="O683" t="s">
        <v>509</v>
      </c>
      <c r="P683" t="s">
        <v>469</v>
      </c>
      <c r="Q683">
        <v>1</v>
      </c>
      <c r="R683" t="s">
        <v>393</v>
      </c>
      <c r="S683">
        <v>1</v>
      </c>
    </row>
    <row r="684" spans="1:19" x14ac:dyDescent="0.25">
      <c r="A684" t="s">
        <v>756</v>
      </c>
      <c r="B684" t="s">
        <v>728</v>
      </c>
      <c r="C684" t="s">
        <v>546</v>
      </c>
      <c r="D684" s="2" t="s">
        <v>386</v>
      </c>
      <c r="E684" t="s">
        <v>545</v>
      </c>
      <c r="K684">
        <v>1</v>
      </c>
      <c r="O684" t="s">
        <v>511</v>
      </c>
      <c r="P684" t="s">
        <v>456</v>
      </c>
      <c r="Q684">
        <v>1</v>
      </c>
      <c r="R684" t="s">
        <v>364</v>
      </c>
      <c r="S684">
        <v>1</v>
      </c>
    </row>
    <row r="685" spans="1:19" x14ac:dyDescent="0.25">
      <c r="A685" t="s">
        <v>756</v>
      </c>
      <c r="B685" t="s">
        <v>728</v>
      </c>
      <c r="C685" t="s">
        <v>546</v>
      </c>
      <c r="D685" s="2" t="s">
        <v>386</v>
      </c>
      <c r="E685" t="s">
        <v>545</v>
      </c>
      <c r="F685" t="s">
        <v>388</v>
      </c>
      <c r="K685">
        <v>1</v>
      </c>
      <c r="O685" t="s">
        <v>511</v>
      </c>
      <c r="P685" t="s">
        <v>456</v>
      </c>
      <c r="Q685">
        <v>1</v>
      </c>
      <c r="R685" t="s">
        <v>389</v>
      </c>
      <c r="S685">
        <v>1</v>
      </c>
    </row>
    <row r="686" spans="1:19" x14ac:dyDescent="0.25">
      <c r="A686" t="s">
        <v>756</v>
      </c>
      <c r="B686" t="s">
        <v>729</v>
      </c>
      <c r="C686" t="s">
        <v>547</v>
      </c>
      <c r="D686" s="2" t="s">
        <v>404</v>
      </c>
      <c r="E686" t="s">
        <v>545</v>
      </c>
      <c r="K686">
        <v>1</v>
      </c>
      <c r="O686" t="s">
        <v>511</v>
      </c>
      <c r="P686" t="s">
        <v>458</v>
      </c>
      <c r="Q686">
        <v>1</v>
      </c>
      <c r="R686" t="s">
        <v>393</v>
      </c>
      <c r="S686">
        <v>1</v>
      </c>
    </row>
    <row r="687" spans="1:19" x14ac:dyDescent="0.25">
      <c r="A687" t="s">
        <v>756</v>
      </c>
      <c r="B687" t="s">
        <v>729</v>
      </c>
      <c r="C687" t="s">
        <v>547</v>
      </c>
      <c r="D687" s="2" t="s">
        <v>404</v>
      </c>
      <c r="E687" s="2" t="s">
        <v>533</v>
      </c>
      <c r="K687">
        <v>1</v>
      </c>
      <c r="O687" t="s">
        <v>511</v>
      </c>
      <c r="P687" t="s">
        <v>470</v>
      </c>
      <c r="Q687">
        <v>1</v>
      </c>
      <c r="R687" t="s">
        <v>393</v>
      </c>
      <c r="S687">
        <v>1</v>
      </c>
    </row>
    <row r="688" spans="1:19" x14ac:dyDescent="0.25">
      <c r="A688" t="s">
        <v>756</v>
      </c>
      <c r="B688" t="s">
        <v>730</v>
      </c>
      <c r="C688" t="s">
        <v>513</v>
      </c>
      <c r="D688" s="2" t="s">
        <v>404</v>
      </c>
      <c r="E688" t="s">
        <v>545</v>
      </c>
      <c r="K688">
        <v>1</v>
      </c>
      <c r="O688" t="s">
        <v>514</v>
      </c>
      <c r="P688" t="s">
        <v>458</v>
      </c>
      <c r="Q688">
        <v>1</v>
      </c>
      <c r="R688" t="s">
        <v>393</v>
      </c>
      <c r="S688">
        <v>1</v>
      </c>
    </row>
    <row r="689" spans="1:19" x14ac:dyDescent="0.25">
      <c r="A689" t="s">
        <v>756</v>
      </c>
      <c r="B689" t="s">
        <v>731</v>
      </c>
      <c r="C689" t="s">
        <v>548</v>
      </c>
      <c r="D689" s="2" t="s">
        <v>404</v>
      </c>
      <c r="E689" t="s">
        <v>545</v>
      </c>
      <c r="K689">
        <v>1</v>
      </c>
      <c r="O689" t="s">
        <v>517</v>
      </c>
      <c r="P689" t="s">
        <v>458</v>
      </c>
      <c r="Q689">
        <v>1</v>
      </c>
      <c r="R689" t="s">
        <v>393</v>
      </c>
      <c r="S689">
        <v>1</v>
      </c>
    </row>
    <row r="690" spans="1:19" x14ac:dyDescent="0.25">
      <c r="A690" t="s">
        <v>756</v>
      </c>
      <c r="B690" t="s">
        <v>732</v>
      </c>
      <c r="C690" t="s">
        <v>407</v>
      </c>
      <c r="D690" s="2" t="s">
        <v>408</v>
      </c>
      <c r="E690" t="s">
        <v>545</v>
      </c>
      <c r="K690">
        <v>1</v>
      </c>
      <c r="O690" t="s">
        <v>517</v>
      </c>
      <c r="P690" t="s">
        <v>459</v>
      </c>
      <c r="Q690">
        <v>1</v>
      </c>
      <c r="R690" t="s">
        <v>393</v>
      </c>
      <c r="S690">
        <v>1</v>
      </c>
    </row>
    <row r="691" spans="1:19" x14ac:dyDescent="0.25">
      <c r="A691" t="s">
        <v>756</v>
      </c>
      <c r="B691" t="s">
        <v>733</v>
      </c>
      <c r="C691" t="s">
        <v>549</v>
      </c>
      <c r="D691" s="2" t="s">
        <v>412</v>
      </c>
      <c r="E691" t="s">
        <v>545</v>
      </c>
      <c r="K691">
        <v>1</v>
      </c>
      <c r="O691" t="s">
        <v>517</v>
      </c>
      <c r="P691" t="s">
        <v>460</v>
      </c>
      <c r="Q691">
        <v>1</v>
      </c>
      <c r="R691" t="s">
        <v>393</v>
      </c>
      <c r="S691">
        <v>1</v>
      </c>
    </row>
    <row r="692" spans="1:19" x14ac:dyDescent="0.25">
      <c r="A692" t="s">
        <v>756</v>
      </c>
      <c r="B692" t="s">
        <v>734</v>
      </c>
      <c r="C692" t="s">
        <v>550</v>
      </c>
      <c r="D692" s="2" t="s">
        <v>412</v>
      </c>
      <c r="E692" t="s">
        <v>545</v>
      </c>
      <c r="K692">
        <v>1</v>
      </c>
      <c r="O692" t="s">
        <v>519</v>
      </c>
      <c r="P692" t="s">
        <v>460</v>
      </c>
      <c r="Q692">
        <v>1</v>
      </c>
      <c r="R692" t="s">
        <v>393</v>
      </c>
      <c r="S692">
        <v>1</v>
      </c>
    </row>
    <row r="693" spans="1:19" x14ac:dyDescent="0.25">
      <c r="A693" t="s">
        <v>756</v>
      </c>
      <c r="B693" t="s">
        <v>735</v>
      </c>
      <c r="C693" t="s">
        <v>551</v>
      </c>
      <c r="D693" s="2" t="s">
        <v>416</v>
      </c>
      <c r="E693" t="s">
        <v>545</v>
      </c>
      <c r="K693">
        <v>1</v>
      </c>
      <c r="O693" t="s">
        <v>519</v>
      </c>
      <c r="P693" t="s">
        <v>461</v>
      </c>
      <c r="Q693">
        <v>1</v>
      </c>
      <c r="R693" t="s">
        <v>393</v>
      </c>
      <c r="S693">
        <v>1</v>
      </c>
    </row>
    <row r="694" spans="1:19" x14ac:dyDescent="0.25">
      <c r="A694" t="s">
        <v>756</v>
      </c>
      <c r="B694" t="s">
        <v>736</v>
      </c>
      <c r="C694" t="s">
        <v>552</v>
      </c>
      <c r="D694" s="2" t="s">
        <v>416</v>
      </c>
      <c r="E694" t="s">
        <v>545</v>
      </c>
      <c r="K694">
        <v>1</v>
      </c>
      <c r="O694" t="s">
        <v>521</v>
      </c>
      <c r="P694" t="s">
        <v>461</v>
      </c>
      <c r="Q694">
        <v>1</v>
      </c>
      <c r="R694" t="s">
        <v>393</v>
      </c>
      <c r="S694">
        <v>1</v>
      </c>
    </row>
    <row r="695" spans="1:19" x14ac:dyDescent="0.25">
      <c r="A695" t="s">
        <v>756</v>
      </c>
      <c r="B695" t="s">
        <v>737</v>
      </c>
      <c r="C695" t="s">
        <v>553</v>
      </c>
      <c r="D695" s="2" t="s">
        <v>420</v>
      </c>
      <c r="E695" t="s">
        <v>545</v>
      </c>
      <c r="K695">
        <v>1</v>
      </c>
      <c r="O695" t="s">
        <v>521</v>
      </c>
      <c r="P695" t="s">
        <v>462</v>
      </c>
      <c r="Q695">
        <v>1</v>
      </c>
      <c r="R695" t="s">
        <v>393</v>
      </c>
      <c r="S695">
        <v>1</v>
      </c>
    </row>
    <row r="696" spans="1:19" x14ac:dyDescent="0.25">
      <c r="A696" t="s">
        <v>756</v>
      </c>
      <c r="B696" t="s">
        <v>738</v>
      </c>
      <c r="C696" t="s">
        <v>554</v>
      </c>
      <c r="D696" s="2" t="s">
        <v>420</v>
      </c>
      <c r="E696" t="s">
        <v>545</v>
      </c>
      <c r="K696">
        <v>1</v>
      </c>
      <c r="O696" t="s">
        <v>524</v>
      </c>
      <c r="P696" t="s">
        <v>462</v>
      </c>
      <c r="Q696">
        <v>1</v>
      </c>
      <c r="R696" t="s">
        <v>393</v>
      </c>
      <c r="S696">
        <v>1</v>
      </c>
    </row>
    <row r="697" spans="1:19" x14ac:dyDescent="0.25">
      <c r="A697" t="s">
        <v>756</v>
      </c>
      <c r="B697" t="s">
        <v>730</v>
      </c>
      <c r="C697" t="s">
        <v>513</v>
      </c>
      <c r="D697" s="2" t="s">
        <v>404</v>
      </c>
      <c r="E697" s="2" t="s">
        <v>533</v>
      </c>
      <c r="K697">
        <v>1</v>
      </c>
      <c r="O697" t="s">
        <v>514</v>
      </c>
      <c r="P697" t="s">
        <v>470</v>
      </c>
      <c r="Q697">
        <v>1</v>
      </c>
      <c r="R697" t="s">
        <v>393</v>
      </c>
      <c r="S697">
        <v>1</v>
      </c>
    </row>
    <row r="698" spans="1:19" x14ac:dyDescent="0.25">
      <c r="A698" t="s">
        <v>756</v>
      </c>
      <c r="B698" t="s">
        <v>731</v>
      </c>
      <c r="C698" t="s">
        <v>548</v>
      </c>
      <c r="D698" s="2" t="s">
        <v>404</v>
      </c>
      <c r="E698" s="2" t="s">
        <v>533</v>
      </c>
      <c r="K698">
        <v>1</v>
      </c>
      <c r="O698" t="s">
        <v>517</v>
      </c>
      <c r="P698" t="s">
        <v>470</v>
      </c>
      <c r="Q698">
        <v>1</v>
      </c>
      <c r="R698" t="s">
        <v>393</v>
      </c>
      <c r="S698">
        <v>1</v>
      </c>
    </row>
    <row r="699" spans="1:19" x14ac:dyDescent="0.25">
      <c r="A699" t="s">
        <v>756</v>
      </c>
      <c r="B699" t="s">
        <v>732</v>
      </c>
      <c r="C699" t="s">
        <v>407</v>
      </c>
      <c r="D699" s="2" t="s">
        <v>408</v>
      </c>
      <c r="E699" s="2" t="s">
        <v>533</v>
      </c>
      <c r="K699">
        <v>1</v>
      </c>
      <c r="O699" t="s">
        <v>517</v>
      </c>
      <c r="P699" t="s">
        <v>471</v>
      </c>
      <c r="Q699">
        <v>1</v>
      </c>
      <c r="R699" t="s">
        <v>393</v>
      </c>
      <c r="S699">
        <v>1</v>
      </c>
    </row>
    <row r="700" spans="1:19" x14ac:dyDescent="0.25">
      <c r="A700" t="s">
        <v>756</v>
      </c>
      <c r="B700" t="s">
        <v>733</v>
      </c>
      <c r="C700" t="s">
        <v>549</v>
      </c>
      <c r="D700" s="2" t="s">
        <v>412</v>
      </c>
      <c r="E700" s="2" t="s">
        <v>533</v>
      </c>
      <c r="K700">
        <v>1</v>
      </c>
      <c r="O700" t="s">
        <v>517</v>
      </c>
      <c r="P700" t="s">
        <v>472</v>
      </c>
      <c r="Q700">
        <v>1</v>
      </c>
      <c r="R700" t="s">
        <v>393</v>
      </c>
      <c r="S700">
        <v>1</v>
      </c>
    </row>
    <row r="701" spans="1:19" x14ac:dyDescent="0.25">
      <c r="A701" t="s">
        <v>756</v>
      </c>
      <c r="B701" t="s">
        <v>734</v>
      </c>
      <c r="C701" t="s">
        <v>550</v>
      </c>
      <c r="D701" s="2" t="s">
        <v>412</v>
      </c>
      <c r="E701" s="2" t="s">
        <v>533</v>
      </c>
      <c r="K701">
        <v>1</v>
      </c>
      <c r="O701" t="s">
        <v>519</v>
      </c>
      <c r="P701" t="s">
        <v>472</v>
      </c>
      <c r="Q701">
        <v>1</v>
      </c>
      <c r="R701" t="s">
        <v>393</v>
      </c>
      <c r="S701">
        <v>1</v>
      </c>
    </row>
    <row r="702" spans="1:19" x14ac:dyDescent="0.25">
      <c r="A702" t="s">
        <v>756</v>
      </c>
      <c r="B702" t="s">
        <v>735</v>
      </c>
      <c r="C702" t="s">
        <v>551</v>
      </c>
      <c r="D702" s="2" t="s">
        <v>416</v>
      </c>
      <c r="E702" s="2" t="s">
        <v>533</v>
      </c>
      <c r="K702">
        <v>1</v>
      </c>
      <c r="O702" t="s">
        <v>519</v>
      </c>
      <c r="P702" t="s">
        <v>473</v>
      </c>
      <c r="Q702">
        <v>1</v>
      </c>
      <c r="R702" t="s">
        <v>393</v>
      </c>
      <c r="S702">
        <v>1</v>
      </c>
    </row>
    <row r="703" spans="1:19" x14ac:dyDescent="0.25">
      <c r="A703" t="s">
        <v>756</v>
      </c>
      <c r="B703" t="s">
        <v>736</v>
      </c>
      <c r="C703" t="s">
        <v>552</v>
      </c>
      <c r="D703" s="2" t="s">
        <v>416</v>
      </c>
      <c r="E703" s="2" t="s">
        <v>533</v>
      </c>
      <c r="K703">
        <v>1</v>
      </c>
      <c r="O703" t="s">
        <v>521</v>
      </c>
      <c r="P703" t="s">
        <v>473</v>
      </c>
      <c r="Q703">
        <v>1</v>
      </c>
      <c r="R703" t="s">
        <v>393</v>
      </c>
      <c r="S703">
        <v>1</v>
      </c>
    </row>
    <row r="704" spans="1:19" x14ac:dyDescent="0.25">
      <c r="A704" t="s">
        <v>756</v>
      </c>
      <c r="B704" t="s">
        <v>737</v>
      </c>
      <c r="C704" t="s">
        <v>553</v>
      </c>
      <c r="D704" s="2" t="s">
        <v>420</v>
      </c>
      <c r="E704" s="2" t="s">
        <v>533</v>
      </c>
      <c r="K704">
        <v>1</v>
      </c>
      <c r="O704" t="s">
        <v>521</v>
      </c>
      <c r="P704" t="s">
        <v>474</v>
      </c>
      <c r="Q704">
        <v>1</v>
      </c>
      <c r="R704" t="s">
        <v>393</v>
      </c>
      <c r="S704">
        <v>1</v>
      </c>
    </row>
    <row r="705" spans="1:19" x14ac:dyDescent="0.25">
      <c r="A705" t="s">
        <v>756</v>
      </c>
      <c r="B705" t="s">
        <v>738</v>
      </c>
      <c r="C705" t="s">
        <v>554</v>
      </c>
      <c r="D705" s="2" t="s">
        <v>420</v>
      </c>
      <c r="E705" s="2" t="s">
        <v>533</v>
      </c>
      <c r="K705">
        <v>1</v>
      </c>
      <c r="O705" t="s">
        <v>524</v>
      </c>
      <c r="P705" t="s">
        <v>474</v>
      </c>
      <c r="Q705">
        <v>1</v>
      </c>
      <c r="R705" t="s">
        <v>393</v>
      </c>
      <c r="S705">
        <v>1</v>
      </c>
    </row>
    <row r="706" spans="1:19" x14ac:dyDescent="0.25">
      <c r="A706" t="s">
        <v>756</v>
      </c>
      <c r="B706" t="s">
        <v>718</v>
      </c>
      <c r="C706" t="s">
        <v>350</v>
      </c>
      <c r="D706" s="2" t="s">
        <v>351</v>
      </c>
      <c r="E706" s="2" t="s">
        <v>533</v>
      </c>
      <c r="F706" t="s">
        <v>388</v>
      </c>
      <c r="K706">
        <v>1</v>
      </c>
      <c r="O706" t="s">
        <v>482</v>
      </c>
      <c r="P706" t="s">
        <v>463</v>
      </c>
      <c r="Q706">
        <v>1</v>
      </c>
      <c r="R706" t="s">
        <v>393</v>
      </c>
      <c r="S706">
        <v>1</v>
      </c>
    </row>
    <row r="707" spans="1:19" x14ac:dyDescent="0.25">
      <c r="A707" t="s">
        <v>756</v>
      </c>
      <c r="B707" t="s">
        <v>718</v>
      </c>
      <c r="C707" t="s">
        <v>534</v>
      </c>
      <c r="D707" s="2" t="s">
        <v>354</v>
      </c>
      <c r="E707" s="2" t="s">
        <v>533</v>
      </c>
      <c r="F707" t="s">
        <v>388</v>
      </c>
      <c r="K707">
        <v>1</v>
      </c>
      <c r="O707" t="s">
        <v>482</v>
      </c>
      <c r="P707" t="s">
        <v>464</v>
      </c>
      <c r="Q707">
        <v>1</v>
      </c>
      <c r="R707" t="s">
        <v>393</v>
      </c>
      <c r="S707">
        <v>1</v>
      </c>
    </row>
    <row r="708" spans="1:19" x14ac:dyDescent="0.25">
      <c r="A708" t="s">
        <v>756</v>
      </c>
      <c r="B708" t="s">
        <v>719</v>
      </c>
      <c r="C708" t="s">
        <v>483</v>
      </c>
      <c r="D708" s="2" t="s">
        <v>354</v>
      </c>
      <c r="E708" s="2" t="s">
        <v>533</v>
      </c>
      <c r="F708" t="s">
        <v>388</v>
      </c>
      <c r="K708">
        <v>1</v>
      </c>
      <c r="O708" t="s">
        <v>484</v>
      </c>
      <c r="P708" t="s">
        <v>464</v>
      </c>
      <c r="Q708">
        <v>1</v>
      </c>
      <c r="R708" t="s">
        <v>393</v>
      </c>
      <c r="S708">
        <v>1</v>
      </c>
    </row>
    <row r="709" spans="1:19" x14ac:dyDescent="0.25">
      <c r="A709" t="s">
        <v>756</v>
      </c>
      <c r="B709" t="s">
        <v>719</v>
      </c>
      <c r="C709" t="s">
        <v>535</v>
      </c>
      <c r="D709" s="2" t="s">
        <v>354</v>
      </c>
      <c r="E709" s="2" t="s">
        <v>533</v>
      </c>
      <c r="F709" t="s">
        <v>388</v>
      </c>
      <c r="K709">
        <v>1</v>
      </c>
      <c r="O709" t="s">
        <v>486</v>
      </c>
      <c r="P709" t="s">
        <v>464</v>
      </c>
      <c r="Q709">
        <v>1</v>
      </c>
      <c r="R709" t="s">
        <v>393</v>
      </c>
      <c r="S709">
        <v>1</v>
      </c>
    </row>
    <row r="710" spans="1:19" x14ac:dyDescent="0.25">
      <c r="A710" t="s">
        <v>756</v>
      </c>
      <c r="B710" t="s">
        <v>719</v>
      </c>
      <c r="C710" t="s">
        <v>536</v>
      </c>
      <c r="D710" s="2" t="s">
        <v>357</v>
      </c>
      <c r="E710" s="2" t="s">
        <v>533</v>
      </c>
      <c r="F710" t="s">
        <v>388</v>
      </c>
      <c r="K710">
        <v>1</v>
      </c>
      <c r="O710" t="s">
        <v>486</v>
      </c>
      <c r="P710" t="s">
        <v>465</v>
      </c>
      <c r="Q710">
        <v>1</v>
      </c>
      <c r="R710" t="s">
        <v>393</v>
      </c>
      <c r="S710">
        <v>1</v>
      </c>
    </row>
    <row r="711" spans="1:19" x14ac:dyDescent="0.25">
      <c r="A711" t="s">
        <v>756</v>
      </c>
      <c r="B711" t="s">
        <v>720</v>
      </c>
      <c r="C711" t="s">
        <v>537</v>
      </c>
      <c r="D711" s="2" t="s">
        <v>357</v>
      </c>
      <c r="E711" s="2" t="s">
        <v>533</v>
      </c>
      <c r="F711" t="s">
        <v>388</v>
      </c>
      <c r="K711">
        <v>1</v>
      </c>
      <c r="O711" t="s">
        <v>488</v>
      </c>
      <c r="P711" t="s">
        <v>465</v>
      </c>
      <c r="Q711">
        <v>1</v>
      </c>
      <c r="R711" t="s">
        <v>393</v>
      </c>
      <c r="S711">
        <v>1</v>
      </c>
    </row>
    <row r="712" spans="1:19" x14ac:dyDescent="0.25">
      <c r="A712" t="s">
        <v>756</v>
      </c>
      <c r="B712" t="s">
        <v>721</v>
      </c>
      <c r="C712" t="s">
        <v>538</v>
      </c>
      <c r="D712" s="2" t="s">
        <v>361</v>
      </c>
      <c r="E712" s="2" t="s">
        <v>533</v>
      </c>
      <c r="F712" t="s">
        <v>388</v>
      </c>
      <c r="K712">
        <v>1</v>
      </c>
      <c r="O712" t="s">
        <v>488</v>
      </c>
      <c r="P712" t="s">
        <v>397</v>
      </c>
      <c r="Q712">
        <v>1</v>
      </c>
      <c r="R712" t="s">
        <v>393</v>
      </c>
      <c r="S712">
        <v>1</v>
      </c>
    </row>
    <row r="713" spans="1:19" x14ac:dyDescent="0.25">
      <c r="A713" t="s">
        <v>756</v>
      </c>
      <c r="B713" t="s">
        <v>721</v>
      </c>
      <c r="C713" t="s">
        <v>491</v>
      </c>
      <c r="D713" s="2" t="s">
        <v>361</v>
      </c>
      <c r="E713" s="2" t="s">
        <v>533</v>
      </c>
      <c r="F713" t="s">
        <v>388</v>
      </c>
      <c r="K713">
        <v>1</v>
      </c>
      <c r="O713" t="s">
        <v>492</v>
      </c>
      <c r="P713" t="s">
        <v>397</v>
      </c>
      <c r="Q713">
        <v>1</v>
      </c>
      <c r="R713" t="s">
        <v>393</v>
      </c>
      <c r="S713">
        <v>1</v>
      </c>
    </row>
    <row r="714" spans="1:19" x14ac:dyDescent="0.25">
      <c r="A714" t="s">
        <v>756</v>
      </c>
      <c r="B714" t="s">
        <v>722</v>
      </c>
      <c r="C714" t="s">
        <v>491</v>
      </c>
      <c r="D714" s="2" t="s">
        <v>361</v>
      </c>
      <c r="E714" s="2" t="s">
        <v>533</v>
      </c>
      <c r="F714" t="s">
        <v>388</v>
      </c>
      <c r="K714">
        <v>1</v>
      </c>
      <c r="O714" t="s">
        <v>493</v>
      </c>
      <c r="P714" t="s">
        <v>397</v>
      </c>
      <c r="Q714">
        <v>1</v>
      </c>
      <c r="R714" t="s">
        <v>393</v>
      </c>
      <c r="S714">
        <v>1</v>
      </c>
    </row>
    <row r="715" spans="1:19" x14ac:dyDescent="0.25">
      <c r="A715" t="s">
        <v>756</v>
      </c>
      <c r="B715" t="s">
        <v>722</v>
      </c>
      <c r="C715" t="s">
        <v>539</v>
      </c>
      <c r="D715" s="2" t="s">
        <v>361</v>
      </c>
      <c r="E715" s="2" t="s">
        <v>533</v>
      </c>
      <c r="F715" t="s">
        <v>388</v>
      </c>
      <c r="K715">
        <v>1</v>
      </c>
      <c r="O715" t="s">
        <v>495</v>
      </c>
      <c r="P715" t="s">
        <v>397</v>
      </c>
      <c r="Q715">
        <v>1</v>
      </c>
      <c r="R715" t="s">
        <v>393</v>
      </c>
      <c r="S715">
        <v>1</v>
      </c>
    </row>
    <row r="716" spans="1:19" x14ac:dyDescent="0.25">
      <c r="A716" t="s">
        <v>756</v>
      </c>
      <c r="B716" t="s">
        <v>723</v>
      </c>
      <c r="C716" t="s">
        <v>373</v>
      </c>
      <c r="D716" s="2" t="s">
        <v>374</v>
      </c>
      <c r="E716" s="2" t="s">
        <v>533</v>
      </c>
      <c r="F716" t="s">
        <v>388</v>
      </c>
      <c r="K716">
        <v>1</v>
      </c>
      <c r="O716" t="s">
        <v>497</v>
      </c>
      <c r="P716" t="s">
        <v>467</v>
      </c>
      <c r="Q716">
        <v>1</v>
      </c>
      <c r="R716" t="s">
        <v>393</v>
      </c>
      <c r="S716">
        <v>1</v>
      </c>
    </row>
    <row r="717" spans="1:19" x14ac:dyDescent="0.25">
      <c r="A717" t="s">
        <v>756</v>
      </c>
      <c r="B717" t="s">
        <v>724</v>
      </c>
      <c r="C717" t="s">
        <v>540</v>
      </c>
      <c r="D717" s="2" t="s">
        <v>378</v>
      </c>
      <c r="E717" s="2" t="s">
        <v>533</v>
      </c>
      <c r="F717" t="s">
        <v>388</v>
      </c>
      <c r="K717">
        <v>1</v>
      </c>
      <c r="O717" t="s">
        <v>497</v>
      </c>
      <c r="P717" t="s">
        <v>468</v>
      </c>
      <c r="Q717">
        <v>1</v>
      </c>
      <c r="R717" t="s">
        <v>393</v>
      </c>
      <c r="S717">
        <v>1</v>
      </c>
    </row>
    <row r="718" spans="1:19" x14ac:dyDescent="0.25">
      <c r="A718" t="s">
        <v>756</v>
      </c>
      <c r="B718" t="s">
        <v>724</v>
      </c>
      <c r="C718" t="s">
        <v>540</v>
      </c>
      <c r="D718" s="2" t="s">
        <v>378</v>
      </c>
      <c r="E718" s="2" t="s">
        <v>533</v>
      </c>
      <c r="F718" t="s">
        <v>388</v>
      </c>
      <c r="K718">
        <v>1</v>
      </c>
      <c r="O718" t="s">
        <v>500</v>
      </c>
      <c r="P718" t="s">
        <v>468</v>
      </c>
      <c r="Q718">
        <v>1</v>
      </c>
      <c r="R718" t="s">
        <v>393</v>
      </c>
      <c r="S718">
        <v>1</v>
      </c>
    </row>
    <row r="719" spans="1:19" x14ac:dyDescent="0.25">
      <c r="A719" t="s">
        <v>756</v>
      </c>
      <c r="B719" t="s">
        <v>724</v>
      </c>
      <c r="C719" t="s">
        <v>541</v>
      </c>
      <c r="D719" s="2" t="s">
        <v>378</v>
      </c>
      <c r="E719" s="2" t="s">
        <v>533</v>
      </c>
      <c r="F719" t="s">
        <v>388</v>
      </c>
      <c r="K719">
        <v>1</v>
      </c>
      <c r="O719" t="s">
        <v>502</v>
      </c>
      <c r="P719" t="s">
        <v>468</v>
      </c>
      <c r="Q719">
        <v>1</v>
      </c>
      <c r="R719" t="s">
        <v>393</v>
      </c>
      <c r="S719">
        <v>1</v>
      </c>
    </row>
    <row r="720" spans="1:19" x14ac:dyDescent="0.25">
      <c r="A720" t="s">
        <v>756</v>
      </c>
      <c r="B720" t="s">
        <v>725</v>
      </c>
      <c r="C720" t="s">
        <v>542</v>
      </c>
      <c r="D720" s="2" t="s">
        <v>382</v>
      </c>
      <c r="E720" s="2" t="s">
        <v>533</v>
      </c>
      <c r="F720" t="s">
        <v>388</v>
      </c>
      <c r="K720">
        <v>1</v>
      </c>
      <c r="O720" t="s">
        <v>502</v>
      </c>
      <c r="P720" t="s">
        <v>429</v>
      </c>
      <c r="Q720">
        <v>1</v>
      </c>
      <c r="R720" t="s">
        <v>393</v>
      </c>
      <c r="S720">
        <v>1</v>
      </c>
    </row>
    <row r="721" spans="1:19" x14ac:dyDescent="0.25">
      <c r="A721" t="s">
        <v>756</v>
      </c>
      <c r="B721" t="s">
        <v>725</v>
      </c>
      <c r="C721" t="s">
        <v>503</v>
      </c>
      <c r="D721" s="2" t="s">
        <v>382</v>
      </c>
      <c r="E721" s="2" t="s">
        <v>533</v>
      </c>
      <c r="F721" t="s">
        <v>388</v>
      </c>
      <c r="K721">
        <v>1</v>
      </c>
      <c r="O721" t="s">
        <v>504</v>
      </c>
      <c r="P721" t="s">
        <v>429</v>
      </c>
      <c r="Q721">
        <v>1</v>
      </c>
      <c r="R721" t="s">
        <v>393</v>
      </c>
      <c r="S721">
        <v>1</v>
      </c>
    </row>
    <row r="722" spans="1:19" x14ac:dyDescent="0.25">
      <c r="A722" t="s">
        <v>756</v>
      </c>
      <c r="B722" t="s">
        <v>726</v>
      </c>
      <c r="C722" t="s">
        <v>543</v>
      </c>
      <c r="D722" s="2" t="s">
        <v>382</v>
      </c>
      <c r="E722" s="2" t="s">
        <v>533</v>
      </c>
      <c r="F722" t="s">
        <v>388</v>
      </c>
      <c r="K722">
        <v>1</v>
      </c>
      <c r="O722" t="s">
        <v>506</v>
      </c>
      <c r="P722" t="s">
        <v>429</v>
      </c>
      <c r="Q722">
        <v>1</v>
      </c>
      <c r="R722" t="s">
        <v>393</v>
      </c>
      <c r="S722">
        <v>1</v>
      </c>
    </row>
    <row r="723" spans="1:19" x14ac:dyDescent="0.25">
      <c r="A723" t="s">
        <v>756</v>
      </c>
      <c r="B723" t="s">
        <v>727</v>
      </c>
      <c r="C723" t="s">
        <v>544</v>
      </c>
      <c r="D723" s="2" t="s">
        <v>386</v>
      </c>
      <c r="E723" t="s">
        <v>545</v>
      </c>
      <c r="F723" t="s">
        <v>388</v>
      </c>
      <c r="K723">
        <v>1</v>
      </c>
      <c r="O723" t="s">
        <v>506</v>
      </c>
      <c r="P723" t="s">
        <v>457</v>
      </c>
      <c r="Q723">
        <v>1</v>
      </c>
      <c r="R723" t="s">
        <v>393</v>
      </c>
      <c r="S723">
        <v>1</v>
      </c>
    </row>
    <row r="724" spans="1:19" x14ac:dyDescent="0.25">
      <c r="A724" t="s">
        <v>756</v>
      </c>
      <c r="B724" t="s">
        <v>727</v>
      </c>
      <c r="C724" t="s">
        <v>544</v>
      </c>
      <c r="D724" s="2" t="s">
        <v>386</v>
      </c>
      <c r="E724" s="2" t="s">
        <v>533</v>
      </c>
      <c r="F724" t="s">
        <v>388</v>
      </c>
      <c r="K724">
        <v>1</v>
      </c>
      <c r="O724" t="s">
        <v>506</v>
      </c>
      <c r="P724" t="s">
        <v>469</v>
      </c>
      <c r="Q724">
        <v>1</v>
      </c>
      <c r="R724" t="s">
        <v>393</v>
      </c>
      <c r="S724">
        <v>1</v>
      </c>
    </row>
    <row r="725" spans="1:19" x14ac:dyDescent="0.25">
      <c r="A725" t="s">
        <v>756</v>
      </c>
      <c r="B725" t="s">
        <v>727</v>
      </c>
      <c r="C725" t="s">
        <v>507</v>
      </c>
      <c r="D725" s="2" t="s">
        <v>386</v>
      </c>
      <c r="E725" t="s">
        <v>545</v>
      </c>
      <c r="F725" t="s">
        <v>388</v>
      </c>
      <c r="K725">
        <v>1</v>
      </c>
      <c r="O725" t="s">
        <v>508</v>
      </c>
      <c r="P725" t="s">
        <v>457</v>
      </c>
      <c r="Q725">
        <v>1</v>
      </c>
      <c r="R725" t="s">
        <v>393</v>
      </c>
      <c r="S725">
        <v>1</v>
      </c>
    </row>
    <row r="726" spans="1:19" x14ac:dyDescent="0.25">
      <c r="A726" t="s">
        <v>756</v>
      </c>
      <c r="B726" t="s">
        <v>727</v>
      </c>
      <c r="C726" t="s">
        <v>507</v>
      </c>
      <c r="D726" s="2" t="s">
        <v>386</v>
      </c>
      <c r="E726" s="2" t="s">
        <v>533</v>
      </c>
      <c r="F726" t="s">
        <v>388</v>
      </c>
      <c r="K726">
        <v>1</v>
      </c>
      <c r="O726" t="s">
        <v>508</v>
      </c>
      <c r="P726" t="s">
        <v>469</v>
      </c>
      <c r="Q726">
        <v>1</v>
      </c>
      <c r="R726" t="s">
        <v>393</v>
      </c>
      <c r="S726">
        <v>1</v>
      </c>
    </row>
    <row r="727" spans="1:19" x14ac:dyDescent="0.25">
      <c r="A727" t="s">
        <v>756</v>
      </c>
      <c r="B727" t="s">
        <v>727</v>
      </c>
      <c r="C727" t="s">
        <v>507</v>
      </c>
      <c r="D727" s="2" t="s">
        <v>386</v>
      </c>
      <c r="E727" t="s">
        <v>545</v>
      </c>
      <c r="F727" t="s">
        <v>388</v>
      </c>
      <c r="K727">
        <v>1</v>
      </c>
      <c r="O727" t="s">
        <v>509</v>
      </c>
      <c r="P727" t="s">
        <v>457</v>
      </c>
      <c r="Q727">
        <v>1</v>
      </c>
      <c r="R727" t="s">
        <v>393</v>
      </c>
      <c r="S727">
        <v>1</v>
      </c>
    </row>
    <row r="728" spans="1:19" x14ac:dyDescent="0.25">
      <c r="A728" t="s">
        <v>756</v>
      </c>
      <c r="B728" t="s">
        <v>727</v>
      </c>
      <c r="C728" t="s">
        <v>507</v>
      </c>
      <c r="D728" s="2" t="s">
        <v>386</v>
      </c>
      <c r="E728" s="2" t="s">
        <v>533</v>
      </c>
      <c r="F728" t="s">
        <v>388</v>
      </c>
      <c r="K728">
        <v>1</v>
      </c>
      <c r="O728" t="s">
        <v>509</v>
      </c>
      <c r="P728" t="s">
        <v>469</v>
      </c>
      <c r="Q728">
        <v>1</v>
      </c>
      <c r="R728" t="s">
        <v>393</v>
      </c>
      <c r="S728">
        <v>1</v>
      </c>
    </row>
    <row r="729" spans="1:19" x14ac:dyDescent="0.25">
      <c r="A729" t="s">
        <v>756</v>
      </c>
      <c r="B729" t="s">
        <v>729</v>
      </c>
      <c r="C729" t="s">
        <v>547</v>
      </c>
      <c r="D729" s="2" t="s">
        <v>404</v>
      </c>
      <c r="E729" t="s">
        <v>545</v>
      </c>
      <c r="F729" t="s">
        <v>388</v>
      </c>
      <c r="K729">
        <v>1</v>
      </c>
      <c r="O729" t="s">
        <v>511</v>
      </c>
      <c r="P729" t="s">
        <v>458</v>
      </c>
      <c r="Q729">
        <v>1</v>
      </c>
      <c r="R729" t="s">
        <v>393</v>
      </c>
      <c r="S729">
        <v>1</v>
      </c>
    </row>
    <row r="730" spans="1:19" x14ac:dyDescent="0.25">
      <c r="A730" t="s">
        <v>756</v>
      </c>
      <c r="B730" t="s">
        <v>729</v>
      </c>
      <c r="C730" t="s">
        <v>547</v>
      </c>
      <c r="D730" s="2" t="s">
        <v>404</v>
      </c>
      <c r="E730" s="2" t="s">
        <v>533</v>
      </c>
      <c r="F730" t="s">
        <v>388</v>
      </c>
      <c r="K730">
        <v>1</v>
      </c>
      <c r="O730" t="s">
        <v>511</v>
      </c>
      <c r="P730" t="s">
        <v>470</v>
      </c>
      <c r="Q730">
        <v>1</v>
      </c>
      <c r="R730" t="s">
        <v>393</v>
      </c>
      <c r="S730">
        <v>1</v>
      </c>
    </row>
    <row r="731" spans="1:19" x14ac:dyDescent="0.25">
      <c r="A731" t="s">
        <v>756</v>
      </c>
      <c r="B731" t="s">
        <v>730</v>
      </c>
      <c r="C731" t="s">
        <v>513</v>
      </c>
      <c r="D731" s="2" t="s">
        <v>404</v>
      </c>
      <c r="E731" t="s">
        <v>545</v>
      </c>
      <c r="F731" t="s">
        <v>388</v>
      </c>
      <c r="K731">
        <v>1</v>
      </c>
      <c r="O731" t="s">
        <v>514</v>
      </c>
      <c r="P731" t="s">
        <v>458</v>
      </c>
      <c r="Q731">
        <v>1</v>
      </c>
      <c r="R731" t="s">
        <v>393</v>
      </c>
      <c r="S731">
        <v>1</v>
      </c>
    </row>
    <row r="732" spans="1:19" x14ac:dyDescent="0.25">
      <c r="A732" t="s">
        <v>756</v>
      </c>
      <c r="B732" t="s">
        <v>731</v>
      </c>
      <c r="C732" t="s">
        <v>548</v>
      </c>
      <c r="D732" s="2" t="s">
        <v>404</v>
      </c>
      <c r="E732" t="s">
        <v>545</v>
      </c>
      <c r="F732" t="s">
        <v>388</v>
      </c>
      <c r="K732">
        <v>1</v>
      </c>
      <c r="O732" t="s">
        <v>517</v>
      </c>
      <c r="P732" t="s">
        <v>458</v>
      </c>
      <c r="Q732">
        <v>1</v>
      </c>
      <c r="R732" t="s">
        <v>393</v>
      </c>
      <c r="S732">
        <v>1</v>
      </c>
    </row>
    <row r="733" spans="1:19" x14ac:dyDescent="0.25">
      <c r="A733" t="s">
        <v>756</v>
      </c>
      <c r="B733" t="s">
        <v>732</v>
      </c>
      <c r="C733" t="s">
        <v>407</v>
      </c>
      <c r="D733" s="2" t="s">
        <v>408</v>
      </c>
      <c r="E733" t="s">
        <v>545</v>
      </c>
      <c r="F733" t="s">
        <v>388</v>
      </c>
      <c r="K733">
        <v>1</v>
      </c>
      <c r="O733" t="s">
        <v>517</v>
      </c>
      <c r="P733" t="s">
        <v>459</v>
      </c>
      <c r="Q733">
        <v>1</v>
      </c>
      <c r="R733" t="s">
        <v>393</v>
      </c>
      <c r="S733">
        <v>1</v>
      </c>
    </row>
    <row r="734" spans="1:19" x14ac:dyDescent="0.25">
      <c r="A734" t="s">
        <v>756</v>
      </c>
      <c r="B734" t="s">
        <v>733</v>
      </c>
      <c r="C734" t="s">
        <v>549</v>
      </c>
      <c r="D734" s="2" t="s">
        <v>412</v>
      </c>
      <c r="E734" t="s">
        <v>545</v>
      </c>
      <c r="F734" t="s">
        <v>388</v>
      </c>
      <c r="K734">
        <v>1</v>
      </c>
      <c r="O734" t="s">
        <v>517</v>
      </c>
      <c r="P734" t="s">
        <v>460</v>
      </c>
      <c r="Q734">
        <v>1</v>
      </c>
      <c r="R734" t="s">
        <v>393</v>
      </c>
      <c r="S734">
        <v>1</v>
      </c>
    </row>
    <row r="735" spans="1:19" x14ac:dyDescent="0.25">
      <c r="A735" t="s">
        <v>756</v>
      </c>
      <c r="B735" t="s">
        <v>734</v>
      </c>
      <c r="C735" t="s">
        <v>550</v>
      </c>
      <c r="D735" s="2" t="s">
        <v>412</v>
      </c>
      <c r="E735" t="s">
        <v>545</v>
      </c>
      <c r="F735" t="s">
        <v>388</v>
      </c>
      <c r="K735">
        <v>1</v>
      </c>
      <c r="O735" t="s">
        <v>519</v>
      </c>
      <c r="P735" t="s">
        <v>460</v>
      </c>
      <c r="Q735">
        <v>1</v>
      </c>
      <c r="R735" t="s">
        <v>393</v>
      </c>
      <c r="S735">
        <v>1</v>
      </c>
    </row>
    <row r="736" spans="1:19" x14ac:dyDescent="0.25">
      <c r="A736" t="s">
        <v>756</v>
      </c>
      <c r="B736" t="s">
        <v>735</v>
      </c>
      <c r="C736" t="s">
        <v>551</v>
      </c>
      <c r="D736" s="2" t="s">
        <v>416</v>
      </c>
      <c r="E736" t="s">
        <v>545</v>
      </c>
      <c r="F736" t="s">
        <v>388</v>
      </c>
      <c r="K736">
        <v>1</v>
      </c>
      <c r="O736" t="s">
        <v>519</v>
      </c>
      <c r="P736" t="s">
        <v>461</v>
      </c>
      <c r="Q736">
        <v>1</v>
      </c>
      <c r="R736" t="s">
        <v>393</v>
      </c>
      <c r="S736">
        <v>1</v>
      </c>
    </row>
    <row r="737" spans="1:19" x14ac:dyDescent="0.25">
      <c r="A737" t="s">
        <v>756</v>
      </c>
      <c r="B737" t="s">
        <v>736</v>
      </c>
      <c r="C737" t="s">
        <v>552</v>
      </c>
      <c r="D737" s="2" t="s">
        <v>416</v>
      </c>
      <c r="E737" t="s">
        <v>545</v>
      </c>
      <c r="F737" t="s">
        <v>388</v>
      </c>
      <c r="K737">
        <v>1</v>
      </c>
      <c r="O737" t="s">
        <v>521</v>
      </c>
      <c r="P737" t="s">
        <v>461</v>
      </c>
      <c r="Q737">
        <v>1</v>
      </c>
      <c r="R737" t="s">
        <v>393</v>
      </c>
      <c r="S737">
        <v>1</v>
      </c>
    </row>
    <row r="738" spans="1:19" x14ac:dyDescent="0.25">
      <c r="A738" t="s">
        <v>756</v>
      </c>
      <c r="B738" t="s">
        <v>737</v>
      </c>
      <c r="C738" t="s">
        <v>553</v>
      </c>
      <c r="D738" s="2" t="s">
        <v>420</v>
      </c>
      <c r="E738" t="s">
        <v>545</v>
      </c>
      <c r="F738" t="s">
        <v>388</v>
      </c>
      <c r="K738">
        <v>1</v>
      </c>
      <c r="O738" t="s">
        <v>521</v>
      </c>
      <c r="P738" t="s">
        <v>462</v>
      </c>
      <c r="Q738">
        <v>1</v>
      </c>
      <c r="R738" t="s">
        <v>393</v>
      </c>
      <c r="S738">
        <v>1</v>
      </c>
    </row>
    <row r="739" spans="1:19" x14ac:dyDescent="0.25">
      <c r="A739" t="s">
        <v>756</v>
      </c>
      <c r="B739" t="s">
        <v>738</v>
      </c>
      <c r="C739" t="s">
        <v>554</v>
      </c>
      <c r="D739" s="2" t="s">
        <v>420</v>
      </c>
      <c r="E739" t="s">
        <v>545</v>
      </c>
      <c r="F739" t="s">
        <v>388</v>
      </c>
      <c r="K739">
        <v>1</v>
      </c>
      <c r="O739" t="s">
        <v>524</v>
      </c>
      <c r="P739" t="s">
        <v>462</v>
      </c>
      <c r="Q739">
        <v>1</v>
      </c>
      <c r="R739" t="s">
        <v>393</v>
      </c>
      <c r="S739">
        <v>1</v>
      </c>
    </row>
    <row r="740" spans="1:19" x14ac:dyDescent="0.25">
      <c r="A740" t="s">
        <v>756</v>
      </c>
      <c r="B740" t="s">
        <v>730</v>
      </c>
      <c r="C740" t="s">
        <v>513</v>
      </c>
      <c r="D740" s="2" t="s">
        <v>404</v>
      </c>
      <c r="E740" s="2" t="s">
        <v>533</v>
      </c>
      <c r="F740" t="s">
        <v>388</v>
      </c>
      <c r="K740">
        <v>1</v>
      </c>
      <c r="O740" t="s">
        <v>514</v>
      </c>
      <c r="P740" t="s">
        <v>470</v>
      </c>
      <c r="Q740">
        <v>1</v>
      </c>
      <c r="R740" t="s">
        <v>393</v>
      </c>
      <c r="S740">
        <v>1</v>
      </c>
    </row>
    <row r="741" spans="1:19" x14ac:dyDescent="0.25">
      <c r="A741" t="s">
        <v>756</v>
      </c>
      <c r="B741" t="s">
        <v>731</v>
      </c>
      <c r="C741" t="s">
        <v>548</v>
      </c>
      <c r="D741" s="2" t="s">
        <v>404</v>
      </c>
      <c r="E741" s="2" t="s">
        <v>533</v>
      </c>
      <c r="F741" t="s">
        <v>388</v>
      </c>
      <c r="K741">
        <v>1</v>
      </c>
      <c r="O741" t="s">
        <v>517</v>
      </c>
      <c r="P741" t="s">
        <v>470</v>
      </c>
      <c r="Q741">
        <v>1</v>
      </c>
      <c r="R741" t="s">
        <v>393</v>
      </c>
      <c r="S741">
        <v>1</v>
      </c>
    </row>
    <row r="742" spans="1:19" x14ac:dyDescent="0.25">
      <c r="A742" t="s">
        <v>756</v>
      </c>
      <c r="B742" t="s">
        <v>732</v>
      </c>
      <c r="C742" t="s">
        <v>407</v>
      </c>
      <c r="D742" s="2" t="s">
        <v>408</v>
      </c>
      <c r="E742" s="2" t="s">
        <v>533</v>
      </c>
      <c r="F742" t="s">
        <v>388</v>
      </c>
      <c r="K742">
        <v>1</v>
      </c>
      <c r="O742" t="s">
        <v>517</v>
      </c>
      <c r="P742" t="s">
        <v>471</v>
      </c>
      <c r="Q742">
        <v>1</v>
      </c>
      <c r="R742" t="s">
        <v>393</v>
      </c>
      <c r="S742">
        <v>1</v>
      </c>
    </row>
    <row r="743" spans="1:19" x14ac:dyDescent="0.25">
      <c r="A743" t="s">
        <v>756</v>
      </c>
      <c r="B743" t="s">
        <v>733</v>
      </c>
      <c r="C743" t="s">
        <v>549</v>
      </c>
      <c r="D743" s="2" t="s">
        <v>412</v>
      </c>
      <c r="E743" s="2" t="s">
        <v>533</v>
      </c>
      <c r="F743" t="s">
        <v>388</v>
      </c>
      <c r="K743">
        <v>1</v>
      </c>
      <c r="O743" t="s">
        <v>517</v>
      </c>
      <c r="P743" t="s">
        <v>472</v>
      </c>
      <c r="Q743">
        <v>1</v>
      </c>
      <c r="R743" t="s">
        <v>393</v>
      </c>
      <c r="S743">
        <v>1</v>
      </c>
    </row>
    <row r="744" spans="1:19" x14ac:dyDescent="0.25">
      <c r="A744" t="s">
        <v>756</v>
      </c>
      <c r="B744" t="s">
        <v>734</v>
      </c>
      <c r="C744" t="s">
        <v>550</v>
      </c>
      <c r="D744" s="2" t="s">
        <v>412</v>
      </c>
      <c r="E744" s="2" t="s">
        <v>533</v>
      </c>
      <c r="F744" t="s">
        <v>388</v>
      </c>
      <c r="K744">
        <v>1</v>
      </c>
      <c r="O744" t="s">
        <v>519</v>
      </c>
      <c r="P744" t="s">
        <v>472</v>
      </c>
      <c r="Q744">
        <v>1</v>
      </c>
      <c r="R744" t="s">
        <v>393</v>
      </c>
      <c r="S744">
        <v>1</v>
      </c>
    </row>
    <row r="745" spans="1:19" x14ac:dyDescent="0.25">
      <c r="A745" t="s">
        <v>756</v>
      </c>
      <c r="B745" t="s">
        <v>735</v>
      </c>
      <c r="C745" t="s">
        <v>551</v>
      </c>
      <c r="D745" s="2" t="s">
        <v>416</v>
      </c>
      <c r="E745" s="2" t="s">
        <v>533</v>
      </c>
      <c r="F745" t="s">
        <v>388</v>
      </c>
      <c r="K745">
        <v>1</v>
      </c>
      <c r="O745" t="s">
        <v>519</v>
      </c>
      <c r="P745" t="s">
        <v>473</v>
      </c>
      <c r="Q745">
        <v>1</v>
      </c>
      <c r="R745" t="s">
        <v>393</v>
      </c>
      <c r="S745">
        <v>1</v>
      </c>
    </row>
    <row r="746" spans="1:19" x14ac:dyDescent="0.25">
      <c r="A746" t="s">
        <v>756</v>
      </c>
      <c r="B746" t="s">
        <v>736</v>
      </c>
      <c r="C746" t="s">
        <v>552</v>
      </c>
      <c r="D746" s="2" t="s">
        <v>416</v>
      </c>
      <c r="E746" s="2" t="s">
        <v>533</v>
      </c>
      <c r="F746" t="s">
        <v>388</v>
      </c>
      <c r="K746">
        <v>1</v>
      </c>
      <c r="O746" t="s">
        <v>521</v>
      </c>
      <c r="P746" t="s">
        <v>473</v>
      </c>
      <c r="Q746">
        <v>1</v>
      </c>
      <c r="R746" t="s">
        <v>393</v>
      </c>
      <c r="S746">
        <v>1</v>
      </c>
    </row>
    <row r="747" spans="1:19" x14ac:dyDescent="0.25">
      <c r="A747" t="s">
        <v>756</v>
      </c>
      <c r="B747" t="s">
        <v>737</v>
      </c>
      <c r="C747" t="s">
        <v>553</v>
      </c>
      <c r="D747" s="2" t="s">
        <v>420</v>
      </c>
      <c r="E747" s="2" t="s">
        <v>533</v>
      </c>
      <c r="F747" t="s">
        <v>388</v>
      </c>
      <c r="K747">
        <v>1</v>
      </c>
      <c r="O747" t="s">
        <v>521</v>
      </c>
      <c r="P747" t="s">
        <v>474</v>
      </c>
      <c r="Q747">
        <v>1</v>
      </c>
      <c r="R747" t="s">
        <v>393</v>
      </c>
      <c r="S747">
        <v>1</v>
      </c>
    </row>
    <row r="748" spans="1:19" x14ac:dyDescent="0.25">
      <c r="A748" t="s">
        <v>756</v>
      </c>
      <c r="B748" t="s">
        <v>738</v>
      </c>
      <c r="C748" t="s">
        <v>554</v>
      </c>
      <c r="D748" s="2" t="s">
        <v>420</v>
      </c>
      <c r="E748" s="2" t="s">
        <v>533</v>
      </c>
      <c r="F748" t="s">
        <v>388</v>
      </c>
      <c r="K748">
        <v>1</v>
      </c>
      <c r="O748" t="s">
        <v>524</v>
      </c>
      <c r="P748" t="s">
        <v>474</v>
      </c>
      <c r="Q748">
        <v>1</v>
      </c>
      <c r="R748" t="s">
        <v>393</v>
      </c>
      <c r="S748">
        <v>1</v>
      </c>
    </row>
    <row r="749" spans="1:19" x14ac:dyDescent="0.25">
      <c r="A749" t="s">
        <v>758</v>
      </c>
      <c r="B749" t="s">
        <v>718</v>
      </c>
      <c r="C749" t="s">
        <v>773</v>
      </c>
      <c r="D749" s="2" t="s">
        <v>337</v>
      </c>
      <c r="E749" t="s">
        <v>338</v>
      </c>
      <c r="F749" t="s">
        <v>388</v>
      </c>
      <c r="I749">
        <v>1</v>
      </c>
      <c r="K749">
        <v>1</v>
      </c>
      <c r="O749" t="s">
        <v>476</v>
      </c>
      <c r="P749" t="s">
        <v>445</v>
      </c>
      <c r="Q749">
        <v>1</v>
      </c>
      <c r="R749" t="s">
        <v>389</v>
      </c>
      <c r="S749">
        <v>1</v>
      </c>
    </row>
    <row r="750" spans="1:19" x14ac:dyDescent="0.25">
      <c r="A750" t="s">
        <v>758</v>
      </c>
      <c r="B750" t="s">
        <v>718</v>
      </c>
      <c r="C750" t="s">
        <v>529</v>
      </c>
      <c r="D750" s="2" t="s">
        <v>342</v>
      </c>
      <c r="E750" t="s">
        <v>338</v>
      </c>
      <c r="F750" t="s">
        <v>388</v>
      </c>
      <c r="I750">
        <v>1</v>
      </c>
      <c r="K750">
        <v>1</v>
      </c>
      <c r="O750" t="s">
        <v>476</v>
      </c>
      <c r="P750" t="s">
        <v>446</v>
      </c>
      <c r="Q750">
        <v>1</v>
      </c>
      <c r="R750" t="s">
        <v>389</v>
      </c>
      <c r="S750">
        <v>1</v>
      </c>
    </row>
    <row r="751" spans="1:19" x14ac:dyDescent="0.25">
      <c r="A751" t="s">
        <v>758</v>
      </c>
      <c r="B751" t="s">
        <v>718</v>
      </c>
      <c r="C751" t="s">
        <v>530</v>
      </c>
      <c r="D751" s="2" t="s">
        <v>342</v>
      </c>
      <c r="E751" t="s">
        <v>338</v>
      </c>
      <c r="F751" t="s">
        <v>388</v>
      </c>
      <c r="I751">
        <v>1</v>
      </c>
      <c r="K751">
        <v>1</v>
      </c>
      <c r="O751" t="s">
        <v>480</v>
      </c>
      <c r="P751" t="s">
        <v>446</v>
      </c>
      <c r="Q751">
        <v>1</v>
      </c>
      <c r="R751" t="s">
        <v>389</v>
      </c>
      <c r="S751">
        <v>1</v>
      </c>
    </row>
    <row r="752" spans="1:19" x14ac:dyDescent="0.25">
      <c r="A752" t="s">
        <v>758</v>
      </c>
      <c r="B752" t="s">
        <v>718</v>
      </c>
      <c r="C752" t="s">
        <v>344</v>
      </c>
      <c r="D752" s="2" t="s">
        <v>345</v>
      </c>
      <c r="E752" t="s">
        <v>338</v>
      </c>
      <c r="F752" t="s">
        <v>388</v>
      </c>
      <c r="I752">
        <v>1</v>
      </c>
      <c r="K752">
        <v>1</v>
      </c>
      <c r="O752" t="s">
        <v>480</v>
      </c>
      <c r="P752" t="s">
        <v>447</v>
      </c>
      <c r="Q752">
        <v>1</v>
      </c>
      <c r="R752" t="s">
        <v>389</v>
      </c>
      <c r="S752">
        <v>1</v>
      </c>
    </row>
    <row r="753" spans="1:19" x14ac:dyDescent="0.25">
      <c r="A753" t="s">
        <v>758</v>
      </c>
      <c r="B753" t="s">
        <v>718</v>
      </c>
      <c r="C753" t="s">
        <v>531</v>
      </c>
      <c r="D753" s="2" t="s">
        <v>348</v>
      </c>
      <c r="E753" t="s">
        <v>338</v>
      </c>
      <c r="F753" t="s">
        <v>388</v>
      </c>
      <c r="I753">
        <v>1</v>
      </c>
      <c r="K753">
        <v>1</v>
      </c>
      <c r="O753" t="s">
        <v>480</v>
      </c>
      <c r="P753" t="s">
        <v>448</v>
      </c>
      <c r="Q753">
        <v>1</v>
      </c>
      <c r="R753" t="s">
        <v>389</v>
      </c>
      <c r="S753">
        <v>1</v>
      </c>
    </row>
    <row r="754" spans="1:19" x14ac:dyDescent="0.25">
      <c r="A754" t="s">
        <v>758</v>
      </c>
      <c r="B754" t="s">
        <v>718</v>
      </c>
      <c r="C754" t="s">
        <v>532</v>
      </c>
      <c r="D754" s="2" t="s">
        <v>348</v>
      </c>
      <c r="E754" t="s">
        <v>338</v>
      </c>
      <c r="F754" t="s">
        <v>388</v>
      </c>
      <c r="I754">
        <v>1</v>
      </c>
      <c r="K754">
        <v>1</v>
      </c>
      <c r="O754" t="s">
        <v>482</v>
      </c>
      <c r="P754" t="s">
        <v>448</v>
      </c>
      <c r="Q754">
        <v>1</v>
      </c>
      <c r="R754" t="s">
        <v>389</v>
      </c>
      <c r="S754">
        <v>1</v>
      </c>
    </row>
    <row r="755" spans="1:19" x14ac:dyDescent="0.25">
      <c r="A755" t="s">
        <v>758</v>
      </c>
      <c r="B755" t="s">
        <v>718</v>
      </c>
      <c r="C755" t="s">
        <v>350</v>
      </c>
      <c r="D755" s="2" t="s">
        <v>351</v>
      </c>
      <c r="E755" t="s">
        <v>338</v>
      </c>
      <c r="F755" t="s">
        <v>388</v>
      </c>
      <c r="I755">
        <v>1</v>
      </c>
      <c r="K755">
        <v>1</v>
      </c>
      <c r="O755" t="s">
        <v>482</v>
      </c>
      <c r="P755" t="s">
        <v>449</v>
      </c>
      <c r="Q755">
        <v>1</v>
      </c>
      <c r="R755" t="s">
        <v>389</v>
      </c>
      <c r="S755">
        <v>1</v>
      </c>
    </row>
    <row r="756" spans="1:19" x14ac:dyDescent="0.25">
      <c r="A756" t="s">
        <v>758</v>
      </c>
      <c r="B756" t="s">
        <v>718</v>
      </c>
      <c r="C756" t="s">
        <v>534</v>
      </c>
      <c r="D756" s="2" t="s">
        <v>354</v>
      </c>
      <c r="E756" t="s">
        <v>338</v>
      </c>
      <c r="F756" t="s">
        <v>388</v>
      </c>
      <c r="I756">
        <v>1</v>
      </c>
      <c r="K756">
        <v>1</v>
      </c>
      <c r="O756" t="s">
        <v>482</v>
      </c>
      <c r="P756" t="s">
        <v>450</v>
      </c>
      <c r="Q756">
        <v>1</v>
      </c>
      <c r="R756" t="s">
        <v>389</v>
      </c>
      <c r="S756">
        <v>1</v>
      </c>
    </row>
    <row r="757" spans="1:19" x14ac:dyDescent="0.25">
      <c r="A757" t="s">
        <v>758</v>
      </c>
      <c r="B757" t="s">
        <v>719</v>
      </c>
      <c r="C757" t="s">
        <v>483</v>
      </c>
      <c r="D757" s="2" t="s">
        <v>354</v>
      </c>
      <c r="E757" t="s">
        <v>338</v>
      </c>
      <c r="F757" t="s">
        <v>388</v>
      </c>
      <c r="I757">
        <v>1</v>
      </c>
      <c r="K757">
        <v>1</v>
      </c>
      <c r="O757" t="s">
        <v>484</v>
      </c>
      <c r="P757" t="s">
        <v>450</v>
      </c>
      <c r="Q757">
        <v>1</v>
      </c>
      <c r="R757" t="s">
        <v>389</v>
      </c>
      <c r="S757">
        <v>1</v>
      </c>
    </row>
    <row r="758" spans="1:19" x14ac:dyDescent="0.25">
      <c r="A758" t="s">
        <v>758</v>
      </c>
      <c r="B758" t="s">
        <v>719</v>
      </c>
      <c r="C758" t="s">
        <v>535</v>
      </c>
      <c r="D758" s="2" t="s">
        <v>354</v>
      </c>
      <c r="E758" t="s">
        <v>338</v>
      </c>
      <c r="F758" t="s">
        <v>388</v>
      </c>
      <c r="I758">
        <v>1</v>
      </c>
      <c r="K758">
        <v>1</v>
      </c>
      <c r="O758" t="s">
        <v>486</v>
      </c>
      <c r="P758" t="s">
        <v>450</v>
      </c>
      <c r="Q758">
        <v>1</v>
      </c>
      <c r="R758" t="s">
        <v>389</v>
      </c>
      <c r="S758">
        <v>1</v>
      </c>
    </row>
    <row r="759" spans="1:19" x14ac:dyDescent="0.25">
      <c r="A759" t="s">
        <v>758</v>
      </c>
      <c r="B759" t="s">
        <v>719</v>
      </c>
      <c r="C759" t="s">
        <v>536</v>
      </c>
      <c r="D759" s="2" t="s">
        <v>357</v>
      </c>
      <c r="E759" t="s">
        <v>338</v>
      </c>
      <c r="F759" t="s">
        <v>388</v>
      </c>
      <c r="I759">
        <v>1</v>
      </c>
      <c r="K759">
        <v>1</v>
      </c>
      <c r="O759" t="s">
        <v>486</v>
      </c>
      <c r="P759" t="s">
        <v>451</v>
      </c>
      <c r="Q759">
        <v>1</v>
      </c>
      <c r="R759" t="s">
        <v>389</v>
      </c>
      <c r="S759">
        <v>1</v>
      </c>
    </row>
    <row r="760" spans="1:19" x14ac:dyDescent="0.25">
      <c r="A760" t="s">
        <v>758</v>
      </c>
      <c r="B760" t="s">
        <v>720</v>
      </c>
      <c r="C760" t="s">
        <v>537</v>
      </c>
      <c r="D760" s="2" t="s">
        <v>357</v>
      </c>
      <c r="E760" t="s">
        <v>338</v>
      </c>
      <c r="F760" t="s">
        <v>388</v>
      </c>
      <c r="I760">
        <v>1</v>
      </c>
      <c r="K760">
        <v>1</v>
      </c>
      <c r="O760" t="s">
        <v>488</v>
      </c>
      <c r="P760" t="s">
        <v>451</v>
      </c>
      <c r="Q760">
        <v>1</v>
      </c>
      <c r="R760" t="s">
        <v>389</v>
      </c>
      <c r="S760">
        <v>1</v>
      </c>
    </row>
    <row r="761" spans="1:19" x14ac:dyDescent="0.25">
      <c r="A761" t="s">
        <v>758</v>
      </c>
      <c r="B761" t="s">
        <v>721</v>
      </c>
      <c r="C761" t="s">
        <v>538</v>
      </c>
      <c r="D761" s="2" t="s">
        <v>361</v>
      </c>
      <c r="E761" t="s">
        <v>338</v>
      </c>
      <c r="F761" t="s">
        <v>388</v>
      </c>
      <c r="I761">
        <v>1</v>
      </c>
      <c r="K761">
        <v>1</v>
      </c>
      <c r="O761" t="s">
        <v>488</v>
      </c>
      <c r="P761" t="s">
        <v>452</v>
      </c>
      <c r="Q761">
        <v>1</v>
      </c>
      <c r="R761" t="s">
        <v>389</v>
      </c>
      <c r="S761">
        <v>1</v>
      </c>
    </row>
    <row r="762" spans="1:19" x14ac:dyDescent="0.25">
      <c r="A762" t="s">
        <v>758</v>
      </c>
      <c r="B762" t="s">
        <v>721</v>
      </c>
      <c r="C762" t="s">
        <v>491</v>
      </c>
      <c r="D762" s="2" t="s">
        <v>361</v>
      </c>
      <c r="E762" t="s">
        <v>338</v>
      </c>
      <c r="F762" t="s">
        <v>388</v>
      </c>
      <c r="I762">
        <v>1</v>
      </c>
      <c r="K762">
        <v>1</v>
      </c>
      <c r="O762" t="s">
        <v>492</v>
      </c>
      <c r="P762" t="s">
        <v>452</v>
      </c>
      <c r="Q762">
        <v>1</v>
      </c>
      <c r="R762" t="s">
        <v>389</v>
      </c>
      <c r="S762">
        <v>1</v>
      </c>
    </row>
    <row r="763" spans="1:19" x14ac:dyDescent="0.25">
      <c r="A763" t="s">
        <v>758</v>
      </c>
      <c r="B763" t="s">
        <v>722</v>
      </c>
      <c r="C763" t="s">
        <v>491</v>
      </c>
      <c r="D763" s="2" t="s">
        <v>361</v>
      </c>
      <c r="E763" t="s">
        <v>338</v>
      </c>
      <c r="F763" t="s">
        <v>388</v>
      </c>
      <c r="I763">
        <v>1</v>
      </c>
      <c r="K763">
        <v>1</v>
      </c>
      <c r="O763" t="s">
        <v>493</v>
      </c>
      <c r="P763" t="s">
        <v>452</v>
      </c>
      <c r="Q763">
        <v>1</v>
      </c>
      <c r="R763" t="s">
        <v>389</v>
      </c>
      <c r="S763">
        <v>1</v>
      </c>
    </row>
    <row r="764" spans="1:19" x14ac:dyDescent="0.25">
      <c r="A764" t="s">
        <v>758</v>
      </c>
      <c r="B764" t="s">
        <v>722</v>
      </c>
      <c r="C764" t="s">
        <v>539</v>
      </c>
      <c r="D764" s="2" t="s">
        <v>361</v>
      </c>
      <c r="E764" t="s">
        <v>338</v>
      </c>
      <c r="F764" t="s">
        <v>388</v>
      </c>
      <c r="I764">
        <v>1</v>
      </c>
      <c r="K764">
        <v>1</v>
      </c>
      <c r="O764" t="s">
        <v>495</v>
      </c>
      <c r="P764" t="s">
        <v>452</v>
      </c>
      <c r="Q764">
        <v>1</v>
      </c>
      <c r="R764" t="s">
        <v>389</v>
      </c>
      <c r="S764">
        <v>1</v>
      </c>
    </row>
    <row r="765" spans="1:19" x14ac:dyDescent="0.25">
      <c r="A765" t="s">
        <v>758</v>
      </c>
      <c r="B765" t="s">
        <v>723</v>
      </c>
      <c r="C765" t="s">
        <v>373</v>
      </c>
      <c r="D765" s="2" t="s">
        <v>374</v>
      </c>
      <c r="E765" t="s">
        <v>338</v>
      </c>
      <c r="I765">
        <v>1</v>
      </c>
      <c r="K765">
        <v>1</v>
      </c>
      <c r="O765" t="s">
        <v>497</v>
      </c>
      <c r="P765" t="s">
        <v>453</v>
      </c>
      <c r="Q765">
        <v>1</v>
      </c>
      <c r="R765" t="s">
        <v>364</v>
      </c>
      <c r="S765">
        <v>1</v>
      </c>
    </row>
    <row r="766" spans="1:19" x14ac:dyDescent="0.25">
      <c r="A766" t="s">
        <v>758</v>
      </c>
      <c r="B766" t="s">
        <v>723</v>
      </c>
      <c r="C766" t="s">
        <v>373</v>
      </c>
      <c r="D766" s="2" t="s">
        <v>374</v>
      </c>
      <c r="E766" t="s">
        <v>338</v>
      </c>
      <c r="F766" t="s">
        <v>388</v>
      </c>
      <c r="I766">
        <v>1</v>
      </c>
      <c r="K766">
        <v>1</v>
      </c>
      <c r="O766" t="s">
        <v>497</v>
      </c>
      <c r="P766" t="s">
        <v>453</v>
      </c>
      <c r="Q766">
        <v>1</v>
      </c>
      <c r="R766" t="s">
        <v>389</v>
      </c>
      <c r="S766">
        <v>1</v>
      </c>
    </row>
    <row r="767" spans="1:19" x14ac:dyDescent="0.25">
      <c r="A767" t="s">
        <v>758</v>
      </c>
      <c r="B767" t="s">
        <v>724</v>
      </c>
      <c r="C767" t="s">
        <v>540</v>
      </c>
      <c r="D767" s="2" t="s">
        <v>378</v>
      </c>
      <c r="E767" t="s">
        <v>338</v>
      </c>
      <c r="I767">
        <v>1</v>
      </c>
      <c r="K767">
        <v>1</v>
      </c>
      <c r="O767" t="s">
        <v>497</v>
      </c>
      <c r="P767" t="s">
        <v>454</v>
      </c>
      <c r="Q767">
        <v>1</v>
      </c>
      <c r="R767" t="s">
        <v>364</v>
      </c>
      <c r="S767">
        <v>1</v>
      </c>
    </row>
    <row r="768" spans="1:19" x14ac:dyDescent="0.25">
      <c r="A768" t="s">
        <v>758</v>
      </c>
      <c r="B768" t="s">
        <v>724</v>
      </c>
      <c r="C768" t="s">
        <v>540</v>
      </c>
      <c r="D768" s="2" t="s">
        <v>378</v>
      </c>
      <c r="E768" t="s">
        <v>338</v>
      </c>
      <c r="F768" t="s">
        <v>388</v>
      </c>
      <c r="I768">
        <v>1</v>
      </c>
      <c r="K768">
        <v>1</v>
      </c>
      <c r="O768" t="s">
        <v>497</v>
      </c>
      <c r="P768" t="s">
        <v>454</v>
      </c>
      <c r="Q768">
        <v>1</v>
      </c>
      <c r="R768" t="s">
        <v>389</v>
      </c>
      <c r="S768">
        <v>1</v>
      </c>
    </row>
    <row r="769" spans="1:19" x14ac:dyDescent="0.25">
      <c r="A769" t="s">
        <v>758</v>
      </c>
      <c r="B769" t="s">
        <v>724</v>
      </c>
      <c r="C769" t="s">
        <v>540</v>
      </c>
      <c r="D769" s="2" t="s">
        <v>378</v>
      </c>
      <c r="E769" t="s">
        <v>338</v>
      </c>
      <c r="I769">
        <v>1</v>
      </c>
      <c r="K769">
        <v>1</v>
      </c>
      <c r="O769" t="s">
        <v>500</v>
      </c>
      <c r="P769" t="s">
        <v>454</v>
      </c>
      <c r="Q769">
        <v>1</v>
      </c>
      <c r="R769" t="s">
        <v>364</v>
      </c>
      <c r="S769">
        <v>1</v>
      </c>
    </row>
    <row r="770" spans="1:19" x14ac:dyDescent="0.25">
      <c r="A770" t="s">
        <v>758</v>
      </c>
      <c r="B770" t="s">
        <v>724</v>
      </c>
      <c r="C770" t="s">
        <v>540</v>
      </c>
      <c r="D770" s="2" t="s">
        <v>378</v>
      </c>
      <c r="E770" t="s">
        <v>338</v>
      </c>
      <c r="F770" t="s">
        <v>388</v>
      </c>
      <c r="I770">
        <v>1</v>
      </c>
      <c r="K770">
        <v>1</v>
      </c>
      <c r="O770" t="s">
        <v>500</v>
      </c>
      <c r="P770" t="s">
        <v>454</v>
      </c>
      <c r="Q770">
        <v>1</v>
      </c>
      <c r="R770" t="s">
        <v>389</v>
      </c>
      <c r="S770">
        <v>1</v>
      </c>
    </row>
    <row r="771" spans="1:19" x14ac:dyDescent="0.25">
      <c r="A771" t="s">
        <v>758</v>
      </c>
      <c r="B771" t="s">
        <v>724</v>
      </c>
      <c r="C771" t="s">
        <v>541</v>
      </c>
      <c r="D771" s="2" t="s">
        <v>378</v>
      </c>
      <c r="E771" t="s">
        <v>338</v>
      </c>
      <c r="I771">
        <v>1</v>
      </c>
      <c r="K771">
        <v>1</v>
      </c>
      <c r="O771" t="s">
        <v>502</v>
      </c>
      <c r="P771" t="s">
        <v>454</v>
      </c>
      <c r="Q771">
        <v>1</v>
      </c>
      <c r="R771" t="s">
        <v>364</v>
      </c>
      <c r="S771">
        <v>1</v>
      </c>
    </row>
    <row r="772" spans="1:19" x14ac:dyDescent="0.25">
      <c r="A772" t="s">
        <v>758</v>
      </c>
      <c r="B772" t="s">
        <v>724</v>
      </c>
      <c r="C772" t="s">
        <v>541</v>
      </c>
      <c r="D772" s="2" t="s">
        <v>378</v>
      </c>
      <c r="E772" t="s">
        <v>338</v>
      </c>
      <c r="F772" t="s">
        <v>388</v>
      </c>
      <c r="I772">
        <v>1</v>
      </c>
      <c r="K772">
        <v>1</v>
      </c>
      <c r="O772" t="s">
        <v>502</v>
      </c>
      <c r="P772" t="s">
        <v>454</v>
      </c>
      <c r="Q772">
        <v>1</v>
      </c>
      <c r="R772" t="s">
        <v>389</v>
      </c>
      <c r="S772">
        <v>1</v>
      </c>
    </row>
    <row r="773" spans="1:19" x14ac:dyDescent="0.25">
      <c r="A773" t="s">
        <v>758</v>
      </c>
      <c r="B773" t="s">
        <v>725</v>
      </c>
      <c r="C773" t="s">
        <v>542</v>
      </c>
      <c r="D773" s="2" t="s">
        <v>382</v>
      </c>
      <c r="E773" t="s">
        <v>338</v>
      </c>
      <c r="I773">
        <v>1</v>
      </c>
      <c r="K773">
        <v>1</v>
      </c>
      <c r="O773" t="s">
        <v>502</v>
      </c>
      <c r="P773" t="s">
        <v>455</v>
      </c>
      <c r="Q773">
        <v>1</v>
      </c>
      <c r="R773" t="s">
        <v>364</v>
      </c>
      <c r="S773">
        <v>1</v>
      </c>
    </row>
    <row r="774" spans="1:19" x14ac:dyDescent="0.25">
      <c r="A774" t="s">
        <v>758</v>
      </c>
      <c r="B774" t="s">
        <v>725</v>
      </c>
      <c r="C774" t="s">
        <v>542</v>
      </c>
      <c r="D774" s="2" t="s">
        <v>382</v>
      </c>
      <c r="E774" t="s">
        <v>338</v>
      </c>
      <c r="F774" t="s">
        <v>388</v>
      </c>
      <c r="I774">
        <v>1</v>
      </c>
      <c r="K774">
        <v>1</v>
      </c>
      <c r="O774" t="s">
        <v>502</v>
      </c>
      <c r="P774" t="s">
        <v>455</v>
      </c>
      <c r="Q774">
        <v>1</v>
      </c>
      <c r="R774" t="s">
        <v>389</v>
      </c>
      <c r="S774">
        <v>1</v>
      </c>
    </row>
    <row r="775" spans="1:19" x14ac:dyDescent="0.25">
      <c r="A775" t="s">
        <v>758</v>
      </c>
      <c r="B775" t="s">
        <v>725</v>
      </c>
      <c r="C775" t="s">
        <v>503</v>
      </c>
      <c r="D775" s="2" t="s">
        <v>382</v>
      </c>
      <c r="E775" t="s">
        <v>338</v>
      </c>
      <c r="I775">
        <v>1</v>
      </c>
      <c r="K775">
        <v>1</v>
      </c>
      <c r="O775" t="s">
        <v>504</v>
      </c>
      <c r="P775" t="s">
        <v>455</v>
      </c>
      <c r="Q775">
        <v>1</v>
      </c>
      <c r="R775" t="s">
        <v>364</v>
      </c>
      <c r="S775">
        <v>1</v>
      </c>
    </row>
    <row r="776" spans="1:19" x14ac:dyDescent="0.25">
      <c r="A776" t="s">
        <v>758</v>
      </c>
      <c r="B776" t="s">
        <v>725</v>
      </c>
      <c r="C776" t="s">
        <v>503</v>
      </c>
      <c r="D776" s="2" t="s">
        <v>382</v>
      </c>
      <c r="E776" t="s">
        <v>338</v>
      </c>
      <c r="F776" t="s">
        <v>388</v>
      </c>
      <c r="I776">
        <v>1</v>
      </c>
      <c r="K776">
        <v>1</v>
      </c>
      <c r="O776" t="s">
        <v>504</v>
      </c>
      <c r="P776" t="s">
        <v>455</v>
      </c>
      <c r="Q776">
        <v>1</v>
      </c>
      <c r="R776" t="s">
        <v>389</v>
      </c>
      <c r="S776">
        <v>1</v>
      </c>
    </row>
    <row r="777" spans="1:19" x14ac:dyDescent="0.25">
      <c r="A777" t="s">
        <v>758</v>
      </c>
      <c r="B777" t="s">
        <v>726</v>
      </c>
      <c r="C777" t="s">
        <v>543</v>
      </c>
      <c r="D777" s="2" t="s">
        <v>382</v>
      </c>
      <c r="E777" t="s">
        <v>338</v>
      </c>
      <c r="I777">
        <v>1</v>
      </c>
      <c r="K777">
        <v>1</v>
      </c>
      <c r="O777" t="s">
        <v>506</v>
      </c>
      <c r="P777" t="s">
        <v>455</v>
      </c>
      <c r="Q777">
        <v>1</v>
      </c>
      <c r="R777" t="s">
        <v>364</v>
      </c>
      <c r="S777">
        <v>1</v>
      </c>
    </row>
    <row r="778" spans="1:19" x14ac:dyDescent="0.25">
      <c r="A778" t="s">
        <v>758</v>
      </c>
      <c r="B778" t="s">
        <v>726</v>
      </c>
      <c r="C778" t="s">
        <v>543</v>
      </c>
      <c r="D778" s="2" t="s">
        <v>382</v>
      </c>
      <c r="E778" t="s">
        <v>338</v>
      </c>
      <c r="F778" t="s">
        <v>388</v>
      </c>
      <c r="I778">
        <v>1</v>
      </c>
      <c r="K778">
        <v>1</v>
      </c>
      <c r="O778" t="s">
        <v>506</v>
      </c>
      <c r="P778" t="s">
        <v>455</v>
      </c>
      <c r="Q778">
        <v>1</v>
      </c>
      <c r="R778" t="s">
        <v>389</v>
      </c>
      <c r="S778">
        <v>1</v>
      </c>
    </row>
    <row r="779" spans="1:19" x14ac:dyDescent="0.25">
      <c r="A779" t="s">
        <v>758</v>
      </c>
      <c r="B779" t="s">
        <v>727</v>
      </c>
      <c r="C779" t="s">
        <v>544</v>
      </c>
      <c r="D779" s="2" t="s">
        <v>386</v>
      </c>
      <c r="E779" t="s">
        <v>338</v>
      </c>
      <c r="I779">
        <v>1</v>
      </c>
      <c r="K779">
        <v>1</v>
      </c>
      <c r="O779" t="s">
        <v>506</v>
      </c>
      <c r="P779" t="s">
        <v>456</v>
      </c>
      <c r="Q779">
        <v>1</v>
      </c>
      <c r="R779" t="s">
        <v>364</v>
      </c>
      <c r="S779">
        <v>1</v>
      </c>
    </row>
    <row r="780" spans="1:19" x14ac:dyDescent="0.25">
      <c r="A780" t="s">
        <v>758</v>
      </c>
      <c r="B780" t="s">
        <v>727</v>
      </c>
      <c r="C780" t="s">
        <v>544</v>
      </c>
      <c r="D780" s="2" t="s">
        <v>386</v>
      </c>
      <c r="E780" t="s">
        <v>338</v>
      </c>
      <c r="F780" t="s">
        <v>388</v>
      </c>
      <c r="I780">
        <v>1</v>
      </c>
      <c r="K780">
        <v>1</v>
      </c>
      <c r="O780" t="s">
        <v>506</v>
      </c>
      <c r="P780" t="s">
        <v>456</v>
      </c>
      <c r="Q780">
        <v>1</v>
      </c>
      <c r="R780" t="s">
        <v>389</v>
      </c>
      <c r="S780">
        <v>1</v>
      </c>
    </row>
    <row r="781" spans="1:19" x14ac:dyDescent="0.25">
      <c r="A781" t="s">
        <v>758</v>
      </c>
      <c r="B781" t="s">
        <v>727</v>
      </c>
      <c r="C781" t="s">
        <v>507</v>
      </c>
      <c r="D781" s="2" t="s">
        <v>386</v>
      </c>
      <c r="E781" t="s">
        <v>545</v>
      </c>
      <c r="I781">
        <v>1</v>
      </c>
      <c r="K781">
        <v>1</v>
      </c>
      <c r="O781" t="s">
        <v>508</v>
      </c>
      <c r="P781" t="s">
        <v>456</v>
      </c>
      <c r="Q781">
        <v>1</v>
      </c>
      <c r="R781" t="s">
        <v>364</v>
      </c>
      <c r="S781">
        <v>1</v>
      </c>
    </row>
    <row r="782" spans="1:19" x14ac:dyDescent="0.25">
      <c r="A782" t="s">
        <v>758</v>
      </c>
      <c r="B782" t="s">
        <v>727</v>
      </c>
      <c r="C782" t="s">
        <v>507</v>
      </c>
      <c r="D782" s="2" t="s">
        <v>386</v>
      </c>
      <c r="E782" t="s">
        <v>545</v>
      </c>
      <c r="F782" t="s">
        <v>388</v>
      </c>
      <c r="I782">
        <v>1</v>
      </c>
      <c r="K782">
        <v>1</v>
      </c>
      <c r="O782" t="s">
        <v>508</v>
      </c>
      <c r="P782" t="s">
        <v>456</v>
      </c>
      <c r="Q782">
        <v>1</v>
      </c>
      <c r="R782" t="s">
        <v>389</v>
      </c>
      <c r="S782">
        <v>1</v>
      </c>
    </row>
    <row r="783" spans="1:19" x14ac:dyDescent="0.25">
      <c r="A783" t="s">
        <v>758</v>
      </c>
      <c r="B783" t="s">
        <v>727</v>
      </c>
      <c r="C783" t="s">
        <v>507</v>
      </c>
      <c r="D783" s="2" t="s">
        <v>386</v>
      </c>
      <c r="E783" t="s">
        <v>545</v>
      </c>
      <c r="I783">
        <v>1</v>
      </c>
      <c r="K783">
        <v>1</v>
      </c>
      <c r="O783" t="s">
        <v>509</v>
      </c>
      <c r="P783" t="s">
        <v>456</v>
      </c>
      <c r="Q783">
        <v>1</v>
      </c>
      <c r="R783" t="s">
        <v>364</v>
      </c>
      <c r="S783">
        <v>1</v>
      </c>
    </row>
    <row r="784" spans="1:19" x14ac:dyDescent="0.25">
      <c r="A784" t="s">
        <v>758</v>
      </c>
      <c r="B784" t="s">
        <v>727</v>
      </c>
      <c r="C784" t="s">
        <v>507</v>
      </c>
      <c r="D784" s="2" t="s">
        <v>386</v>
      </c>
      <c r="E784" t="s">
        <v>545</v>
      </c>
      <c r="F784" t="s">
        <v>388</v>
      </c>
      <c r="I784">
        <v>1</v>
      </c>
      <c r="K784">
        <v>1</v>
      </c>
      <c r="O784" t="s">
        <v>509</v>
      </c>
      <c r="P784" t="s">
        <v>456</v>
      </c>
      <c r="Q784">
        <v>1</v>
      </c>
      <c r="R784" t="s">
        <v>389</v>
      </c>
      <c r="S784">
        <v>1</v>
      </c>
    </row>
    <row r="785" spans="1:21" x14ac:dyDescent="0.25">
      <c r="A785" t="s">
        <v>758</v>
      </c>
      <c r="B785" t="s">
        <v>728</v>
      </c>
      <c r="C785" t="s">
        <v>546</v>
      </c>
      <c r="D785" s="2" t="s">
        <v>386</v>
      </c>
      <c r="E785" t="s">
        <v>545</v>
      </c>
      <c r="I785">
        <v>1</v>
      </c>
      <c r="K785">
        <v>1</v>
      </c>
      <c r="O785" t="s">
        <v>511</v>
      </c>
      <c r="P785" t="s">
        <v>456</v>
      </c>
      <c r="Q785">
        <v>1</v>
      </c>
      <c r="R785" t="s">
        <v>364</v>
      </c>
      <c r="S785">
        <v>1</v>
      </c>
    </row>
    <row r="786" spans="1:21" x14ac:dyDescent="0.25">
      <c r="A786" t="s">
        <v>758</v>
      </c>
      <c r="B786" t="s">
        <v>728</v>
      </c>
      <c r="C786" t="s">
        <v>546</v>
      </c>
      <c r="D786" s="2" t="s">
        <v>386</v>
      </c>
      <c r="E786" t="s">
        <v>545</v>
      </c>
      <c r="F786" t="s">
        <v>388</v>
      </c>
      <c r="I786">
        <v>1</v>
      </c>
      <c r="K786">
        <v>1</v>
      </c>
      <c r="O786" t="s">
        <v>511</v>
      </c>
      <c r="P786" t="s">
        <v>456</v>
      </c>
      <c r="Q786">
        <v>1</v>
      </c>
      <c r="R786" t="s">
        <v>389</v>
      </c>
      <c r="S786">
        <v>1</v>
      </c>
    </row>
    <row r="787" spans="1:21" x14ac:dyDescent="0.25">
      <c r="A787" t="s">
        <v>758</v>
      </c>
      <c r="B787" t="s">
        <v>718</v>
      </c>
      <c r="C787" t="s">
        <v>350</v>
      </c>
      <c r="D787" s="2" t="s">
        <v>351</v>
      </c>
      <c r="E787" s="2" t="s">
        <v>533</v>
      </c>
      <c r="I787">
        <v>1</v>
      </c>
      <c r="K787">
        <v>1</v>
      </c>
      <c r="O787" t="s">
        <v>482</v>
      </c>
      <c r="P787" t="s">
        <v>463</v>
      </c>
      <c r="Q787">
        <v>1</v>
      </c>
      <c r="R787" t="s">
        <v>393</v>
      </c>
      <c r="S787">
        <v>1</v>
      </c>
      <c r="T787" t="s">
        <v>436</v>
      </c>
      <c r="U787">
        <v>1</v>
      </c>
    </row>
    <row r="788" spans="1:21" x14ac:dyDescent="0.25">
      <c r="A788" t="s">
        <v>758</v>
      </c>
      <c r="B788" t="s">
        <v>718</v>
      </c>
      <c r="C788" t="s">
        <v>534</v>
      </c>
      <c r="D788" s="2" t="s">
        <v>354</v>
      </c>
      <c r="E788" s="2" t="s">
        <v>533</v>
      </c>
      <c r="I788">
        <v>1</v>
      </c>
      <c r="K788">
        <v>1</v>
      </c>
      <c r="O788" t="s">
        <v>482</v>
      </c>
      <c r="P788" t="s">
        <v>464</v>
      </c>
      <c r="Q788">
        <v>1</v>
      </c>
      <c r="R788" t="s">
        <v>393</v>
      </c>
      <c r="S788">
        <v>1</v>
      </c>
      <c r="T788" t="s">
        <v>436</v>
      </c>
      <c r="U788">
        <v>1</v>
      </c>
    </row>
    <row r="789" spans="1:21" x14ac:dyDescent="0.25">
      <c r="A789" t="s">
        <v>758</v>
      </c>
      <c r="B789" t="s">
        <v>719</v>
      </c>
      <c r="C789" t="s">
        <v>483</v>
      </c>
      <c r="D789" s="2" t="s">
        <v>354</v>
      </c>
      <c r="E789" s="2" t="s">
        <v>533</v>
      </c>
      <c r="I789">
        <v>1</v>
      </c>
      <c r="K789">
        <v>1</v>
      </c>
      <c r="O789" t="s">
        <v>484</v>
      </c>
      <c r="P789" t="s">
        <v>464</v>
      </c>
      <c r="Q789">
        <v>1</v>
      </c>
      <c r="R789" t="s">
        <v>393</v>
      </c>
      <c r="S789">
        <v>1</v>
      </c>
      <c r="T789" t="s">
        <v>436</v>
      </c>
      <c r="U789">
        <v>1</v>
      </c>
    </row>
    <row r="790" spans="1:21" x14ac:dyDescent="0.25">
      <c r="A790" t="s">
        <v>758</v>
      </c>
      <c r="B790" t="s">
        <v>719</v>
      </c>
      <c r="C790" t="s">
        <v>535</v>
      </c>
      <c r="D790" s="2" t="s">
        <v>354</v>
      </c>
      <c r="E790" s="2" t="s">
        <v>533</v>
      </c>
      <c r="I790">
        <v>1</v>
      </c>
      <c r="K790">
        <v>1</v>
      </c>
      <c r="O790" t="s">
        <v>486</v>
      </c>
      <c r="P790" t="s">
        <v>464</v>
      </c>
      <c r="Q790">
        <v>1</v>
      </c>
      <c r="R790" t="s">
        <v>393</v>
      </c>
      <c r="S790">
        <v>1</v>
      </c>
      <c r="T790" t="s">
        <v>436</v>
      </c>
      <c r="U790">
        <v>1</v>
      </c>
    </row>
    <row r="791" spans="1:21" x14ac:dyDescent="0.25">
      <c r="A791" t="s">
        <v>758</v>
      </c>
      <c r="B791" t="s">
        <v>719</v>
      </c>
      <c r="C791" t="s">
        <v>536</v>
      </c>
      <c r="D791" s="2" t="s">
        <v>357</v>
      </c>
      <c r="E791" s="2" t="s">
        <v>533</v>
      </c>
      <c r="I791">
        <v>1</v>
      </c>
      <c r="K791">
        <v>1</v>
      </c>
      <c r="O791" t="s">
        <v>486</v>
      </c>
      <c r="P791" t="s">
        <v>465</v>
      </c>
      <c r="Q791">
        <v>1</v>
      </c>
      <c r="R791" t="s">
        <v>393</v>
      </c>
      <c r="S791">
        <v>1</v>
      </c>
      <c r="T791" t="s">
        <v>436</v>
      </c>
      <c r="U791">
        <v>1</v>
      </c>
    </row>
    <row r="792" spans="1:21" x14ac:dyDescent="0.25">
      <c r="A792" t="s">
        <v>758</v>
      </c>
      <c r="B792" t="s">
        <v>720</v>
      </c>
      <c r="C792" t="s">
        <v>537</v>
      </c>
      <c r="D792" s="2" t="s">
        <v>357</v>
      </c>
      <c r="E792" s="2" t="s">
        <v>533</v>
      </c>
      <c r="I792">
        <v>1</v>
      </c>
      <c r="K792">
        <v>1</v>
      </c>
      <c r="O792" t="s">
        <v>488</v>
      </c>
      <c r="P792" t="s">
        <v>465</v>
      </c>
      <c r="Q792">
        <v>1</v>
      </c>
      <c r="R792" t="s">
        <v>393</v>
      </c>
      <c r="S792">
        <v>1</v>
      </c>
      <c r="T792" t="s">
        <v>436</v>
      </c>
      <c r="U792">
        <v>1</v>
      </c>
    </row>
    <row r="793" spans="1:21" x14ac:dyDescent="0.25">
      <c r="A793" t="s">
        <v>758</v>
      </c>
      <c r="B793" t="s">
        <v>721</v>
      </c>
      <c r="C793" t="s">
        <v>538</v>
      </c>
      <c r="D793" s="2" t="s">
        <v>361</v>
      </c>
      <c r="E793" s="2" t="s">
        <v>533</v>
      </c>
      <c r="I793">
        <v>1</v>
      </c>
      <c r="K793">
        <v>1</v>
      </c>
      <c r="O793" t="s">
        <v>488</v>
      </c>
      <c r="P793" t="s">
        <v>397</v>
      </c>
      <c r="Q793">
        <v>1</v>
      </c>
      <c r="R793" t="s">
        <v>393</v>
      </c>
      <c r="S793">
        <v>1</v>
      </c>
      <c r="T793" t="s">
        <v>436</v>
      </c>
      <c r="U793">
        <v>1</v>
      </c>
    </row>
    <row r="794" spans="1:21" x14ac:dyDescent="0.25">
      <c r="A794" t="s">
        <v>758</v>
      </c>
      <c r="B794" t="s">
        <v>721</v>
      </c>
      <c r="C794" t="s">
        <v>491</v>
      </c>
      <c r="D794" s="2" t="s">
        <v>361</v>
      </c>
      <c r="E794" s="2" t="s">
        <v>533</v>
      </c>
      <c r="I794">
        <v>1</v>
      </c>
      <c r="K794">
        <v>1</v>
      </c>
      <c r="O794" t="s">
        <v>492</v>
      </c>
      <c r="P794" t="s">
        <v>397</v>
      </c>
      <c r="Q794">
        <v>1</v>
      </c>
      <c r="R794" t="s">
        <v>393</v>
      </c>
      <c r="S794">
        <v>1</v>
      </c>
      <c r="T794" t="s">
        <v>436</v>
      </c>
      <c r="U794">
        <v>1</v>
      </c>
    </row>
    <row r="795" spans="1:21" x14ac:dyDescent="0.25">
      <c r="A795" t="s">
        <v>758</v>
      </c>
      <c r="B795" t="s">
        <v>722</v>
      </c>
      <c r="C795" t="s">
        <v>491</v>
      </c>
      <c r="D795" s="2" t="s">
        <v>361</v>
      </c>
      <c r="E795" s="2" t="s">
        <v>533</v>
      </c>
      <c r="I795">
        <v>1</v>
      </c>
      <c r="K795">
        <v>1</v>
      </c>
      <c r="O795" t="s">
        <v>493</v>
      </c>
      <c r="P795" t="s">
        <v>397</v>
      </c>
      <c r="Q795">
        <v>1</v>
      </c>
      <c r="R795" t="s">
        <v>393</v>
      </c>
      <c r="S795">
        <v>1</v>
      </c>
      <c r="T795" t="s">
        <v>436</v>
      </c>
      <c r="U795">
        <v>1</v>
      </c>
    </row>
    <row r="796" spans="1:21" x14ac:dyDescent="0.25">
      <c r="A796" t="s">
        <v>758</v>
      </c>
      <c r="B796" t="s">
        <v>722</v>
      </c>
      <c r="C796" t="s">
        <v>539</v>
      </c>
      <c r="D796" s="2" t="s">
        <v>361</v>
      </c>
      <c r="E796" s="2" t="s">
        <v>533</v>
      </c>
      <c r="I796">
        <v>1</v>
      </c>
      <c r="K796">
        <v>1</v>
      </c>
      <c r="O796" t="s">
        <v>495</v>
      </c>
      <c r="P796" t="s">
        <v>397</v>
      </c>
      <c r="Q796">
        <v>1</v>
      </c>
      <c r="R796" t="s">
        <v>393</v>
      </c>
      <c r="S796">
        <v>1</v>
      </c>
      <c r="T796" t="s">
        <v>436</v>
      </c>
      <c r="U796">
        <v>1</v>
      </c>
    </row>
    <row r="797" spans="1:21" x14ac:dyDescent="0.25">
      <c r="A797" t="s">
        <v>758</v>
      </c>
      <c r="B797" t="s">
        <v>718</v>
      </c>
      <c r="C797" t="s">
        <v>529</v>
      </c>
      <c r="D797" s="2" t="s">
        <v>342</v>
      </c>
      <c r="E797" t="s">
        <v>338</v>
      </c>
      <c r="I797">
        <v>1</v>
      </c>
      <c r="K797">
        <v>1</v>
      </c>
      <c r="O797" t="s">
        <v>476</v>
      </c>
      <c r="P797" t="s">
        <v>446</v>
      </c>
      <c r="Q797">
        <v>1</v>
      </c>
      <c r="R797" t="s">
        <v>364</v>
      </c>
      <c r="S797">
        <v>1</v>
      </c>
    </row>
    <row r="798" spans="1:21" x14ac:dyDescent="0.25">
      <c r="A798" t="s">
        <v>758</v>
      </c>
      <c r="B798" t="s">
        <v>718</v>
      </c>
      <c r="C798" t="s">
        <v>530</v>
      </c>
      <c r="D798" s="2" t="s">
        <v>342</v>
      </c>
      <c r="E798" t="s">
        <v>338</v>
      </c>
      <c r="I798">
        <v>1</v>
      </c>
      <c r="K798">
        <v>1</v>
      </c>
      <c r="O798" t="s">
        <v>480</v>
      </c>
      <c r="P798" t="s">
        <v>446</v>
      </c>
      <c r="Q798">
        <v>1</v>
      </c>
      <c r="R798" t="s">
        <v>364</v>
      </c>
      <c r="S798">
        <v>1</v>
      </c>
    </row>
    <row r="799" spans="1:21" x14ac:dyDescent="0.25">
      <c r="A799" t="s">
        <v>758</v>
      </c>
      <c r="B799" t="s">
        <v>718</v>
      </c>
      <c r="C799" t="s">
        <v>344</v>
      </c>
      <c r="D799" s="2" t="s">
        <v>345</v>
      </c>
      <c r="E799" t="s">
        <v>338</v>
      </c>
      <c r="I799">
        <v>1</v>
      </c>
      <c r="K799">
        <v>1</v>
      </c>
      <c r="O799" t="s">
        <v>480</v>
      </c>
      <c r="P799" t="s">
        <v>447</v>
      </c>
      <c r="Q799">
        <v>1</v>
      </c>
      <c r="R799" t="s">
        <v>364</v>
      </c>
      <c r="S799">
        <v>1</v>
      </c>
    </row>
    <row r="800" spans="1:21" x14ac:dyDescent="0.25">
      <c r="A800" t="s">
        <v>758</v>
      </c>
      <c r="B800" t="s">
        <v>718</v>
      </c>
      <c r="C800" t="s">
        <v>531</v>
      </c>
      <c r="D800" s="2" t="s">
        <v>348</v>
      </c>
      <c r="E800" t="s">
        <v>338</v>
      </c>
      <c r="I800">
        <v>1</v>
      </c>
      <c r="K800">
        <v>1</v>
      </c>
      <c r="O800" t="s">
        <v>480</v>
      </c>
      <c r="P800" t="s">
        <v>448</v>
      </c>
      <c r="Q800">
        <v>1</v>
      </c>
      <c r="R800" t="s">
        <v>364</v>
      </c>
      <c r="S800">
        <v>1</v>
      </c>
    </row>
    <row r="801" spans="1:21" x14ac:dyDescent="0.25">
      <c r="A801" t="s">
        <v>758</v>
      </c>
      <c r="B801" t="s">
        <v>718</v>
      </c>
      <c r="C801" t="s">
        <v>532</v>
      </c>
      <c r="D801" s="2" t="s">
        <v>348</v>
      </c>
      <c r="E801" t="s">
        <v>338</v>
      </c>
      <c r="I801">
        <v>1</v>
      </c>
      <c r="K801">
        <v>1</v>
      </c>
      <c r="O801" t="s">
        <v>482</v>
      </c>
      <c r="P801" t="s">
        <v>448</v>
      </c>
      <c r="Q801">
        <v>1</v>
      </c>
      <c r="R801" t="s">
        <v>364</v>
      </c>
      <c r="S801">
        <v>1</v>
      </c>
    </row>
    <row r="802" spans="1:21" x14ac:dyDescent="0.25">
      <c r="A802" t="s">
        <v>758</v>
      </c>
      <c r="B802" t="s">
        <v>718</v>
      </c>
      <c r="C802" t="s">
        <v>350</v>
      </c>
      <c r="D802" s="2" t="s">
        <v>351</v>
      </c>
      <c r="E802" t="s">
        <v>338</v>
      </c>
      <c r="I802">
        <v>1</v>
      </c>
      <c r="K802">
        <v>1</v>
      </c>
      <c r="O802" t="s">
        <v>482</v>
      </c>
      <c r="P802" t="s">
        <v>449</v>
      </c>
      <c r="Q802">
        <v>1</v>
      </c>
      <c r="R802" t="s">
        <v>364</v>
      </c>
      <c r="S802">
        <v>1</v>
      </c>
    </row>
    <row r="803" spans="1:21" x14ac:dyDescent="0.25">
      <c r="A803" t="s">
        <v>758</v>
      </c>
      <c r="B803" t="s">
        <v>718</v>
      </c>
      <c r="C803" t="s">
        <v>534</v>
      </c>
      <c r="D803" s="2" t="s">
        <v>354</v>
      </c>
      <c r="E803" t="s">
        <v>338</v>
      </c>
      <c r="I803">
        <v>1</v>
      </c>
      <c r="K803">
        <v>1</v>
      </c>
      <c r="O803" t="s">
        <v>482</v>
      </c>
      <c r="P803" t="s">
        <v>450</v>
      </c>
      <c r="Q803">
        <v>1</v>
      </c>
      <c r="R803" t="s">
        <v>364</v>
      </c>
      <c r="S803">
        <v>1</v>
      </c>
    </row>
    <row r="804" spans="1:21" x14ac:dyDescent="0.25">
      <c r="A804" t="s">
        <v>758</v>
      </c>
      <c r="B804" t="s">
        <v>719</v>
      </c>
      <c r="C804" t="s">
        <v>483</v>
      </c>
      <c r="D804" s="2" t="s">
        <v>354</v>
      </c>
      <c r="E804" t="s">
        <v>338</v>
      </c>
      <c r="I804">
        <v>1</v>
      </c>
      <c r="K804">
        <v>1</v>
      </c>
      <c r="O804" t="s">
        <v>484</v>
      </c>
      <c r="P804" t="s">
        <v>450</v>
      </c>
      <c r="Q804">
        <v>1</v>
      </c>
      <c r="R804" t="s">
        <v>364</v>
      </c>
      <c r="S804">
        <v>1</v>
      </c>
    </row>
    <row r="805" spans="1:21" x14ac:dyDescent="0.25">
      <c r="A805" t="s">
        <v>758</v>
      </c>
      <c r="B805" t="s">
        <v>719</v>
      </c>
      <c r="C805" t="s">
        <v>535</v>
      </c>
      <c r="D805" s="2" t="s">
        <v>354</v>
      </c>
      <c r="E805" t="s">
        <v>338</v>
      </c>
      <c r="I805">
        <v>1</v>
      </c>
      <c r="K805">
        <v>1</v>
      </c>
      <c r="O805" t="s">
        <v>486</v>
      </c>
      <c r="P805" t="s">
        <v>450</v>
      </c>
      <c r="Q805">
        <v>1</v>
      </c>
      <c r="R805" t="s">
        <v>364</v>
      </c>
      <c r="S805">
        <v>1</v>
      </c>
    </row>
    <row r="806" spans="1:21" x14ac:dyDescent="0.25">
      <c r="A806" t="s">
        <v>758</v>
      </c>
      <c r="B806" t="s">
        <v>719</v>
      </c>
      <c r="C806" t="s">
        <v>536</v>
      </c>
      <c r="D806" s="2" t="s">
        <v>357</v>
      </c>
      <c r="E806" t="s">
        <v>338</v>
      </c>
      <c r="I806">
        <v>1</v>
      </c>
      <c r="K806">
        <v>1</v>
      </c>
      <c r="O806" t="s">
        <v>486</v>
      </c>
      <c r="P806" t="s">
        <v>451</v>
      </c>
      <c r="Q806">
        <v>1</v>
      </c>
      <c r="R806" t="s">
        <v>364</v>
      </c>
      <c r="S806">
        <v>1</v>
      </c>
    </row>
    <row r="807" spans="1:21" x14ac:dyDescent="0.25">
      <c r="A807" t="s">
        <v>758</v>
      </c>
      <c r="B807" t="s">
        <v>720</v>
      </c>
      <c r="C807" t="s">
        <v>537</v>
      </c>
      <c r="D807" s="2" t="s">
        <v>357</v>
      </c>
      <c r="E807" t="s">
        <v>338</v>
      </c>
      <c r="I807">
        <v>1</v>
      </c>
      <c r="K807">
        <v>1</v>
      </c>
      <c r="O807" t="s">
        <v>488</v>
      </c>
      <c r="P807" t="s">
        <v>451</v>
      </c>
      <c r="Q807">
        <v>1</v>
      </c>
      <c r="R807" t="s">
        <v>364</v>
      </c>
      <c r="S807">
        <v>1</v>
      </c>
    </row>
    <row r="808" spans="1:21" x14ac:dyDescent="0.25">
      <c r="A808" t="s">
        <v>758</v>
      </c>
      <c r="B808" t="s">
        <v>721</v>
      </c>
      <c r="C808" t="s">
        <v>538</v>
      </c>
      <c r="D808" s="2" t="s">
        <v>361</v>
      </c>
      <c r="E808" t="s">
        <v>338</v>
      </c>
      <c r="I808">
        <v>1</v>
      </c>
      <c r="K808">
        <v>1</v>
      </c>
      <c r="O808" t="s">
        <v>488</v>
      </c>
      <c r="P808" t="s">
        <v>452</v>
      </c>
      <c r="Q808">
        <v>1</v>
      </c>
      <c r="R808" t="s">
        <v>364</v>
      </c>
      <c r="S808">
        <v>1</v>
      </c>
    </row>
    <row r="809" spans="1:21" x14ac:dyDescent="0.25">
      <c r="A809" t="s">
        <v>758</v>
      </c>
      <c r="B809" t="s">
        <v>721</v>
      </c>
      <c r="C809" t="s">
        <v>491</v>
      </c>
      <c r="D809" s="2" t="s">
        <v>361</v>
      </c>
      <c r="E809" t="s">
        <v>338</v>
      </c>
      <c r="I809">
        <v>1</v>
      </c>
      <c r="K809">
        <v>1</v>
      </c>
      <c r="O809" t="s">
        <v>492</v>
      </c>
      <c r="P809" t="s">
        <v>452</v>
      </c>
      <c r="Q809">
        <v>1</v>
      </c>
      <c r="R809" t="s">
        <v>364</v>
      </c>
      <c r="S809">
        <v>1</v>
      </c>
    </row>
    <row r="810" spans="1:21" x14ac:dyDescent="0.25">
      <c r="A810" t="s">
        <v>758</v>
      </c>
      <c r="B810" t="s">
        <v>722</v>
      </c>
      <c r="C810" t="s">
        <v>491</v>
      </c>
      <c r="D810" s="2" t="s">
        <v>361</v>
      </c>
      <c r="E810" t="s">
        <v>338</v>
      </c>
      <c r="I810">
        <v>1</v>
      </c>
      <c r="K810">
        <v>1</v>
      </c>
      <c r="O810" t="s">
        <v>493</v>
      </c>
      <c r="P810" t="s">
        <v>452</v>
      </c>
      <c r="Q810">
        <v>1</v>
      </c>
      <c r="R810" t="s">
        <v>364</v>
      </c>
      <c r="S810">
        <v>1</v>
      </c>
    </row>
    <row r="811" spans="1:21" x14ac:dyDescent="0.25">
      <c r="A811" t="s">
        <v>758</v>
      </c>
      <c r="B811" t="s">
        <v>722</v>
      </c>
      <c r="C811" t="s">
        <v>539</v>
      </c>
      <c r="D811" s="2" t="s">
        <v>361</v>
      </c>
      <c r="E811" t="s">
        <v>338</v>
      </c>
      <c r="I811">
        <v>1</v>
      </c>
      <c r="K811">
        <v>1</v>
      </c>
      <c r="O811" t="s">
        <v>495</v>
      </c>
      <c r="P811" t="s">
        <v>452</v>
      </c>
      <c r="Q811">
        <v>1</v>
      </c>
      <c r="R811" t="s">
        <v>364</v>
      </c>
      <c r="S811">
        <v>1</v>
      </c>
    </row>
    <row r="812" spans="1:21" x14ac:dyDescent="0.25">
      <c r="A812" t="s">
        <v>758</v>
      </c>
      <c r="B812" t="s">
        <v>723</v>
      </c>
      <c r="C812" t="s">
        <v>373</v>
      </c>
      <c r="D812" s="2" t="s">
        <v>374</v>
      </c>
      <c r="E812" s="2" t="s">
        <v>533</v>
      </c>
      <c r="I812">
        <v>1</v>
      </c>
      <c r="K812">
        <v>1</v>
      </c>
      <c r="O812" t="s">
        <v>497</v>
      </c>
      <c r="P812" t="s">
        <v>467</v>
      </c>
      <c r="Q812">
        <v>1</v>
      </c>
      <c r="R812" t="s">
        <v>393</v>
      </c>
      <c r="S812">
        <v>1</v>
      </c>
      <c r="T812" t="s">
        <v>436</v>
      </c>
      <c r="U812">
        <v>1</v>
      </c>
    </row>
    <row r="813" spans="1:21" x14ac:dyDescent="0.25">
      <c r="A813" t="s">
        <v>758</v>
      </c>
      <c r="B813" t="s">
        <v>724</v>
      </c>
      <c r="C813" t="s">
        <v>540</v>
      </c>
      <c r="D813" s="2" t="s">
        <v>378</v>
      </c>
      <c r="E813" s="2" t="s">
        <v>533</v>
      </c>
      <c r="I813">
        <v>1</v>
      </c>
      <c r="K813">
        <v>1</v>
      </c>
      <c r="O813" t="s">
        <v>497</v>
      </c>
      <c r="P813" t="s">
        <v>468</v>
      </c>
      <c r="Q813">
        <v>1</v>
      </c>
      <c r="R813" t="s">
        <v>393</v>
      </c>
      <c r="S813">
        <v>1</v>
      </c>
      <c r="T813" t="s">
        <v>436</v>
      </c>
      <c r="U813">
        <v>1</v>
      </c>
    </row>
    <row r="814" spans="1:21" x14ac:dyDescent="0.25">
      <c r="A814" t="s">
        <v>758</v>
      </c>
      <c r="B814" t="s">
        <v>724</v>
      </c>
      <c r="C814" t="s">
        <v>540</v>
      </c>
      <c r="D814" s="2" t="s">
        <v>378</v>
      </c>
      <c r="E814" s="2" t="s">
        <v>533</v>
      </c>
      <c r="I814">
        <v>1</v>
      </c>
      <c r="K814">
        <v>1</v>
      </c>
      <c r="O814" t="s">
        <v>500</v>
      </c>
      <c r="P814" t="s">
        <v>468</v>
      </c>
      <c r="Q814">
        <v>1</v>
      </c>
      <c r="R814" t="s">
        <v>393</v>
      </c>
      <c r="S814">
        <v>1</v>
      </c>
      <c r="T814" t="s">
        <v>436</v>
      </c>
      <c r="U814">
        <v>1</v>
      </c>
    </row>
    <row r="815" spans="1:21" x14ac:dyDescent="0.25">
      <c r="A815" t="s">
        <v>758</v>
      </c>
      <c r="B815" t="s">
        <v>724</v>
      </c>
      <c r="C815" t="s">
        <v>541</v>
      </c>
      <c r="D815" s="2" t="s">
        <v>378</v>
      </c>
      <c r="E815" s="2" t="s">
        <v>533</v>
      </c>
      <c r="I815">
        <v>1</v>
      </c>
      <c r="K815">
        <v>1</v>
      </c>
      <c r="O815" t="s">
        <v>502</v>
      </c>
      <c r="P815" t="s">
        <v>468</v>
      </c>
      <c r="Q815">
        <v>1</v>
      </c>
      <c r="R815" t="s">
        <v>393</v>
      </c>
      <c r="S815">
        <v>1</v>
      </c>
      <c r="T815" t="s">
        <v>436</v>
      </c>
      <c r="U815">
        <v>1</v>
      </c>
    </row>
    <row r="816" spans="1:21" x14ac:dyDescent="0.25">
      <c r="A816" t="s">
        <v>758</v>
      </c>
      <c r="B816" t="s">
        <v>725</v>
      </c>
      <c r="C816" t="s">
        <v>542</v>
      </c>
      <c r="D816" s="2" t="s">
        <v>382</v>
      </c>
      <c r="E816" s="2" t="s">
        <v>533</v>
      </c>
      <c r="I816">
        <v>1</v>
      </c>
      <c r="K816">
        <v>1</v>
      </c>
      <c r="O816" t="s">
        <v>502</v>
      </c>
      <c r="P816" t="s">
        <v>429</v>
      </c>
      <c r="Q816">
        <v>1</v>
      </c>
      <c r="R816" t="s">
        <v>393</v>
      </c>
      <c r="S816">
        <v>1</v>
      </c>
      <c r="T816" t="s">
        <v>436</v>
      </c>
      <c r="U816">
        <v>1</v>
      </c>
    </row>
    <row r="817" spans="1:21" x14ac:dyDescent="0.25">
      <c r="A817" t="s">
        <v>758</v>
      </c>
      <c r="B817" t="s">
        <v>725</v>
      </c>
      <c r="C817" t="s">
        <v>503</v>
      </c>
      <c r="D817" s="2" t="s">
        <v>382</v>
      </c>
      <c r="E817" s="2" t="s">
        <v>533</v>
      </c>
      <c r="I817">
        <v>1</v>
      </c>
      <c r="K817">
        <v>1</v>
      </c>
      <c r="O817" t="s">
        <v>504</v>
      </c>
      <c r="P817" t="s">
        <v>429</v>
      </c>
      <c r="Q817">
        <v>1</v>
      </c>
      <c r="R817" t="s">
        <v>393</v>
      </c>
      <c r="S817">
        <v>1</v>
      </c>
      <c r="T817" t="s">
        <v>436</v>
      </c>
      <c r="U817">
        <v>1</v>
      </c>
    </row>
    <row r="818" spans="1:21" x14ac:dyDescent="0.25">
      <c r="A818" t="s">
        <v>758</v>
      </c>
      <c r="B818" t="s">
        <v>726</v>
      </c>
      <c r="C818" t="s">
        <v>543</v>
      </c>
      <c r="D818" s="2" t="s">
        <v>382</v>
      </c>
      <c r="E818" s="2" t="s">
        <v>533</v>
      </c>
      <c r="I818">
        <v>1</v>
      </c>
      <c r="K818">
        <v>1</v>
      </c>
      <c r="O818" t="s">
        <v>506</v>
      </c>
      <c r="P818" t="s">
        <v>429</v>
      </c>
      <c r="Q818">
        <v>1</v>
      </c>
      <c r="R818" t="s">
        <v>393</v>
      </c>
      <c r="S818">
        <v>1</v>
      </c>
      <c r="T818" t="s">
        <v>436</v>
      </c>
      <c r="U818">
        <v>1</v>
      </c>
    </row>
    <row r="819" spans="1:21" x14ac:dyDescent="0.25">
      <c r="A819" t="s">
        <v>758</v>
      </c>
      <c r="B819" t="s">
        <v>727</v>
      </c>
      <c r="C819" t="s">
        <v>544</v>
      </c>
      <c r="D819" s="2" t="s">
        <v>386</v>
      </c>
      <c r="E819" t="s">
        <v>545</v>
      </c>
      <c r="I819">
        <v>1</v>
      </c>
      <c r="K819">
        <v>1</v>
      </c>
      <c r="O819" t="s">
        <v>506</v>
      </c>
      <c r="P819" t="s">
        <v>457</v>
      </c>
      <c r="Q819">
        <v>1</v>
      </c>
      <c r="R819" t="s">
        <v>393</v>
      </c>
      <c r="S819">
        <v>1</v>
      </c>
      <c r="T819" t="s">
        <v>436</v>
      </c>
      <c r="U819">
        <v>1</v>
      </c>
    </row>
    <row r="820" spans="1:21" x14ac:dyDescent="0.25">
      <c r="A820" t="s">
        <v>758</v>
      </c>
      <c r="B820" t="s">
        <v>727</v>
      </c>
      <c r="C820" t="s">
        <v>544</v>
      </c>
      <c r="D820" s="2" t="s">
        <v>386</v>
      </c>
      <c r="E820" s="2" t="s">
        <v>533</v>
      </c>
      <c r="I820">
        <v>1</v>
      </c>
      <c r="K820">
        <v>1</v>
      </c>
      <c r="O820" t="s">
        <v>506</v>
      </c>
      <c r="P820" t="s">
        <v>469</v>
      </c>
      <c r="Q820">
        <v>1</v>
      </c>
      <c r="R820" t="s">
        <v>393</v>
      </c>
      <c r="S820">
        <v>1</v>
      </c>
      <c r="T820" t="s">
        <v>436</v>
      </c>
      <c r="U820">
        <v>1</v>
      </c>
    </row>
    <row r="821" spans="1:21" x14ac:dyDescent="0.25">
      <c r="A821" t="s">
        <v>758</v>
      </c>
      <c r="B821" t="s">
        <v>727</v>
      </c>
      <c r="C821" t="s">
        <v>507</v>
      </c>
      <c r="D821" s="2" t="s">
        <v>386</v>
      </c>
      <c r="E821" t="s">
        <v>545</v>
      </c>
      <c r="I821">
        <v>1</v>
      </c>
      <c r="K821">
        <v>1</v>
      </c>
      <c r="O821" t="s">
        <v>508</v>
      </c>
      <c r="P821" t="s">
        <v>457</v>
      </c>
      <c r="Q821">
        <v>1</v>
      </c>
      <c r="R821" t="s">
        <v>393</v>
      </c>
      <c r="S821">
        <v>1</v>
      </c>
      <c r="T821" t="s">
        <v>436</v>
      </c>
      <c r="U821">
        <v>1</v>
      </c>
    </row>
    <row r="822" spans="1:21" x14ac:dyDescent="0.25">
      <c r="A822" t="s">
        <v>758</v>
      </c>
      <c r="B822" t="s">
        <v>727</v>
      </c>
      <c r="C822" t="s">
        <v>507</v>
      </c>
      <c r="D822" s="2" t="s">
        <v>386</v>
      </c>
      <c r="E822" s="2" t="s">
        <v>533</v>
      </c>
      <c r="I822">
        <v>1</v>
      </c>
      <c r="K822">
        <v>1</v>
      </c>
      <c r="O822" t="s">
        <v>508</v>
      </c>
      <c r="P822" t="s">
        <v>469</v>
      </c>
      <c r="Q822">
        <v>1</v>
      </c>
      <c r="R822" t="s">
        <v>393</v>
      </c>
      <c r="S822">
        <v>1</v>
      </c>
      <c r="T822" t="s">
        <v>436</v>
      </c>
      <c r="U822">
        <v>1</v>
      </c>
    </row>
    <row r="823" spans="1:21" x14ac:dyDescent="0.25">
      <c r="A823" t="s">
        <v>758</v>
      </c>
      <c r="B823" t="s">
        <v>727</v>
      </c>
      <c r="C823" t="s">
        <v>507</v>
      </c>
      <c r="D823" s="2" t="s">
        <v>386</v>
      </c>
      <c r="E823" t="s">
        <v>545</v>
      </c>
      <c r="I823">
        <v>1</v>
      </c>
      <c r="K823">
        <v>1</v>
      </c>
      <c r="O823" t="s">
        <v>509</v>
      </c>
      <c r="P823" t="s">
        <v>457</v>
      </c>
      <c r="Q823">
        <v>1</v>
      </c>
      <c r="R823" t="s">
        <v>393</v>
      </c>
      <c r="S823">
        <v>1</v>
      </c>
      <c r="T823" t="s">
        <v>436</v>
      </c>
      <c r="U823">
        <v>1</v>
      </c>
    </row>
    <row r="824" spans="1:21" x14ac:dyDescent="0.25">
      <c r="A824" t="s">
        <v>758</v>
      </c>
      <c r="B824" t="s">
        <v>727</v>
      </c>
      <c r="C824" t="s">
        <v>507</v>
      </c>
      <c r="D824" s="2" t="s">
        <v>386</v>
      </c>
      <c r="E824" s="2" t="s">
        <v>533</v>
      </c>
      <c r="I824">
        <v>1</v>
      </c>
      <c r="K824">
        <v>1</v>
      </c>
      <c r="O824" t="s">
        <v>509</v>
      </c>
      <c r="P824" t="s">
        <v>469</v>
      </c>
      <c r="Q824">
        <v>1</v>
      </c>
      <c r="R824" t="s">
        <v>393</v>
      </c>
      <c r="S824">
        <v>1</v>
      </c>
      <c r="T824" t="s">
        <v>436</v>
      </c>
      <c r="U824">
        <v>1</v>
      </c>
    </row>
    <row r="825" spans="1:21" x14ac:dyDescent="0.25">
      <c r="A825" t="s">
        <v>758</v>
      </c>
      <c r="B825" t="s">
        <v>729</v>
      </c>
      <c r="C825" t="s">
        <v>547</v>
      </c>
      <c r="D825" s="2" t="s">
        <v>404</v>
      </c>
      <c r="E825" t="s">
        <v>545</v>
      </c>
      <c r="I825">
        <v>1</v>
      </c>
      <c r="K825">
        <v>1</v>
      </c>
      <c r="O825" t="s">
        <v>511</v>
      </c>
      <c r="P825" t="s">
        <v>458</v>
      </c>
      <c r="Q825">
        <v>1</v>
      </c>
      <c r="R825" t="s">
        <v>393</v>
      </c>
      <c r="S825">
        <v>1</v>
      </c>
      <c r="T825" t="s">
        <v>436</v>
      </c>
      <c r="U825">
        <v>1</v>
      </c>
    </row>
    <row r="826" spans="1:21" x14ac:dyDescent="0.25">
      <c r="A826" t="s">
        <v>758</v>
      </c>
      <c r="B826" t="s">
        <v>729</v>
      </c>
      <c r="C826" t="s">
        <v>547</v>
      </c>
      <c r="D826" s="2" t="s">
        <v>404</v>
      </c>
      <c r="E826" s="2" t="s">
        <v>533</v>
      </c>
      <c r="I826">
        <v>1</v>
      </c>
      <c r="K826">
        <v>1</v>
      </c>
      <c r="O826" t="s">
        <v>511</v>
      </c>
      <c r="P826" t="s">
        <v>470</v>
      </c>
      <c r="Q826">
        <v>1</v>
      </c>
      <c r="R826" t="s">
        <v>393</v>
      </c>
      <c r="S826">
        <v>1</v>
      </c>
      <c r="T826" t="s">
        <v>436</v>
      </c>
      <c r="U826">
        <v>1</v>
      </c>
    </row>
    <row r="827" spans="1:21" x14ac:dyDescent="0.25">
      <c r="A827" t="s">
        <v>758</v>
      </c>
      <c r="B827" t="s">
        <v>730</v>
      </c>
      <c r="C827" t="s">
        <v>513</v>
      </c>
      <c r="D827" s="2" t="s">
        <v>404</v>
      </c>
      <c r="E827" t="s">
        <v>545</v>
      </c>
      <c r="I827">
        <v>1</v>
      </c>
      <c r="K827">
        <v>1</v>
      </c>
      <c r="O827" t="s">
        <v>514</v>
      </c>
      <c r="P827" t="s">
        <v>458</v>
      </c>
      <c r="Q827">
        <v>1</v>
      </c>
      <c r="R827" t="s">
        <v>393</v>
      </c>
      <c r="S827">
        <v>1</v>
      </c>
      <c r="T827" t="s">
        <v>436</v>
      </c>
      <c r="U827">
        <v>1</v>
      </c>
    </row>
    <row r="828" spans="1:21" x14ac:dyDescent="0.25">
      <c r="A828" t="s">
        <v>758</v>
      </c>
      <c r="B828" t="s">
        <v>731</v>
      </c>
      <c r="C828" t="s">
        <v>548</v>
      </c>
      <c r="D828" s="2" t="s">
        <v>404</v>
      </c>
      <c r="E828" t="s">
        <v>545</v>
      </c>
      <c r="I828">
        <v>1</v>
      </c>
      <c r="K828">
        <v>1</v>
      </c>
      <c r="O828" t="s">
        <v>517</v>
      </c>
      <c r="P828" t="s">
        <v>458</v>
      </c>
      <c r="Q828">
        <v>1</v>
      </c>
      <c r="R828" t="s">
        <v>393</v>
      </c>
      <c r="S828">
        <v>1</v>
      </c>
      <c r="T828" t="s">
        <v>436</v>
      </c>
      <c r="U828">
        <v>1</v>
      </c>
    </row>
    <row r="829" spans="1:21" x14ac:dyDescent="0.25">
      <c r="A829" t="s">
        <v>758</v>
      </c>
      <c r="B829" t="s">
        <v>732</v>
      </c>
      <c r="C829" t="s">
        <v>407</v>
      </c>
      <c r="D829" s="2" t="s">
        <v>408</v>
      </c>
      <c r="E829" t="s">
        <v>545</v>
      </c>
      <c r="I829">
        <v>1</v>
      </c>
      <c r="K829">
        <v>1</v>
      </c>
      <c r="O829" t="s">
        <v>517</v>
      </c>
      <c r="P829" t="s">
        <v>459</v>
      </c>
      <c r="Q829">
        <v>1</v>
      </c>
      <c r="R829" t="s">
        <v>393</v>
      </c>
      <c r="S829">
        <v>1</v>
      </c>
      <c r="T829" t="s">
        <v>436</v>
      </c>
      <c r="U829">
        <v>1</v>
      </c>
    </row>
    <row r="830" spans="1:21" x14ac:dyDescent="0.25">
      <c r="A830" t="s">
        <v>758</v>
      </c>
      <c r="B830" t="s">
        <v>733</v>
      </c>
      <c r="C830" t="s">
        <v>549</v>
      </c>
      <c r="D830" s="2" t="s">
        <v>412</v>
      </c>
      <c r="E830" t="s">
        <v>545</v>
      </c>
      <c r="I830">
        <v>1</v>
      </c>
      <c r="K830">
        <v>1</v>
      </c>
      <c r="O830" t="s">
        <v>517</v>
      </c>
      <c r="P830" t="s">
        <v>460</v>
      </c>
      <c r="Q830">
        <v>1</v>
      </c>
      <c r="R830" t="s">
        <v>393</v>
      </c>
      <c r="S830">
        <v>1</v>
      </c>
      <c r="T830" t="s">
        <v>436</v>
      </c>
      <c r="U830">
        <v>1</v>
      </c>
    </row>
    <row r="831" spans="1:21" x14ac:dyDescent="0.25">
      <c r="A831" t="s">
        <v>758</v>
      </c>
      <c r="B831" t="s">
        <v>734</v>
      </c>
      <c r="C831" t="s">
        <v>550</v>
      </c>
      <c r="D831" s="2" t="s">
        <v>412</v>
      </c>
      <c r="E831" t="s">
        <v>545</v>
      </c>
      <c r="I831">
        <v>1</v>
      </c>
      <c r="K831">
        <v>1</v>
      </c>
      <c r="O831" t="s">
        <v>519</v>
      </c>
      <c r="P831" t="s">
        <v>460</v>
      </c>
      <c r="Q831">
        <v>1</v>
      </c>
      <c r="R831" t="s">
        <v>393</v>
      </c>
      <c r="S831">
        <v>1</v>
      </c>
      <c r="T831" t="s">
        <v>436</v>
      </c>
      <c r="U831">
        <v>1</v>
      </c>
    </row>
    <row r="832" spans="1:21" x14ac:dyDescent="0.25">
      <c r="A832" t="s">
        <v>758</v>
      </c>
      <c r="B832" t="s">
        <v>735</v>
      </c>
      <c r="C832" t="s">
        <v>551</v>
      </c>
      <c r="D832" s="2" t="s">
        <v>416</v>
      </c>
      <c r="E832" t="s">
        <v>545</v>
      </c>
      <c r="I832">
        <v>1</v>
      </c>
      <c r="K832">
        <v>1</v>
      </c>
      <c r="O832" t="s">
        <v>519</v>
      </c>
      <c r="P832" t="s">
        <v>461</v>
      </c>
      <c r="Q832">
        <v>1</v>
      </c>
      <c r="R832" t="s">
        <v>393</v>
      </c>
      <c r="S832">
        <v>1</v>
      </c>
      <c r="T832" t="s">
        <v>436</v>
      </c>
      <c r="U832">
        <v>1</v>
      </c>
    </row>
    <row r="833" spans="1:21" x14ac:dyDescent="0.25">
      <c r="A833" t="s">
        <v>758</v>
      </c>
      <c r="B833" t="s">
        <v>736</v>
      </c>
      <c r="C833" t="s">
        <v>552</v>
      </c>
      <c r="D833" s="2" t="s">
        <v>416</v>
      </c>
      <c r="E833" t="s">
        <v>545</v>
      </c>
      <c r="I833">
        <v>1</v>
      </c>
      <c r="K833">
        <v>1</v>
      </c>
      <c r="O833" t="s">
        <v>521</v>
      </c>
      <c r="P833" t="s">
        <v>461</v>
      </c>
      <c r="Q833">
        <v>1</v>
      </c>
      <c r="R833" t="s">
        <v>393</v>
      </c>
      <c r="S833">
        <v>1</v>
      </c>
      <c r="T833" t="s">
        <v>436</v>
      </c>
      <c r="U833">
        <v>1</v>
      </c>
    </row>
    <row r="834" spans="1:21" x14ac:dyDescent="0.25">
      <c r="A834" t="s">
        <v>758</v>
      </c>
      <c r="B834" t="s">
        <v>737</v>
      </c>
      <c r="C834" t="s">
        <v>553</v>
      </c>
      <c r="D834" s="2" t="s">
        <v>420</v>
      </c>
      <c r="E834" t="s">
        <v>545</v>
      </c>
      <c r="I834">
        <v>1</v>
      </c>
      <c r="K834">
        <v>1</v>
      </c>
      <c r="O834" t="s">
        <v>521</v>
      </c>
      <c r="P834" t="s">
        <v>462</v>
      </c>
      <c r="Q834">
        <v>1</v>
      </c>
      <c r="R834" t="s">
        <v>393</v>
      </c>
      <c r="S834">
        <v>1</v>
      </c>
      <c r="T834" t="s">
        <v>436</v>
      </c>
      <c r="U834">
        <v>1</v>
      </c>
    </row>
    <row r="835" spans="1:21" x14ac:dyDescent="0.25">
      <c r="A835" t="s">
        <v>758</v>
      </c>
      <c r="B835" t="s">
        <v>738</v>
      </c>
      <c r="C835" t="s">
        <v>554</v>
      </c>
      <c r="D835" s="2" t="s">
        <v>420</v>
      </c>
      <c r="E835" t="s">
        <v>545</v>
      </c>
      <c r="I835">
        <v>1</v>
      </c>
      <c r="K835">
        <v>1</v>
      </c>
      <c r="O835" t="s">
        <v>524</v>
      </c>
      <c r="P835" t="s">
        <v>462</v>
      </c>
      <c r="Q835">
        <v>1</v>
      </c>
      <c r="R835" t="s">
        <v>393</v>
      </c>
      <c r="S835">
        <v>1</v>
      </c>
      <c r="T835" t="s">
        <v>436</v>
      </c>
      <c r="U835">
        <v>1</v>
      </c>
    </row>
    <row r="836" spans="1:21" x14ac:dyDescent="0.25">
      <c r="A836" t="s">
        <v>758</v>
      </c>
      <c r="B836" t="s">
        <v>730</v>
      </c>
      <c r="C836" t="s">
        <v>513</v>
      </c>
      <c r="D836" s="2" t="s">
        <v>404</v>
      </c>
      <c r="E836" s="2" t="s">
        <v>533</v>
      </c>
      <c r="I836">
        <v>1</v>
      </c>
      <c r="K836">
        <v>1</v>
      </c>
      <c r="O836" t="s">
        <v>514</v>
      </c>
      <c r="P836" t="s">
        <v>470</v>
      </c>
      <c r="Q836">
        <v>1</v>
      </c>
      <c r="R836" t="s">
        <v>393</v>
      </c>
      <c r="S836">
        <v>1</v>
      </c>
      <c r="T836" t="s">
        <v>436</v>
      </c>
      <c r="U836">
        <v>1</v>
      </c>
    </row>
    <row r="837" spans="1:21" x14ac:dyDescent="0.25">
      <c r="A837" t="s">
        <v>758</v>
      </c>
      <c r="B837" t="s">
        <v>731</v>
      </c>
      <c r="C837" t="s">
        <v>548</v>
      </c>
      <c r="D837" s="2" t="s">
        <v>404</v>
      </c>
      <c r="E837" s="2" t="s">
        <v>533</v>
      </c>
      <c r="I837">
        <v>1</v>
      </c>
      <c r="K837">
        <v>1</v>
      </c>
      <c r="O837" t="s">
        <v>517</v>
      </c>
      <c r="P837" t="s">
        <v>470</v>
      </c>
      <c r="Q837">
        <v>1</v>
      </c>
      <c r="R837" t="s">
        <v>393</v>
      </c>
      <c r="S837">
        <v>1</v>
      </c>
      <c r="T837" t="s">
        <v>436</v>
      </c>
      <c r="U837">
        <v>1</v>
      </c>
    </row>
    <row r="838" spans="1:21" x14ac:dyDescent="0.25">
      <c r="A838" t="s">
        <v>758</v>
      </c>
      <c r="B838" t="s">
        <v>732</v>
      </c>
      <c r="C838" t="s">
        <v>407</v>
      </c>
      <c r="D838" s="2" t="s">
        <v>408</v>
      </c>
      <c r="E838" s="2" t="s">
        <v>533</v>
      </c>
      <c r="I838">
        <v>1</v>
      </c>
      <c r="K838">
        <v>1</v>
      </c>
      <c r="O838" t="s">
        <v>517</v>
      </c>
      <c r="P838" t="s">
        <v>471</v>
      </c>
      <c r="Q838">
        <v>1</v>
      </c>
      <c r="R838" t="s">
        <v>393</v>
      </c>
      <c r="S838">
        <v>1</v>
      </c>
      <c r="T838" t="s">
        <v>436</v>
      </c>
      <c r="U838">
        <v>1</v>
      </c>
    </row>
    <row r="839" spans="1:21" x14ac:dyDescent="0.25">
      <c r="A839" t="s">
        <v>758</v>
      </c>
      <c r="B839" t="s">
        <v>733</v>
      </c>
      <c r="C839" t="s">
        <v>549</v>
      </c>
      <c r="D839" s="2" t="s">
        <v>412</v>
      </c>
      <c r="E839" s="2" t="s">
        <v>533</v>
      </c>
      <c r="I839">
        <v>1</v>
      </c>
      <c r="K839">
        <v>1</v>
      </c>
      <c r="O839" t="s">
        <v>517</v>
      </c>
      <c r="P839" t="s">
        <v>472</v>
      </c>
      <c r="Q839">
        <v>1</v>
      </c>
      <c r="R839" t="s">
        <v>393</v>
      </c>
      <c r="S839">
        <v>1</v>
      </c>
      <c r="T839" t="s">
        <v>436</v>
      </c>
      <c r="U839">
        <v>1</v>
      </c>
    </row>
    <row r="840" spans="1:21" x14ac:dyDescent="0.25">
      <c r="A840" t="s">
        <v>758</v>
      </c>
      <c r="B840" t="s">
        <v>734</v>
      </c>
      <c r="C840" t="s">
        <v>550</v>
      </c>
      <c r="D840" s="2" t="s">
        <v>412</v>
      </c>
      <c r="E840" s="2" t="s">
        <v>533</v>
      </c>
      <c r="I840">
        <v>1</v>
      </c>
      <c r="K840">
        <v>1</v>
      </c>
      <c r="O840" t="s">
        <v>519</v>
      </c>
      <c r="P840" t="s">
        <v>472</v>
      </c>
      <c r="Q840">
        <v>1</v>
      </c>
      <c r="R840" t="s">
        <v>393</v>
      </c>
      <c r="S840">
        <v>1</v>
      </c>
      <c r="T840" t="s">
        <v>436</v>
      </c>
      <c r="U840">
        <v>1</v>
      </c>
    </row>
    <row r="841" spans="1:21" x14ac:dyDescent="0.25">
      <c r="A841" t="s">
        <v>758</v>
      </c>
      <c r="B841" t="s">
        <v>735</v>
      </c>
      <c r="C841" t="s">
        <v>551</v>
      </c>
      <c r="D841" s="2" t="s">
        <v>416</v>
      </c>
      <c r="E841" s="2" t="s">
        <v>533</v>
      </c>
      <c r="I841">
        <v>1</v>
      </c>
      <c r="K841">
        <v>1</v>
      </c>
      <c r="O841" t="s">
        <v>519</v>
      </c>
      <c r="P841" t="s">
        <v>473</v>
      </c>
      <c r="Q841">
        <v>1</v>
      </c>
      <c r="R841" t="s">
        <v>393</v>
      </c>
      <c r="S841">
        <v>1</v>
      </c>
      <c r="T841" t="s">
        <v>436</v>
      </c>
      <c r="U841">
        <v>1</v>
      </c>
    </row>
    <row r="842" spans="1:21" x14ac:dyDescent="0.25">
      <c r="A842" t="s">
        <v>758</v>
      </c>
      <c r="B842" t="s">
        <v>736</v>
      </c>
      <c r="C842" t="s">
        <v>552</v>
      </c>
      <c r="D842" s="2" t="s">
        <v>416</v>
      </c>
      <c r="E842" s="2" t="s">
        <v>533</v>
      </c>
      <c r="I842">
        <v>1</v>
      </c>
      <c r="K842">
        <v>1</v>
      </c>
      <c r="O842" t="s">
        <v>521</v>
      </c>
      <c r="P842" t="s">
        <v>473</v>
      </c>
      <c r="Q842">
        <v>1</v>
      </c>
      <c r="R842" t="s">
        <v>393</v>
      </c>
      <c r="S842">
        <v>1</v>
      </c>
      <c r="T842" t="s">
        <v>436</v>
      </c>
      <c r="U842">
        <v>1</v>
      </c>
    </row>
    <row r="843" spans="1:21" x14ac:dyDescent="0.25">
      <c r="A843" t="s">
        <v>758</v>
      </c>
      <c r="B843" t="s">
        <v>737</v>
      </c>
      <c r="C843" t="s">
        <v>553</v>
      </c>
      <c r="D843" s="2" t="s">
        <v>420</v>
      </c>
      <c r="E843" s="2" t="s">
        <v>533</v>
      </c>
      <c r="I843">
        <v>1</v>
      </c>
      <c r="K843">
        <v>1</v>
      </c>
      <c r="O843" t="s">
        <v>521</v>
      </c>
      <c r="P843" t="s">
        <v>474</v>
      </c>
      <c r="Q843">
        <v>1</v>
      </c>
      <c r="R843" t="s">
        <v>393</v>
      </c>
      <c r="S843">
        <v>1</v>
      </c>
      <c r="T843" t="s">
        <v>436</v>
      </c>
      <c r="U843">
        <v>1</v>
      </c>
    </row>
    <row r="844" spans="1:21" x14ac:dyDescent="0.25">
      <c r="A844" t="s">
        <v>758</v>
      </c>
      <c r="B844" t="s">
        <v>738</v>
      </c>
      <c r="C844" t="s">
        <v>554</v>
      </c>
      <c r="D844" s="2" t="s">
        <v>420</v>
      </c>
      <c r="E844" s="2" t="s">
        <v>533</v>
      </c>
      <c r="I844">
        <v>1</v>
      </c>
      <c r="K844">
        <v>1</v>
      </c>
      <c r="O844" t="s">
        <v>524</v>
      </c>
      <c r="P844" t="s">
        <v>474</v>
      </c>
      <c r="Q844">
        <v>1</v>
      </c>
      <c r="R844" t="s">
        <v>393</v>
      </c>
      <c r="S844">
        <v>1</v>
      </c>
      <c r="T844" t="s">
        <v>436</v>
      </c>
      <c r="U844">
        <v>1</v>
      </c>
    </row>
    <row r="845" spans="1:21" x14ac:dyDescent="0.25">
      <c r="A845" t="s">
        <v>758</v>
      </c>
      <c r="B845" t="s">
        <v>718</v>
      </c>
      <c r="C845" t="s">
        <v>350</v>
      </c>
      <c r="D845" s="2" t="s">
        <v>351</v>
      </c>
      <c r="E845" s="2" t="s">
        <v>533</v>
      </c>
      <c r="F845" t="s">
        <v>388</v>
      </c>
      <c r="I845">
        <v>1</v>
      </c>
      <c r="K845">
        <v>1</v>
      </c>
      <c r="O845" t="s">
        <v>482</v>
      </c>
      <c r="P845" t="s">
        <v>463</v>
      </c>
      <c r="Q845">
        <v>1</v>
      </c>
      <c r="R845" t="s">
        <v>393</v>
      </c>
      <c r="S845">
        <v>1</v>
      </c>
      <c r="T845" t="s">
        <v>436</v>
      </c>
      <c r="U845">
        <v>1</v>
      </c>
    </row>
    <row r="846" spans="1:21" x14ac:dyDescent="0.25">
      <c r="A846" t="s">
        <v>758</v>
      </c>
      <c r="B846" t="s">
        <v>718</v>
      </c>
      <c r="C846" t="s">
        <v>534</v>
      </c>
      <c r="D846" s="2" t="s">
        <v>354</v>
      </c>
      <c r="E846" s="2" t="s">
        <v>533</v>
      </c>
      <c r="F846" t="s">
        <v>388</v>
      </c>
      <c r="I846">
        <v>1</v>
      </c>
      <c r="K846">
        <v>1</v>
      </c>
      <c r="O846" t="s">
        <v>482</v>
      </c>
      <c r="P846" t="s">
        <v>464</v>
      </c>
      <c r="Q846">
        <v>1</v>
      </c>
      <c r="R846" t="s">
        <v>393</v>
      </c>
      <c r="S846">
        <v>1</v>
      </c>
      <c r="T846" t="s">
        <v>436</v>
      </c>
      <c r="U846">
        <v>1</v>
      </c>
    </row>
    <row r="847" spans="1:21" x14ac:dyDescent="0.25">
      <c r="A847" t="s">
        <v>758</v>
      </c>
      <c r="B847" t="s">
        <v>719</v>
      </c>
      <c r="C847" t="s">
        <v>483</v>
      </c>
      <c r="D847" s="2" t="s">
        <v>354</v>
      </c>
      <c r="E847" s="2" t="s">
        <v>533</v>
      </c>
      <c r="F847" t="s">
        <v>388</v>
      </c>
      <c r="I847">
        <v>1</v>
      </c>
      <c r="K847">
        <v>1</v>
      </c>
      <c r="O847" t="s">
        <v>484</v>
      </c>
      <c r="P847" t="s">
        <v>464</v>
      </c>
      <c r="Q847">
        <v>1</v>
      </c>
      <c r="R847" t="s">
        <v>393</v>
      </c>
      <c r="S847">
        <v>1</v>
      </c>
      <c r="T847" t="s">
        <v>436</v>
      </c>
      <c r="U847">
        <v>1</v>
      </c>
    </row>
    <row r="848" spans="1:21" x14ac:dyDescent="0.25">
      <c r="A848" t="s">
        <v>758</v>
      </c>
      <c r="B848" t="s">
        <v>719</v>
      </c>
      <c r="C848" t="s">
        <v>535</v>
      </c>
      <c r="D848" s="2" t="s">
        <v>354</v>
      </c>
      <c r="E848" s="2" t="s">
        <v>533</v>
      </c>
      <c r="F848" t="s">
        <v>388</v>
      </c>
      <c r="I848">
        <v>1</v>
      </c>
      <c r="K848">
        <v>1</v>
      </c>
      <c r="O848" t="s">
        <v>486</v>
      </c>
      <c r="P848" t="s">
        <v>464</v>
      </c>
      <c r="Q848">
        <v>1</v>
      </c>
      <c r="R848" t="s">
        <v>393</v>
      </c>
      <c r="S848">
        <v>1</v>
      </c>
      <c r="T848" t="s">
        <v>436</v>
      </c>
      <c r="U848">
        <v>1</v>
      </c>
    </row>
    <row r="849" spans="1:21" x14ac:dyDescent="0.25">
      <c r="A849" t="s">
        <v>758</v>
      </c>
      <c r="B849" t="s">
        <v>719</v>
      </c>
      <c r="C849" t="s">
        <v>536</v>
      </c>
      <c r="D849" s="2" t="s">
        <v>357</v>
      </c>
      <c r="E849" s="2" t="s">
        <v>533</v>
      </c>
      <c r="F849" t="s">
        <v>388</v>
      </c>
      <c r="I849">
        <v>1</v>
      </c>
      <c r="K849">
        <v>1</v>
      </c>
      <c r="O849" t="s">
        <v>486</v>
      </c>
      <c r="P849" t="s">
        <v>465</v>
      </c>
      <c r="Q849">
        <v>1</v>
      </c>
      <c r="R849" t="s">
        <v>393</v>
      </c>
      <c r="S849">
        <v>1</v>
      </c>
      <c r="T849" t="s">
        <v>436</v>
      </c>
      <c r="U849">
        <v>1</v>
      </c>
    </row>
    <row r="850" spans="1:21" x14ac:dyDescent="0.25">
      <c r="A850" t="s">
        <v>758</v>
      </c>
      <c r="B850" t="s">
        <v>720</v>
      </c>
      <c r="C850" t="s">
        <v>537</v>
      </c>
      <c r="D850" s="2" t="s">
        <v>357</v>
      </c>
      <c r="E850" s="2" t="s">
        <v>533</v>
      </c>
      <c r="F850" t="s">
        <v>388</v>
      </c>
      <c r="I850">
        <v>1</v>
      </c>
      <c r="K850">
        <v>1</v>
      </c>
      <c r="O850" t="s">
        <v>488</v>
      </c>
      <c r="P850" t="s">
        <v>465</v>
      </c>
      <c r="Q850">
        <v>1</v>
      </c>
      <c r="R850" t="s">
        <v>393</v>
      </c>
      <c r="S850">
        <v>1</v>
      </c>
      <c r="T850" t="s">
        <v>436</v>
      </c>
      <c r="U850">
        <v>1</v>
      </c>
    </row>
    <row r="851" spans="1:21" x14ac:dyDescent="0.25">
      <c r="A851" t="s">
        <v>758</v>
      </c>
      <c r="B851" t="s">
        <v>721</v>
      </c>
      <c r="C851" t="s">
        <v>538</v>
      </c>
      <c r="D851" s="2" t="s">
        <v>361</v>
      </c>
      <c r="E851" s="2" t="s">
        <v>533</v>
      </c>
      <c r="F851" t="s">
        <v>388</v>
      </c>
      <c r="I851">
        <v>1</v>
      </c>
      <c r="K851">
        <v>1</v>
      </c>
      <c r="O851" t="s">
        <v>488</v>
      </c>
      <c r="P851" t="s">
        <v>397</v>
      </c>
      <c r="Q851">
        <v>1</v>
      </c>
      <c r="R851" t="s">
        <v>393</v>
      </c>
      <c r="S851">
        <v>1</v>
      </c>
      <c r="T851" t="s">
        <v>436</v>
      </c>
      <c r="U851">
        <v>1</v>
      </c>
    </row>
    <row r="852" spans="1:21" x14ac:dyDescent="0.25">
      <c r="A852" t="s">
        <v>758</v>
      </c>
      <c r="B852" t="s">
        <v>721</v>
      </c>
      <c r="C852" t="s">
        <v>491</v>
      </c>
      <c r="D852" s="2" t="s">
        <v>361</v>
      </c>
      <c r="E852" s="2" t="s">
        <v>533</v>
      </c>
      <c r="F852" t="s">
        <v>388</v>
      </c>
      <c r="I852">
        <v>1</v>
      </c>
      <c r="K852">
        <v>1</v>
      </c>
      <c r="O852" t="s">
        <v>492</v>
      </c>
      <c r="P852" t="s">
        <v>397</v>
      </c>
      <c r="Q852">
        <v>1</v>
      </c>
      <c r="R852" t="s">
        <v>393</v>
      </c>
      <c r="S852">
        <v>1</v>
      </c>
      <c r="T852" t="s">
        <v>436</v>
      </c>
      <c r="U852">
        <v>1</v>
      </c>
    </row>
    <row r="853" spans="1:21" x14ac:dyDescent="0.25">
      <c r="A853" t="s">
        <v>758</v>
      </c>
      <c r="B853" t="s">
        <v>722</v>
      </c>
      <c r="C853" t="s">
        <v>491</v>
      </c>
      <c r="D853" s="2" t="s">
        <v>361</v>
      </c>
      <c r="E853" s="2" t="s">
        <v>533</v>
      </c>
      <c r="F853" t="s">
        <v>388</v>
      </c>
      <c r="I853">
        <v>1</v>
      </c>
      <c r="K853">
        <v>1</v>
      </c>
      <c r="O853" t="s">
        <v>493</v>
      </c>
      <c r="P853" t="s">
        <v>397</v>
      </c>
      <c r="Q853">
        <v>1</v>
      </c>
      <c r="R853" t="s">
        <v>393</v>
      </c>
      <c r="S853">
        <v>1</v>
      </c>
      <c r="T853" t="s">
        <v>436</v>
      </c>
      <c r="U853">
        <v>1</v>
      </c>
    </row>
    <row r="854" spans="1:21" x14ac:dyDescent="0.25">
      <c r="A854" t="s">
        <v>758</v>
      </c>
      <c r="B854" t="s">
        <v>722</v>
      </c>
      <c r="C854" t="s">
        <v>539</v>
      </c>
      <c r="D854" s="2" t="s">
        <v>361</v>
      </c>
      <c r="E854" s="2" t="s">
        <v>533</v>
      </c>
      <c r="F854" t="s">
        <v>388</v>
      </c>
      <c r="I854">
        <v>1</v>
      </c>
      <c r="K854">
        <v>1</v>
      </c>
      <c r="O854" t="s">
        <v>495</v>
      </c>
      <c r="P854" t="s">
        <v>397</v>
      </c>
      <c r="Q854">
        <v>1</v>
      </c>
      <c r="R854" t="s">
        <v>393</v>
      </c>
      <c r="S854">
        <v>1</v>
      </c>
      <c r="T854" t="s">
        <v>436</v>
      </c>
      <c r="U854">
        <v>1</v>
      </c>
    </row>
    <row r="855" spans="1:21" x14ac:dyDescent="0.25">
      <c r="A855" t="s">
        <v>758</v>
      </c>
      <c r="B855" t="s">
        <v>723</v>
      </c>
      <c r="C855" t="s">
        <v>373</v>
      </c>
      <c r="D855" s="2" t="s">
        <v>374</v>
      </c>
      <c r="E855" s="2" t="s">
        <v>533</v>
      </c>
      <c r="F855" t="s">
        <v>388</v>
      </c>
      <c r="I855">
        <v>1</v>
      </c>
      <c r="K855">
        <v>1</v>
      </c>
      <c r="O855" t="s">
        <v>497</v>
      </c>
      <c r="P855" t="s">
        <v>467</v>
      </c>
      <c r="Q855">
        <v>1</v>
      </c>
      <c r="R855" t="s">
        <v>393</v>
      </c>
      <c r="S855">
        <v>1</v>
      </c>
      <c r="T855" t="s">
        <v>436</v>
      </c>
      <c r="U855">
        <v>1</v>
      </c>
    </row>
    <row r="856" spans="1:21" x14ac:dyDescent="0.25">
      <c r="A856" t="s">
        <v>758</v>
      </c>
      <c r="B856" t="s">
        <v>724</v>
      </c>
      <c r="C856" t="s">
        <v>540</v>
      </c>
      <c r="D856" s="2" t="s">
        <v>378</v>
      </c>
      <c r="E856" s="2" t="s">
        <v>533</v>
      </c>
      <c r="F856" t="s">
        <v>388</v>
      </c>
      <c r="I856">
        <v>1</v>
      </c>
      <c r="K856">
        <v>1</v>
      </c>
      <c r="O856" t="s">
        <v>497</v>
      </c>
      <c r="P856" t="s">
        <v>468</v>
      </c>
      <c r="Q856">
        <v>1</v>
      </c>
      <c r="R856" t="s">
        <v>393</v>
      </c>
      <c r="S856">
        <v>1</v>
      </c>
      <c r="T856" t="s">
        <v>436</v>
      </c>
      <c r="U856">
        <v>1</v>
      </c>
    </row>
    <row r="857" spans="1:21" x14ac:dyDescent="0.25">
      <c r="A857" t="s">
        <v>758</v>
      </c>
      <c r="B857" t="s">
        <v>724</v>
      </c>
      <c r="C857" t="s">
        <v>540</v>
      </c>
      <c r="D857" s="2" t="s">
        <v>378</v>
      </c>
      <c r="E857" s="2" t="s">
        <v>533</v>
      </c>
      <c r="F857" t="s">
        <v>388</v>
      </c>
      <c r="I857">
        <v>1</v>
      </c>
      <c r="K857">
        <v>1</v>
      </c>
      <c r="O857" t="s">
        <v>500</v>
      </c>
      <c r="P857" t="s">
        <v>468</v>
      </c>
      <c r="Q857">
        <v>1</v>
      </c>
      <c r="R857" t="s">
        <v>393</v>
      </c>
      <c r="S857">
        <v>1</v>
      </c>
      <c r="T857" t="s">
        <v>436</v>
      </c>
      <c r="U857">
        <v>1</v>
      </c>
    </row>
    <row r="858" spans="1:21" x14ac:dyDescent="0.25">
      <c r="A858" t="s">
        <v>758</v>
      </c>
      <c r="B858" t="s">
        <v>724</v>
      </c>
      <c r="C858" t="s">
        <v>541</v>
      </c>
      <c r="D858" s="2" t="s">
        <v>378</v>
      </c>
      <c r="E858" s="2" t="s">
        <v>533</v>
      </c>
      <c r="F858" t="s">
        <v>388</v>
      </c>
      <c r="I858">
        <v>1</v>
      </c>
      <c r="K858">
        <v>1</v>
      </c>
      <c r="O858" t="s">
        <v>502</v>
      </c>
      <c r="P858" t="s">
        <v>468</v>
      </c>
      <c r="Q858">
        <v>1</v>
      </c>
      <c r="R858" t="s">
        <v>393</v>
      </c>
      <c r="S858">
        <v>1</v>
      </c>
      <c r="T858" t="s">
        <v>436</v>
      </c>
      <c r="U858">
        <v>1</v>
      </c>
    </row>
    <row r="859" spans="1:21" x14ac:dyDescent="0.25">
      <c r="A859" t="s">
        <v>758</v>
      </c>
      <c r="B859" t="s">
        <v>725</v>
      </c>
      <c r="C859" t="s">
        <v>542</v>
      </c>
      <c r="D859" s="2" t="s">
        <v>382</v>
      </c>
      <c r="E859" s="2" t="s">
        <v>533</v>
      </c>
      <c r="F859" t="s">
        <v>388</v>
      </c>
      <c r="I859">
        <v>1</v>
      </c>
      <c r="K859">
        <v>1</v>
      </c>
      <c r="O859" t="s">
        <v>502</v>
      </c>
      <c r="P859" t="s">
        <v>429</v>
      </c>
      <c r="Q859">
        <v>1</v>
      </c>
      <c r="R859" t="s">
        <v>393</v>
      </c>
      <c r="S859">
        <v>1</v>
      </c>
      <c r="T859" t="s">
        <v>436</v>
      </c>
      <c r="U859">
        <v>1</v>
      </c>
    </row>
    <row r="860" spans="1:21" x14ac:dyDescent="0.25">
      <c r="A860" t="s">
        <v>758</v>
      </c>
      <c r="B860" t="s">
        <v>725</v>
      </c>
      <c r="C860" t="s">
        <v>503</v>
      </c>
      <c r="D860" s="2" t="s">
        <v>382</v>
      </c>
      <c r="E860" s="2" t="s">
        <v>533</v>
      </c>
      <c r="F860" t="s">
        <v>388</v>
      </c>
      <c r="I860">
        <v>1</v>
      </c>
      <c r="K860">
        <v>1</v>
      </c>
      <c r="O860" t="s">
        <v>504</v>
      </c>
      <c r="P860" t="s">
        <v>429</v>
      </c>
      <c r="Q860">
        <v>1</v>
      </c>
      <c r="R860" t="s">
        <v>393</v>
      </c>
      <c r="S860">
        <v>1</v>
      </c>
      <c r="T860" t="s">
        <v>436</v>
      </c>
      <c r="U860">
        <v>1</v>
      </c>
    </row>
    <row r="861" spans="1:21" x14ac:dyDescent="0.25">
      <c r="A861" t="s">
        <v>758</v>
      </c>
      <c r="B861" t="s">
        <v>726</v>
      </c>
      <c r="C861" t="s">
        <v>543</v>
      </c>
      <c r="D861" s="2" t="s">
        <v>382</v>
      </c>
      <c r="E861" s="2" t="s">
        <v>533</v>
      </c>
      <c r="F861" t="s">
        <v>388</v>
      </c>
      <c r="I861">
        <v>1</v>
      </c>
      <c r="K861">
        <v>1</v>
      </c>
      <c r="O861" t="s">
        <v>506</v>
      </c>
      <c r="P861" t="s">
        <v>429</v>
      </c>
      <c r="Q861">
        <v>1</v>
      </c>
      <c r="R861" t="s">
        <v>393</v>
      </c>
      <c r="S861">
        <v>1</v>
      </c>
      <c r="T861" t="s">
        <v>436</v>
      </c>
      <c r="U861">
        <v>1</v>
      </c>
    </row>
    <row r="862" spans="1:21" x14ac:dyDescent="0.25">
      <c r="A862" t="s">
        <v>758</v>
      </c>
      <c r="B862" t="s">
        <v>727</v>
      </c>
      <c r="C862" t="s">
        <v>544</v>
      </c>
      <c r="D862" s="2" t="s">
        <v>386</v>
      </c>
      <c r="E862" t="s">
        <v>545</v>
      </c>
      <c r="F862" t="s">
        <v>388</v>
      </c>
      <c r="I862">
        <v>1</v>
      </c>
      <c r="K862">
        <v>1</v>
      </c>
      <c r="O862" t="s">
        <v>506</v>
      </c>
      <c r="P862" t="s">
        <v>457</v>
      </c>
      <c r="Q862">
        <v>1</v>
      </c>
      <c r="R862" t="s">
        <v>393</v>
      </c>
      <c r="S862">
        <v>1</v>
      </c>
      <c r="T862" t="s">
        <v>436</v>
      </c>
      <c r="U862">
        <v>1</v>
      </c>
    </row>
    <row r="863" spans="1:21" x14ac:dyDescent="0.25">
      <c r="A863" t="s">
        <v>758</v>
      </c>
      <c r="B863" t="s">
        <v>727</v>
      </c>
      <c r="C863" t="s">
        <v>544</v>
      </c>
      <c r="D863" s="2" t="s">
        <v>386</v>
      </c>
      <c r="E863" s="2" t="s">
        <v>533</v>
      </c>
      <c r="F863" t="s">
        <v>388</v>
      </c>
      <c r="I863">
        <v>1</v>
      </c>
      <c r="K863">
        <v>1</v>
      </c>
      <c r="O863" t="s">
        <v>506</v>
      </c>
      <c r="P863" t="s">
        <v>469</v>
      </c>
      <c r="Q863">
        <v>1</v>
      </c>
      <c r="R863" t="s">
        <v>393</v>
      </c>
      <c r="S863">
        <v>1</v>
      </c>
      <c r="T863" t="s">
        <v>436</v>
      </c>
      <c r="U863">
        <v>1</v>
      </c>
    </row>
    <row r="864" spans="1:21" x14ac:dyDescent="0.25">
      <c r="A864" t="s">
        <v>758</v>
      </c>
      <c r="B864" t="s">
        <v>727</v>
      </c>
      <c r="C864" t="s">
        <v>507</v>
      </c>
      <c r="D864" s="2" t="s">
        <v>386</v>
      </c>
      <c r="E864" t="s">
        <v>545</v>
      </c>
      <c r="F864" t="s">
        <v>388</v>
      </c>
      <c r="I864">
        <v>1</v>
      </c>
      <c r="K864">
        <v>1</v>
      </c>
      <c r="O864" t="s">
        <v>508</v>
      </c>
      <c r="P864" t="s">
        <v>457</v>
      </c>
      <c r="Q864">
        <v>1</v>
      </c>
      <c r="R864" t="s">
        <v>393</v>
      </c>
      <c r="S864">
        <v>1</v>
      </c>
      <c r="T864" t="s">
        <v>436</v>
      </c>
      <c r="U864">
        <v>1</v>
      </c>
    </row>
    <row r="865" spans="1:21" x14ac:dyDescent="0.25">
      <c r="A865" t="s">
        <v>758</v>
      </c>
      <c r="B865" t="s">
        <v>727</v>
      </c>
      <c r="C865" t="s">
        <v>507</v>
      </c>
      <c r="D865" s="2" t="s">
        <v>386</v>
      </c>
      <c r="E865" s="2" t="s">
        <v>533</v>
      </c>
      <c r="F865" t="s">
        <v>388</v>
      </c>
      <c r="I865">
        <v>1</v>
      </c>
      <c r="K865">
        <v>1</v>
      </c>
      <c r="O865" t="s">
        <v>508</v>
      </c>
      <c r="P865" t="s">
        <v>469</v>
      </c>
      <c r="Q865">
        <v>1</v>
      </c>
      <c r="R865" t="s">
        <v>393</v>
      </c>
      <c r="S865">
        <v>1</v>
      </c>
      <c r="T865" t="s">
        <v>436</v>
      </c>
      <c r="U865">
        <v>1</v>
      </c>
    </row>
    <row r="866" spans="1:21" x14ac:dyDescent="0.25">
      <c r="A866" t="s">
        <v>758</v>
      </c>
      <c r="B866" t="s">
        <v>727</v>
      </c>
      <c r="C866" t="s">
        <v>507</v>
      </c>
      <c r="D866" s="2" t="s">
        <v>386</v>
      </c>
      <c r="E866" t="s">
        <v>545</v>
      </c>
      <c r="F866" t="s">
        <v>388</v>
      </c>
      <c r="I866">
        <v>1</v>
      </c>
      <c r="K866">
        <v>1</v>
      </c>
      <c r="O866" t="s">
        <v>509</v>
      </c>
      <c r="P866" t="s">
        <v>457</v>
      </c>
      <c r="Q866">
        <v>1</v>
      </c>
      <c r="R866" t="s">
        <v>393</v>
      </c>
      <c r="S866">
        <v>1</v>
      </c>
      <c r="T866" t="s">
        <v>436</v>
      </c>
      <c r="U866">
        <v>1</v>
      </c>
    </row>
    <row r="867" spans="1:21" x14ac:dyDescent="0.25">
      <c r="A867" t="s">
        <v>758</v>
      </c>
      <c r="B867" t="s">
        <v>727</v>
      </c>
      <c r="C867" t="s">
        <v>507</v>
      </c>
      <c r="D867" s="2" t="s">
        <v>386</v>
      </c>
      <c r="E867" s="2" t="s">
        <v>533</v>
      </c>
      <c r="F867" t="s">
        <v>388</v>
      </c>
      <c r="I867">
        <v>1</v>
      </c>
      <c r="K867">
        <v>1</v>
      </c>
      <c r="O867" t="s">
        <v>509</v>
      </c>
      <c r="P867" t="s">
        <v>469</v>
      </c>
      <c r="Q867">
        <v>1</v>
      </c>
      <c r="R867" t="s">
        <v>393</v>
      </c>
      <c r="S867">
        <v>1</v>
      </c>
      <c r="T867" t="s">
        <v>436</v>
      </c>
      <c r="U867">
        <v>1</v>
      </c>
    </row>
    <row r="868" spans="1:21" x14ac:dyDescent="0.25">
      <c r="A868" t="s">
        <v>758</v>
      </c>
      <c r="B868" t="s">
        <v>729</v>
      </c>
      <c r="C868" t="s">
        <v>547</v>
      </c>
      <c r="D868" s="2" t="s">
        <v>404</v>
      </c>
      <c r="E868" t="s">
        <v>545</v>
      </c>
      <c r="F868" t="s">
        <v>388</v>
      </c>
      <c r="I868">
        <v>1</v>
      </c>
      <c r="K868">
        <v>1</v>
      </c>
      <c r="O868" t="s">
        <v>511</v>
      </c>
      <c r="P868" t="s">
        <v>458</v>
      </c>
      <c r="Q868">
        <v>1</v>
      </c>
      <c r="R868" t="s">
        <v>393</v>
      </c>
      <c r="S868">
        <v>1</v>
      </c>
      <c r="T868" t="s">
        <v>436</v>
      </c>
      <c r="U868">
        <v>1</v>
      </c>
    </row>
    <row r="869" spans="1:21" x14ac:dyDescent="0.25">
      <c r="A869" t="s">
        <v>758</v>
      </c>
      <c r="B869" t="s">
        <v>729</v>
      </c>
      <c r="C869" t="s">
        <v>547</v>
      </c>
      <c r="D869" s="2" t="s">
        <v>404</v>
      </c>
      <c r="E869" s="2" t="s">
        <v>533</v>
      </c>
      <c r="F869" t="s">
        <v>388</v>
      </c>
      <c r="I869">
        <v>1</v>
      </c>
      <c r="K869">
        <v>1</v>
      </c>
      <c r="O869" t="s">
        <v>511</v>
      </c>
      <c r="P869" t="s">
        <v>470</v>
      </c>
      <c r="Q869">
        <v>1</v>
      </c>
      <c r="R869" t="s">
        <v>393</v>
      </c>
      <c r="S869">
        <v>1</v>
      </c>
      <c r="T869" t="s">
        <v>436</v>
      </c>
      <c r="U869">
        <v>1</v>
      </c>
    </row>
    <row r="870" spans="1:21" x14ac:dyDescent="0.25">
      <c r="A870" t="s">
        <v>758</v>
      </c>
      <c r="B870" t="s">
        <v>730</v>
      </c>
      <c r="C870" t="s">
        <v>513</v>
      </c>
      <c r="D870" s="2" t="s">
        <v>404</v>
      </c>
      <c r="E870" t="s">
        <v>545</v>
      </c>
      <c r="F870" t="s">
        <v>388</v>
      </c>
      <c r="I870">
        <v>1</v>
      </c>
      <c r="K870">
        <v>1</v>
      </c>
      <c r="O870" t="s">
        <v>514</v>
      </c>
      <c r="P870" t="s">
        <v>458</v>
      </c>
      <c r="Q870">
        <v>1</v>
      </c>
      <c r="R870" t="s">
        <v>393</v>
      </c>
      <c r="S870">
        <v>1</v>
      </c>
      <c r="T870" t="s">
        <v>436</v>
      </c>
      <c r="U870">
        <v>1</v>
      </c>
    </row>
    <row r="871" spans="1:21" x14ac:dyDescent="0.25">
      <c r="A871" t="s">
        <v>758</v>
      </c>
      <c r="B871" t="s">
        <v>731</v>
      </c>
      <c r="C871" t="s">
        <v>548</v>
      </c>
      <c r="D871" s="2" t="s">
        <v>404</v>
      </c>
      <c r="E871" t="s">
        <v>545</v>
      </c>
      <c r="F871" t="s">
        <v>388</v>
      </c>
      <c r="I871">
        <v>1</v>
      </c>
      <c r="K871">
        <v>1</v>
      </c>
      <c r="O871" t="s">
        <v>517</v>
      </c>
      <c r="P871" t="s">
        <v>458</v>
      </c>
      <c r="Q871">
        <v>1</v>
      </c>
      <c r="R871" t="s">
        <v>393</v>
      </c>
      <c r="S871">
        <v>1</v>
      </c>
      <c r="T871" t="s">
        <v>436</v>
      </c>
      <c r="U871">
        <v>1</v>
      </c>
    </row>
    <row r="872" spans="1:21" x14ac:dyDescent="0.25">
      <c r="A872" t="s">
        <v>758</v>
      </c>
      <c r="B872" t="s">
        <v>732</v>
      </c>
      <c r="C872" t="s">
        <v>407</v>
      </c>
      <c r="D872" s="2" t="s">
        <v>408</v>
      </c>
      <c r="E872" t="s">
        <v>545</v>
      </c>
      <c r="F872" t="s">
        <v>388</v>
      </c>
      <c r="I872">
        <v>1</v>
      </c>
      <c r="K872">
        <v>1</v>
      </c>
      <c r="O872" t="s">
        <v>517</v>
      </c>
      <c r="P872" t="s">
        <v>459</v>
      </c>
      <c r="Q872">
        <v>1</v>
      </c>
      <c r="R872" t="s">
        <v>393</v>
      </c>
      <c r="S872">
        <v>1</v>
      </c>
      <c r="T872" t="s">
        <v>436</v>
      </c>
      <c r="U872">
        <v>1</v>
      </c>
    </row>
    <row r="873" spans="1:21" x14ac:dyDescent="0.25">
      <c r="A873" t="s">
        <v>758</v>
      </c>
      <c r="B873" t="s">
        <v>733</v>
      </c>
      <c r="C873" t="s">
        <v>549</v>
      </c>
      <c r="D873" s="2" t="s">
        <v>412</v>
      </c>
      <c r="E873" t="s">
        <v>545</v>
      </c>
      <c r="F873" t="s">
        <v>388</v>
      </c>
      <c r="I873">
        <v>1</v>
      </c>
      <c r="K873">
        <v>1</v>
      </c>
      <c r="O873" t="s">
        <v>517</v>
      </c>
      <c r="P873" t="s">
        <v>460</v>
      </c>
      <c r="Q873">
        <v>1</v>
      </c>
      <c r="R873" t="s">
        <v>393</v>
      </c>
      <c r="S873">
        <v>1</v>
      </c>
      <c r="T873" t="s">
        <v>436</v>
      </c>
      <c r="U873">
        <v>1</v>
      </c>
    </row>
    <row r="874" spans="1:21" x14ac:dyDescent="0.25">
      <c r="A874" t="s">
        <v>758</v>
      </c>
      <c r="B874" t="s">
        <v>734</v>
      </c>
      <c r="C874" t="s">
        <v>550</v>
      </c>
      <c r="D874" s="2" t="s">
        <v>412</v>
      </c>
      <c r="E874" t="s">
        <v>545</v>
      </c>
      <c r="F874" t="s">
        <v>388</v>
      </c>
      <c r="I874">
        <v>1</v>
      </c>
      <c r="K874">
        <v>1</v>
      </c>
      <c r="O874" t="s">
        <v>519</v>
      </c>
      <c r="P874" t="s">
        <v>460</v>
      </c>
      <c r="Q874">
        <v>1</v>
      </c>
      <c r="R874" t="s">
        <v>393</v>
      </c>
      <c r="S874">
        <v>1</v>
      </c>
      <c r="T874" t="s">
        <v>436</v>
      </c>
      <c r="U874">
        <v>1</v>
      </c>
    </row>
    <row r="875" spans="1:21" x14ac:dyDescent="0.25">
      <c r="A875" t="s">
        <v>758</v>
      </c>
      <c r="B875" t="s">
        <v>735</v>
      </c>
      <c r="C875" t="s">
        <v>551</v>
      </c>
      <c r="D875" s="2" t="s">
        <v>416</v>
      </c>
      <c r="E875" t="s">
        <v>545</v>
      </c>
      <c r="F875" t="s">
        <v>388</v>
      </c>
      <c r="I875">
        <v>1</v>
      </c>
      <c r="K875">
        <v>1</v>
      </c>
      <c r="O875" t="s">
        <v>519</v>
      </c>
      <c r="P875" t="s">
        <v>461</v>
      </c>
      <c r="Q875">
        <v>1</v>
      </c>
      <c r="R875" t="s">
        <v>393</v>
      </c>
      <c r="S875">
        <v>1</v>
      </c>
      <c r="T875" t="s">
        <v>436</v>
      </c>
      <c r="U875">
        <v>1</v>
      </c>
    </row>
    <row r="876" spans="1:21" x14ac:dyDescent="0.25">
      <c r="A876" t="s">
        <v>758</v>
      </c>
      <c r="B876" t="s">
        <v>736</v>
      </c>
      <c r="C876" t="s">
        <v>552</v>
      </c>
      <c r="D876" s="2" t="s">
        <v>416</v>
      </c>
      <c r="E876" t="s">
        <v>545</v>
      </c>
      <c r="F876" t="s">
        <v>388</v>
      </c>
      <c r="I876">
        <v>1</v>
      </c>
      <c r="K876">
        <v>1</v>
      </c>
      <c r="O876" t="s">
        <v>521</v>
      </c>
      <c r="P876" t="s">
        <v>461</v>
      </c>
      <c r="Q876">
        <v>1</v>
      </c>
      <c r="R876" t="s">
        <v>393</v>
      </c>
      <c r="S876">
        <v>1</v>
      </c>
      <c r="T876" t="s">
        <v>436</v>
      </c>
      <c r="U876">
        <v>1</v>
      </c>
    </row>
    <row r="877" spans="1:21" x14ac:dyDescent="0.25">
      <c r="A877" t="s">
        <v>758</v>
      </c>
      <c r="B877" t="s">
        <v>737</v>
      </c>
      <c r="C877" t="s">
        <v>553</v>
      </c>
      <c r="D877" s="2" t="s">
        <v>420</v>
      </c>
      <c r="E877" t="s">
        <v>545</v>
      </c>
      <c r="F877" t="s">
        <v>388</v>
      </c>
      <c r="I877">
        <v>1</v>
      </c>
      <c r="K877">
        <v>1</v>
      </c>
      <c r="O877" t="s">
        <v>521</v>
      </c>
      <c r="P877" t="s">
        <v>462</v>
      </c>
      <c r="Q877">
        <v>1</v>
      </c>
      <c r="R877" t="s">
        <v>393</v>
      </c>
      <c r="S877">
        <v>1</v>
      </c>
      <c r="T877" t="s">
        <v>436</v>
      </c>
      <c r="U877">
        <v>1</v>
      </c>
    </row>
    <row r="878" spans="1:21" x14ac:dyDescent="0.25">
      <c r="A878" t="s">
        <v>758</v>
      </c>
      <c r="B878" t="s">
        <v>738</v>
      </c>
      <c r="C878" t="s">
        <v>554</v>
      </c>
      <c r="D878" s="2" t="s">
        <v>420</v>
      </c>
      <c r="E878" t="s">
        <v>545</v>
      </c>
      <c r="F878" t="s">
        <v>388</v>
      </c>
      <c r="I878">
        <v>1</v>
      </c>
      <c r="K878">
        <v>1</v>
      </c>
      <c r="O878" t="s">
        <v>524</v>
      </c>
      <c r="P878" t="s">
        <v>462</v>
      </c>
      <c r="Q878">
        <v>1</v>
      </c>
      <c r="R878" t="s">
        <v>393</v>
      </c>
      <c r="S878">
        <v>1</v>
      </c>
      <c r="T878" t="s">
        <v>436</v>
      </c>
      <c r="U878">
        <v>1</v>
      </c>
    </row>
    <row r="879" spans="1:21" x14ac:dyDescent="0.25">
      <c r="A879" t="s">
        <v>758</v>
      </c>
      <c r="B879" t="s">
        <v>730</v>
      </c>
      <c r="C879" t="s">
        <v>513</v>
      </c>
      <c r="D879" s="2" t="s">
        <v>404</v>
      </c>
      <c r="E879" s="2" t="s">
        <v>533</v>
      </c>
      <c r="F879" t="s">
        <v>388</v>
      </c>
      <c r="I879">
        <v>1</v>
      </c>
      <c r="K879">
        <v>1</v>
      </c>
      <c r="O879" t="s">
        <v>514</v>
      </c>
      <c r="P879" t="s">
        <v>470</v>
      </c>
      <c r="Q879">
        <v>1</v>
      </c>
      <c r="R879" t="s">
        <v>393</v>
      </c>
      <c r="S879">
        <v>1</v>
      </c>
      <c r="T879" t="s">
        <v>436</v>
      </c>
      <c r="U879">
        <v>1</v>
      </c>
    </row>
    <row r="880" spans="1:21" x14ac:dyDescent="0.25">
      <c r="A880" t="s">
        <v>758</v>
      </c>
      <c r="B880" t="s">
        <v>731</v>
      </c>
      <c r="C880" t="s">
        <v>548</v>
      </c>
      <c r="D880" s="2" t="s">
        <v>404</v>
      </c>
      <c r="E880" s="2" t="s">
        <v>533</v>
      </c>
      <c r="F880" t="s">
        <v>388</v>
      </c>
      <c r="I880">
        <v>1</v>
      </c>
      <c r="K880">
        <v>1</v>
      </c>
      <c r="O880" t="s">
        <v>517</v>
      </c>
      <c r="P880" t="s">
        <v>470</v>
      </c>
      <c r="Q880">
        <v>1</v>
      </c>
      <c r="R880" t="s">
        <v>393</v>
      </c>
      <c r="S880">
        <v>1</v>
      </c>
      <c r="T880" t="s">
        <v>436</v>
      </c>
      <c r="U880">
        <v>1</v>
      </c>
    </row>
    <row r="881" spans="1:21" x14ac:dyDescent="0.25">
      <c r="A881" t="s">
        <v>758</v>
      </c>
      <c r="B881" t="s">
        <v>732</v>
      </c>
      <c r="C881" t="s">
        <v>407</v>
      </c>
      <c r="D881" s="2" t="s">
        <v>408</v>
      </c>
      <c r="E881" s="2" t="s">
        <v>533</v>
      </c>
      <c r="F881" t="s">
        <v>388</v>
      </c>
      <c r="I881">
        <v>1</v>
      </c>
      <c r="K881">
        <v>1</v>
      </c>
      <c r="O881" t="s">
        <v>517</v>
      </c>
      <c r="P881" t="s">
        <v>471</v>
      </c>
      <c r="Q881">
        <v>1</v>
      </c>
      <c r="R881" t="s">
        <v>393</v>
      </c>
      <c r="S881">
        <v>1</v>
      </c>
      <c r="T881" t="s">
        <v>436</v>
      </c>
      <c r="U881">
        <v>1</v>
      </c>
    </row>
    <row r="882" spans="1:21" x14ac:dyDescent="0.25">
      <c r="A882" t="s">
        <v>758</v>
      </c>
      <c r="B882" t="s">
        <v>733</v>
      </c>
      <c r="C882" t="s">
        <v>549</v>
      </c>
      <c r="D882" s="2" t="s">
        <v>412</v>
      </c>
      <c r="E882" s="2" t="s">
        <v>533</v>
      </c>
      <c r="F882" t="s">
        <v>388</v>
      </c>
      <c r="I882">
        <v>1</v>
      </c>
      <c r="K882">
        <v>1</v>
      </c>
      <c r="O882" t="s">
        <v>517</v>
      </c>
      <c r="P882" t="s">
        <v>472</v>
      </c>
      <c r="Q882">
        <v>1</v>
      </c>
      <c r="R882" t="s">
        <v>393</v>
      </c>
      <c r="S882">
        <v>1</v>
      </c>
      <c r="T882" t="s">
        <v>436</v>
      </c>
      <c r="U882">
        <v>1</v>
      </c>
    </row>
    <row r="883" spans="1:21" x14ac:dyDescent="0.25">
      <c r="A883" t="s">
        <v>758</v>
      </c>
      <c r="B883" t="s">
        <v>734</v>
      </c>
      <c r="C883" t="s">
        <v>550</v>
      </c>
      <c r="D883" s="2" t="s">
        <v>412</v>
      </c>
      <c r="E883" s="2" t="s">
        <v>533</v>
      </c>
      <c r="F883" t="s">
        <v>388</v>
      </c>
      <c r="I883">
        <v>1</v>
      </c>
      <c r="K883">
        <v>1</v>
      </c>
      <c r="O883" t="s">
        <v>519</v>
      </c>
      <c r="P883" t="s">
        <v>472</v>
      </c>
      <c r="Q883">
        <v>1</v>
      </c>
      <c r="R883" t="s">
        <v>393</v>
      </c>
      <c r="S883">
        <v>1</v>
      </c>
      <c r="T883" t="s">
        <v>436</v>
      </c>
      <c r="U883">
        <v>1</v>
      </c>
    </row>
    <row r="884" spans="1:21" x14ac:dyDescent="0.25">
      <c r="A884" t="s">
        <v>758</v>
      </c>
      <c r="B884" t="s">
        <v>735</v>
      </c>
      <c r="C884" t="s">
        <v>551</v>
      </c>
      <c r="D884" s="2" t="s">
        <v>416</v>
      </c>
      <c r="E884" s="2" t="s">
        <v>533</v>
      </c>
      <c r="F884" t="s">
        <v>388</v>
      </c>
      <c r="I884">
        <v>1</v>
      </c>
      <c r="K884">
        <v>1</v>
      </c>
      <c r="O884" t="s">
        <v>519</v>
      </c>
      <c r="P884" t="s">
        <v>473</v>
      </c>
      <c r="Q884">
        <v>1</v>
      </c>
      <c r="R884" t="s">
        <v>393</v>
      </c>
      <c r="S884">
        <v>1</v>
      </c>
      <c r="T884" t="s">
        <v>436</v>
      </c>
      <c r="U884">
        <v>1</v>
      </c>
    </row>
    <row r="885" spans="1:21" x14ac:dyDescent="0.25">
      <c r="A885" t="s">
        <v>758</v>
      </c>
      <c r="B885" t="s">
        <v>736</v>
      </c>
      <c r="C885" t="s">
        <v>552</v>
      </c>
      <c r="D885" s="2" t="s">
        <v>416</v>
      </c>
      <c r="E885" s="2" t="s">
        <v>533</v>
      </c>
      <c r="F885" t="s">
        <v>388</v>
      </c>
      <c r="I885">
        <v>1</v>
      </c>
      <c r="K885">
        <v>1</v>
      </c>
      <c r="O885" t="s">
        <v>521</v>
      </c>
      <c r="P885" t="s">
        <v>473</v>
      </c>
      <c r="Q885">
        <v>1</v>
      </c>
      <c r="R885" t="s">
        <v>393</v>
      </c>
      <c r="S885">
        <v>1</v>
      </c>
      <c r="T885" t="s">
        <v>436</v>
      </c>
      <c r="U885">
        <v>1</v>
      </c>
    </row>
    <row r="886" spans="1:21" x14ac:dyDescent="0.25">
      <c r="A886" t="s">
        <v>758</v>
      </c>
      <c r="B886" t="s">
        <v>737</v>
      </c>
      <c r="C886" t="s">
        <v>553</v>
      </c>
      <c r="D886" s="2" t="s">
        <v>420</v>
      </c>
      <c r="E886" s="2" t="s">
        <v>533</v>
      </c>
      <c r="F886" t="s">
        <v>388</v>
      </c>
      <c r="I886">
        <v>1</v>
      </c>
      <c r="K886">
        <v>1</v>
      </c>
      <c r="O886" t="s">
        <v>521</v>
      </c>
      <c r="P886" t="s">
        <v>474</v>
      </c>
      <c r="Q886">
        <v>1</v>
      </c>
      <c r="R886" t="s">
        <v>393</v>
      </c>
      <c r="S886">
        <v>1</v>
      </c>
      <c r="T886" t="s">
        <v>436</v>
      </c>
      <c r="U886">
        <v>1</v>
      </c>
    </row>
    <row r="887" spans="1:21" x14ac:dyDescent="0.25">
      <c r="A887" t="s">
        <v>758</v>
      </c>
      <c r="B887" t="s">
        <v>738</v>
      </c>
      <c r="C887" t="s">
        <v>554</v>
      </c>
      <c r="D887" s="2" t="s">
        <v>420</v>
      </c>
      <c r="E887" s="2" t="s">
        <v>533</v>
      </c>
      <c r="F887" t="s">
        <v>388</v>
      </c>
      <c r="I887">
        <v>1</v>
      </c>
      <c r="K887">
        <v>1</v>
      </c>
      <c r="O887" t="s">
        <v>524</v>
      </c>
      <c r="P887" t="s">
        <v>474</v>
      </c>
      <c r="Q887">
        <v>1</v>
      </c>
      <c r="R887" t="s">
        <v>393</v>
      </c>
      <c r="S887">
        <v>1</v>
      </c>
      <c r="T887" t="s">
        <v>436</v>
      </c>
      <c r="U887">
        <v>1</v>
      </c>
    </row>
    <row r="891" spans="1:21" x14ac:dyDescent="0.25">
      <c r="A891" t="s">
        <v>694</v>
      </c>
    </row>
    <row r="892" spans="1:21" x14ac:dyDescent="0.25">
      <c r="A892" t="s">
        <v>688</v>
      </c>
      <c r="B892" t="s">
        <v>690</v>
      </c>
      <c r="C892" t="s">
        <v>691</v>
      </c>
    </row>
    <row r="893" spans="1:21" x14ac:dyDescent="0.25">
      <c r="A893" t="s">
        <v>689</v>
      </c>
      <c r="B893" t="s">
        <v>690</v>
      </c>
    </row>
    <row r="895" spans="1:21" x14ac:dyDescent="0.25">
      <c r="A895" t="s">
        <v>688</v>
      </c>
      <c r="B895" t="s">
        <v>692</v>
      </c>
      <c r="C895" t="s">
        <v>691</v>
      </c>
    </row>
    <row r="896" spans="1:21" x14ac:dyDescent="0.25">
      <c r="A896" t="s">
        <v>689</v>
      </c>
      <c r="B896" t="s">
        <v>690</v>
      </c>
      <c r="C896" t="s">
        <v>693</v>
      </c>
    </row>
    <row r="898" spans="1:3" x14ac:dyDescent="0.25">
      <c r="A898" t="s">
        <v>688</v>
      </c>
      <c r="B898" t="s">
        <v>690</v>
      </c>
    </row>
    <row r="899" spans="1:3" x14ac:dyDescent="0.25">
      <c r="A899" t="s">
        <v>689</v>
      </c>
      <c r="B899" t="s">
        <v>692</v>
      </c>
    </row>
    <row r="901" spans="1:3" x14ac:dyDescent="0.25">
      <c r="A901" t="s">
        <v>688</v>
      </c>
      <c r="B901" t="s">
        <v>692</v>
      </c>
      <c r="C901" t="s">
        <v>693</v>
      </c>
    </row>
    <row r="902" spans="1:3" x14ac:dyDescent="0.25">
      <c r="A902" t="s">
        <v>689</v>
      </c>
      <c r="B902" t="s">
        <v>692</v>
      </c>
    </row>
    <row r="905" spans="1:3" x14ac:dyDescent="0.25">
      <c r="A905" t="s">
        <v>695</v>
      </c>
    </row>
    <row r="906" spans="1:3" x14ac:dyDescent="0.25">
      <c r="A906" t="s">
        <v>688</v>
      </c>
      <c r="B906" t="s">
        <v>690</v>
      </c>
      <c r="C906" t="s">
        <v>691</v>
      </c>
    </row>
    <row r="907" spans="1:3" x14ac:dyDescent="0.25">
      <c r="A907" t="s">
        <v>689</v>
      </c>
      <c r="B907" t="s">
        <v>690</v>
      </c>
    </row>
    <row r="909" spans="1:3" x14ac:dyDescent="0.25">
      <c r="A909" t="s">
        <v>688</v>
      </c>
      <c r="B909" t="s">
        <v>692</v>
      </c>
      <c r="C909" t="s">
        <v>693</v>
      </c>
    </row>
    <row r="910" spans="1:3" x14ac:dyDescent="0.25">
      <c r="A910" t="s">
        <v>689</v>
      </c>
      <c r="B910" t="s">
        <v>690</v>
      </c>
    </row>
    <row r="912" spans="1:3" x14ac:dyDescent="0.25">
      <c r="A912" t="s">
        <v>688</v>
      </c>
      <c r="B912" t="s">
        <v>690</v>
      </c>
    </row>
    <row r="913" spans="1:8" x14ac:dyDescent="0.25">
      <c r="A913" t="s">
        <v>689</v>
      </c>
      <c r="B913" t="s">
        <v>692</v>
      </c>
    </row>
    <row r="915" spans="1:8" x14ac:dyDescent="0.25">
      <c r="A915" t="s">
        <v>688</v>
      </c>
      <c r="B915" t="s">
        <v>692</v>
      </c>
      <c r="C915" t="s">
        <v>693</v>
      </c>
    </row>
    <row r="916" spans="1:8" x14ac:dyDescent="0.25">
      <c r="A916" t="s">
        <v>689</v>
      </c>
      <c r="B916" t="s">
        <v>692</v>
      </c>
    </row>
    <row r="922" spans="1:8" x14ac:dyDescent="0.25">
      <c r="A922" t="s">
        <v>73</v>
      </c>
      <c r="B922" t="s">
        <v>784</v>
      </c>
      <c r="C922" t="s">
        <v>787</v>
      </c>
      <c r="E922" t="str">
        <f>IF(ISERROR(SEARCH("Temp",$A922)&gt;0),"No","Sí")</f>
        <v>Sí</v>
      </c>
      <c r="F922" t="str">
        <f>IF(ISERROR(SEARCH("consigna",$A922)&gt;0),"No","Sí")</f>
        <v>No</v>
      </c>
      <c r="G922" t="str">
        <f>IF(ISERROR(SEARCH("hdad",$A922)&gt;0),"No","Sí")</f>
        <v>No</v>
      </c>
      <c r="H922" t="str">
        <f>IF(ISERROR(SEARCH("CO2",$A922)&gt;0),"No","Sí")</f>
        <v>Sí</v>
      </c>
    </row>
    <row r="923" spans="1:8" x14ac:dyDescent="0.25">
      <c r="A923" t="s">
        <v>120</v>
      </c>
      <c r="B923" t="s">
        <v>784</v>
      </c>
      <c r="C923" t="s">
        <v>786</v>
      </c>
      <c r="E923" t="str">
        <f t="shared" ref="E923:E927" si="0">IF(ISERROR(SEARCH("Temp",$A923)&gt;0),"No","Sí")</f>
        <v>Sí</v>
      </c>
      <c r="F923" t="str">
        <f t="shared" ref="F923:F927" si="1">IF(ISERROR(SEARCH("consigna",$A923)&gt;0),"No","Sí")</f>
        <v>Sí</v>
      </c>
      <c r="G923" t="str">
        <f t="shared" ref="G923:G927" si="2">IF(ISERROR(SEARCH("hdad",$A923)&gt;0),"No","Sí")</f>
        <v>No</v>
      </c>
      <c r="H923" t="str">
        <f t="shared" ref="H923:H927" si="3">IF(ISERROR(SEARCH("CO2",$A923)&gt;0),"No","Sí")</f>
        <v>Sí</v>
      </c>
    </row>
    <row r="924" spans="1:8" x14ac:dyDescent="0.25">
      <c r="A924" t="s">
        <v>122</v>
      </c>
      <c r="B924" t="s">
        <v>784</v>
      </c>
      <c r="C924" t="s">
        <v>787</v>
      </c>
      <c r="E924" t="str">
        <f t="shared" si="0"/>
        <v>Sí</v>
      </c>
      <c r="F924" t="str">
        <f t="shared" si="1"/>
        <v>No</v>
      </c>
      <c r="G924" t="str">
        <f t="shared" si="2"/>
        <v>Sí</v>
      </c>
      <c r="H924" t="str">
        <f t="shared" si="3"/>
        <v>Sí</v>
      </c>
    </row>
    <row r="925" spans="1:8" x14ac:dyDescent="0.25">
      <c r="A925" t="s">
        <v>128</v>
      </c>
      <c r="B925" t="s">
        <v>784</v>
      </c>
      <c r="C925" t="s">
        <v>786</v>
      </c>
      <c r="E925" t="str">
        <f t="shared" si="0"/>
        <v>Sí</v>
      </c>
      <c r="F925" t="str">
        <f t="shared" si="1"/>
        <v>Sí</v>
      </c>
      <c r="G925" t="str">
        <f t="shared" si="2"/>
        <v>Sí</v>
      </c>
      <c r="H925" t="str">
        <f t="shared" si="3"/>
        <v>Sí</v>
      </c>
    </row>
    <row r="926" spans="1:8" x14ac:dyDescent="0.25">
      <c r="A926" t="s">
        <v>124</v>
      </c>
      <c r="B926" t="s">
        <v>784</v>
      </c>
      <c r="C926" t="s">
        <v>786</v>
      </c>
      <c r="E926" t="str">
        <f t="shared" si="0"/>
        <v>Sí</v>
      </c>
      <c r="F926" t="str">
        <f t="shared" si="1"/>
        <v>Sí</v>
      </c>
      <c r="G926" t="str">
        <f t="shared" si="2"/>
        <v>No</v>
      </c>
      <c r="H926" t="str">
        <f t="shared" si="3"/>
        <v>No</v>
      </c>
    </row>
    <row r="927" spans="1:8" x14ac:dyDescent="0.25">
      <c r="A927" t="s">
        <v>126</v>
      </c>
      <c r="B927" t="s">
        <v>784</v>
      </c>
      <c r="C927" t="s">
        <v>786</v>
      </c>
      <c r="E927" t="str">
        <f t="shared" si="0"/>
        <v>Sí</v>
      </c>
      <c r="F927" t="str">
        <f t="shared" si="1"/>
        <v>Sí</v>
      </c>
      <c r="G927" t="str">
        <f t="shared" si="2"/>
        <v>Sí</v>
      </c>
      <c r="H927" t="str">
        <f t="shared" si="3"/>
        <v>No</v>
      </c>
    </row>
    <row r="930" spans="1:8" x14ac:dyDescent="0.25">
      <c r="A930" t="s">
        <v>243</v>
      </c>
      <c r="B930" t="s">
        <v>785</v>
      </c>
    </row>
    <row r="931" spans="1:8" x14ac:dyDescent="0.25">
      <c r="A931" t="s">
        <v>114</v>
      </c>
      <c r="B931" t="s">
        <v>785</v>
      </c>
    </row>
    <row r="932" spans="1:8" x14ac:dyDescent="0.25">
      <c r="A932" t="s">
        <v>116</v>
      </c>
      <c r="B932" t="s">
        <v>785</v>
      </c>
    </row>
    <row r="936" spans="1:8" x14ac:dyDescent="0.25">
      <c r="A936" t="s">
        <v>73</v>
      </c>
      <c r="B936" t="s">
        <v>788</v>
      </c>
      <c r="E936" t="str">
        <f>IF(ISERROR(SEARCH("Temp",$A936)&gt;0),"No","Sí")</f>
        <v>Sí</v>
      </c>
      <c r="F936" t="str">
        <f>IF(ISERROR(SEARCH("consigna",$A936)&gt;0),"No","Sí")</f>
        <v>No</v>
      </c>
      <c r="G936" t="str">
        <f>IF(ISERROR(SEARCH("hdad",$A936)&gt;0),"No","Sí")</f>
        <v>No</v>
      </c>
      <c r="H936" t="str">
        <f>IF(ISERROR(SEARCH("CO2",$A936)&gt;0),"No","Sí")</f>
        <v>Sí</v>
      </c>
    </row>
    <row r="937" spans="1:8" x14ac:dyDescent="0.25">
      <c r="A937" t="s">
        <v>122</v>
      </c>
      <c r="B937" t="s">
        <v>788</v>
      </c>
      <c r="E937" t="str">
        <f t="shared" ref="E937:E940" si="4">IF(ISERROR(SEARCH("Temp",$A937)&gt;0),"No","Sí")</f>
        <v>Sí</v>
      </c>
      <c r="F937" t="str">
        <f t="shared" ref="F937:F940" si="5">IF(ISERROR(SEARCH("consigna",$A937)&gt;0),"No","Sí")</f>
        <v>No</v>
      </c>
      <c r="G937" t="str">
        <f t="shared" ref="G937:G940" si="6">IF(ISERROR(SEARCH("hdad",$A937)&gt;0),"No","Sí")</f>
        <v>Sí</v>
      </c>
      <c r="H937" t="str">
        <f t="shared" ref="H937:H940" si="7">IF(ISERROR(SEARCH("CO2",$A937)&gt;0),"No","Sí")</f>
        <v>Sí</v>
      </c>
    </row>
    <row r="938" spans="1:8" x14ac:dyDescent="0.25">
      <c r="A938" t="s">
        <v>114</v>
      </c>
      <c r="B938" t="s">
        <v>788</v>
      </c>
      <c r="E938" t="str">
        <f t="shared" si="4"/>
        <v>Sí</v>
      </c>
      <c r="F938" t="str">
        <f t="shared" si="5"/>
        <v>No</v>
      </c>
      <c r="G938" t="str">
        <f t="shared" si="6"/>
        <v>No</v>
      </c>
      <c r="H938" t="str">
        <f t="shared" si="7"/>
        <v>No</v>
      </c>
    </row>
    <row r="939" spans="1:8" x14ac:dyDescent="0.25">
      <c r="A939" t="s">
        <v>124</v>
      </c>
      <c r="B939" t="s">
        <v>788</v>
      </c>
      <c r="E939" t="str">
        <f t="shared" si="4"/>
        <v>Sí</v>
      </c>
      <c r="F939" t="str">
        <f t="shared" si="5"/>
        <v>Sí</v>
      </c>
      <c r="G939" t="str">
        <f t="shared" si="6"/>
        <v>No</v>
      </c>
      <c r="H939" t="str">
        <f t="shared" si="7"/>
        <v>No</v>
      </c>
    </row>
    <row r="940" spans="1:8" x14ac:dyDescent="0.25">
      <c r="A940" t="s">
        <v>116</v>
      </c>
      <c r="B940" t="s">
        <v>788</v>
      </c>
      <c r="E940" t="str">
        <f t="shared" si="4"/>
        <v>Sí</v>
      </c>
      <c r="F940" t="str">
        <f t="shared" si="5"/>
        <v>No</v>
      </c>
      <c r="G940" t="str">
        <f t="shared" si="6"/>
        <v>Sí</v>
      </c>
      <c r="H940" t="str">
        <f t="shared" si="7"/>
        <v>No</v>
      </c>
    </row>
    <row r="942" spans="1:8" x14ac:dyDescent="0.25">
      <c r="A942" t="s">
        <v>243</v>
      </c>
      <c r="B942" t="s">
        <v>789</v>
      </c>
    </row>
    <row r="943" spans="1:8" x14ac:dyDescent="0.25">
      <c r="A943" t="s">
        <v>120</v>
      </c>
      <c r="B943" t="s">
        <v>789</v>
      </c>
    </row>
    <row r="944" spans="1:8" x14ac:dyDescent="0.25">
      <c r="A944" t="s">
        <v>128</v>
      </c>
      <c r="B944" t="s">
        <v>789</v>
      </c>
    </row>
    <row r="945" spans="1:8" x14ac:dyDescent="0.25">
      <c r="A945" t="s">
        <v>126</v>
      </c>
      <c r="B945" t="s">
        <v>789</v>
      </c>
    </row>
    <row r="950" spans="1:8" x14ac:dyDescent="0.25">
      <c r="A950" t="str" cm="1">
        <f t="array" ref="A950:A958">_xlfn.UNIQUE(A961:A1000)</f>
        <v>Sonda CO2 ambiente</v>
      </c>
      <c r="B950" t="e">
        <f>_xlfn.XLOOKUP(A950,$A$922:$A$927,$B$922:$B$927)</f>
        <v>#N/A</v>
      </c>
      <c r="E950" t="str">
        <f>IF(ISERROR(SEARCH("Temp",$A950)&gt;0),"No","Sí")</f>
        <v>No</v>
      </c>
      <c r="F950" t="str">
        <f>IF(ISERROR(SEARCH("consigna",$A950)&gt;0),"No","Sí")</f>
        <v>No</v>
      </c>
      <c r="G950" t="str">
        <f>IF(ISERROR(SEARCH("hdad",$A950)&gt;0),"No","Sí")</f>
        <v>No</v>
      </c>
      <c r="H950" t="str">
        <f>IF(ISERROR(SEARCH("CO2",$A950)&gt;0),"No","Sí")</f>
        <v>Sí</v>
      </c>
    </row>
    <row r="951" spans="1:8" x14ac:dyDescent="0.25">
      <c r="A951" t="str">
        <v>Sonda Temp y CO2 ambiente</v>
      </c>
      <c r="B951" t="str">
        <f t="shared" ref="B951:B958" si="8">_xlfn.XLOOKUP(A951,$A$922:$A$927,$B$922:$B$927)</f>
        <v>mostrar interface</v>
      </c>
    </row>
    <row r="952" spans="1:8" x14ac:dyDescent="0.25">
      <c r="A952" t="str">
        <v>Sonda Temp consigna y CO2 Ambiente</v>
      </c>
      <c r="B952" t="str">
        <f t="shared" si="8"/>
        <v>mostrar interface</v>
      </c>
    </row>
    <row r="953" spans="1:8" x14ac:dyDescent="0.25">
      <c r="A953" t="str">
        <v>Sonda Temp, hdad y CO2 Ambiente</v>
      </c>
      <c r="B953" t="str">
        <f t="shared" si="8"/>
        <v>mostrar interface</v>
      </c>
    </row>
    <row r="954" spans="1:8" x14ac:dyDescent="0.25">
      <c r="A954" t="str">
        <v>Sonda Temp consigna, hdad y CO2 Ambiente</v>
      </c>
      <c r="B954" t="str">
        <f t="shared" si="8"/>
        <v>mostrar interface</v>
      </c>
    </row>
    <row r="955" spans="1:8" x14ac:dyDescent="0.25">
      <c r="A955" t="str">
        <v>Sonda Temp Ambiente</v>
      </c>
      <c r="B955" t="e">
        <f t="shared" si="8"/>
        <v>#N/A</v>
      </c>
      <c r="E955" t="str">
        <f>IF(ISERROR(SEARCH("Temp",$A955)&gt;0),"No","Sí")</f>
        <v>Sí</v>
      </c>
      <c r="F955" t="str">
        <f>IF(ISERROR(SEARCH("consigna",$A955)&gt;0),"No","Sí")</f>
        <v>No</v>
      </c>
      <c r="G955" t="str">
        <f>IF(ISERROR(SEARCH("hdad",$A955)&gt;0),"No","Sí")</f>
        <v>No</v>
      </c>
      <c r="H955" t="str">
        <f>IF(ISERROR(SEARCH("CO2",$A955)&gt;0),"No","Sí")</f>
        <v>No</v>
      </c>
    </row>
    <row r="956" spans="1:8" x14ac:dyDescent="0.25">
      <c r="A956" t="str">
        <v>Sonda Temp consigna Ambiente</v>
      </c>
      <c r="B956" t="str">
        <f t="shared" si="8"/>
        <v>mostrar interface</v>
      </c>
    </row>
    <row r="957" spans="1:8" x14ac:dyDescent="0.25">
      <c r="A957" t="str">
        <v>Sonda Temp y hdad Ambiente</v>
      </c>
      <c r="B957" t="e">
        <f t="shared" si="8"/>
        <v>#N/A</v>
      </c>
      <c r="E957" t="str">
        <f>IF(ISERROR(SEARCH("Temp",$A957)&gt;0),"No","Sí")</f>
        <v>Sí</v>
      </c>
      <c r="F957" t="str">
        <f>IF(ISERROR(SEARCH("consigna",$A957)&gt;0),"No","Sí")</f>
        <v>No</v>
      </c>
      <c r="G957" t="str">
        <f>IF(ISERROR(SEARCH("hdad",$A957)&gt;0),"No","Sí")</f>
        <v>Sí</v>
      </c>
      <c r="H957" t="str">
        <f>IF(ISERROR(SEARCH("CO2",$A957)&gt;0),"No","Sí")</f>
        <v>No</v>
      </c>
    </row>
    <row r="958" spans="1:8" x14ac:dyDescent="0.25">
      <c r="A958" t="str">
        <v>Sonda Temp consigna y hdad Ambiente</v>
      </c>
      <c r="B958" t="str">
        <f t="shared" si="8"/>
        <v>mostrar interface</v>
      </c>
    </row>
    <row r="961" spans="1:1" x14ac:dyDescent="0.25">
      <c r="A961" t="s">
        <v>243</v>
      </c>
    </row>
    <row r="962" spans="1:1" x14ac:dyDescent="0.25">
      <c r="A962" t="s">
        <v>73</v>
      </c>
    </row>
    <row r="963" spans="1:1" x14ac:dyDescent="0.25">
      <c r="A963" t="s">
        <v>73</v>
      </c>
    </row>
    <row r="964" spans="1:1" x14ac:dyDescent="0.25">
      <c r="A964" t="s">
        <v>73</v>
      </c>
    </row>
    <row r="965" spans="1:1" x14ac:dyDescent="0.25">
      <c r="A965" t="s">
        <v>73</v>
      </c>
    </row>
    <row r="966" spans="1:1" x14ac:dyDescent="0.25">
      <c r="A966" t="s">
        <v>73</v>
      </c>
    </row>
    <row r="967" spans="1:1" x14ac:dyDescent="0.25">
      <c r="A967" t="s">
        <v>120</v>
      </c>
    </row>
    <row r="968" spans="1:1" x14ac:dyDescent="0.25">
      <c r="A968" t="s">
        <v>120</v>
      </c>
    </row>
    <row r="969" spans="1:1" x14ac:dyDescent="0.25">
      <c r="A969" t="s">
        <v>122</v>
      </c>
    </row>
    <row r="970" spans="1:1" x14ac:dyDescent="0.25">
      <c r="A970" t="s">
        <v>122</v>
      </c>
    </row>
    <row r="971" spans="1:1" x14ac:dyDescent="0.25">
      <c r="A971" t="s">
        <v>122</v>
      </c>
    </row>
    <row r="972" spans="1:1" x14ac:dyDescent="0.25">
      <c r="A972" t="s">
        <v>122</v>
      </c>
    </row>
    <row r="973" spans="1:1" x14ac:dyDescent="0.25">
      <c r="A973" t="s">
        <v>122</v>
      </c>
    </row>
    <row r="974" spans="1:1" x14ac:dyDescent="0.25">
      <c r="A974" t="s">
        <v>128</v>
      </c>
    </row>
    <row r="975" spans="1:1" x14ac:dyDescent="0.25">
      <c r="A975" t="s">
        <v>128</v>
      </c>
    </row>
    <row r="976" spans="1:1" x14ac:dyDescent="0.25">
      <c r="A976" t="s">
        <v>128</v>
      </c>
    </row>
    <row r="977" spans="1:1" x14ac:dyDescent="0.25">
      <c r="A977" t="s">
        <v>114</v>
      </c>
    </row>
    <row r="978" spans="1:1" x14ac:dyDescent="0.25">
      <c r="A978" t="s">
        <v>114</v>
      </c>
    </row>
    <row r="979" spans="1:1" x14ac:dyDescent="0.25">
      <c r="A979" t="s">
        <v>114</v>
      </c>
    </row>
    <row r="980" spans="1:1" x14ac:dyDescent="0.25">
      <c r="A980" t="s">
        <v>114</v>
      </c>
    </row>
    <row r="981" spans="1:1" x14ac:dyDescent="0.25">
      <c r="A981" t="s">
        <v>124</v>
      </c>
    </row>
    <row r="982" spans="1:1" x14ac:dyDescent="0.25">
      <c r="A982" t="s">
        <v>124</v>
      </c>
    </row>
    <row r="983" spans="1:1" x14ac:dyDescent="0.25">
      <c r="A983" t="s">
        <v>124</v>
      </c>
    </row>
    <row r="984" spans="1:1" x14ac:dyDescent="0.25">
      <c r="A984" t="s">
        <v>124</v>
      </c>
    </row>
    <row r="985" spans="1:1" x14ac:dyDescent="0.25">
      <c r="A985" t="s">
        <v>124</v>
      </c>
    </row>
    <row r="986" spans="1:1" x14ac:dyDescent="0.25">
      <c r="A986" t="s">
        <v>124</v>
      </c>
    </row>
    <row r="987" spans="1:1" x14ac:dyDescent="0.25">
      <c r="A987" t="s">
        <v>124</v>
      </c>
    </row>
    <row r="988" spans="1:1" x14ac:dyDescent="0.25">
      <c r="A988" t="s">
        <v>124</v>
      </c>
    </row>
    <row r="989" spans="1:1" x14ac:dyDescent="0.25">
      <c r="A989" t="s">
        <v>124</v>
      </c>
    </row>
    <row r="990" spans="1:1" x14ac:dyDescent="0.25">
      <c r="A990" t="s">
        <v>124</v>
      </c>
    </row>
    <row r="991" spans="1:1" x14ac:dyDescent="0.25">
      <c r="A991" t="s">
        <v>124</v>
      </c>
    </row>
    <row r="992" spans="1:1" x14ac:dyDescent="0.25">
      <c r="A992" t="s">
        <v>124</v>
      </c>
    </row>
    <row r="993" spans="1:1" x14ac:dyDescent="0.25">
      <c r="A993" t="s">
        <v>116</v>
      </c>
    </row>
    <row r="994" spans="1:1" x14ac:dyDescent="0.25">
      <c r="A994" t="s">
        <v>116</v>
      </c>
    </row>
    <row r="995" spans="1:1" x14ac:dyDescent="0.25">
      <c r="A995" t="s">
        <v>116</v>
      </c>
    </row>
    <row r="996" spans="1:1" x14ac:dyDescent="0.25">
      <c r="A996" t="s">
        <v>116</v>
      </c>
    </row>
    <row r="997" spans="1:1" x14ac:dyDescent="0.25">
      <c r="A997" t="s">
        <v>126</v>
      </c>
    </row>
    <row r="998" spans="1:1" x14ac:dyDescent="0.25">
      <c r="A998" t="s">
        <v>126</v>
      </c>
    </row>
    <row r="999" spans="1:1" x14ac:dyDescent="0.25">
      <c r="A999" t="s">
        <v>126</v>
      </c>
    </row>
    <row r="1000" spans="1:1" x14ac:dyDescent="0.25">
      <c r="A1000" t="s">
        <v>126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1E23-E1A6-42A2-8C1C-2E9906245B08}">
  <sheetPr codeName="Hoja1"/>
  <dimension ref="A1:AJ579"/>
  <sheetViews>
    <sheetView topLeftCell="A12" zoomScaleNormal="100" workbookViewId="0">
      <selection activeCell="I104" sqref="I104"/>
    </sheetView>
  </sheetViews>
  <sheetFormatPr baseColWidth="10" defaultRowHeight="15" x14ac:dyDescent="0.25"/>
  <cols>
    <col min="1" max="1" width="31.7109375" bestFit="1" customWidth="1"/>
    <col min="2" max="2" width="19.42578125" customWidth="1"/>
    <col min="3" max="3" width="9.140625" bestFit="1" customWidth="1"/>
    <col min="4" max="4" width="8.140625" customWidth="1"/>
    <col min="5" max="5" width="7.85546875" bestFit="1" customWidth="1"/>
    <col min="6" max="7" width="8.140625" customWidth="1"/>
    <col min="8" max="8" width="11.140625" bestFit="1" customWidth="1"/>
    <col min="9" max="9" width="11.28515625" customWidth="1"/>
    <col min="10" max="10" width="3.85546875" customWidth="1"/>
    <col min="11" max="11" width="4.28515625" customWidth="1"/>
    <col min="12" max="15" width="11.42578125" hidden="1" customWidth="1"/>
    <col min="16" max="16" width="3.7109375" customWidth="1"/>
    <col min="17" max="17" width="11.42578125" customWidth="1"/>
    <col min="18" max="18" width="16.28515625" bestFit="1" customWidth="1"/>
    <col min="19" max="19" width="13" customWidth="1"/>
    <col min="20" max="25" width="6.7109375" customWidth="1"/>
    <col min="26" max="26" width="9" customWidth="1"/>
    <col min="27" max="36" width="6" style="14" customWidth="1"/>
    <col min="37" max="51" width="5" customWidth="1"/>
    <col min="52" max="52" width="12.7109375" customWidth="1"/>
  </cols>
  <sheetData>
    <row r="1" spans="2:36" s="3" customFormat="1" ht="23.25" customHeight="1" x14ac:dyDescent="0.25">
      <c r="B1" s="10" t="s">
        <v>143</v>
      </c>
      <c r="C1" s="11" t="s">
        <v>137</v>
      </c>
      <c r="D1" s="11" t="s">
        <v>803</v>
      </c>
      <c r="E1" s="11" t="s">
        <v>138</v>
      </c>
      <c r="F1" s="11" t="s">
        <v>139</v>
      </c>
      <c r="G1" s="11" t="s">
        <v>804</v>
      </c>
      <c r="H1" s="11" t="s">
        <v>140</v>
      </c>
      <c r="I1" s="12" t="s">
        <v>805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2:36" s="3" customFormat="1" x14ac:dyDescent="0.25">
      <c r="B2" s="25" t="s">
        <v>806</v>
      </c>
      <c r="C2" s="4"/>
      <c r="D2" s="4">
        <v>3</v>
      </c>
      <c r="E2" s="4">
        <v>1</v>
      </c>
      <c r="F2" s="4"/>
      <c r="G2" s="4">
        <v>4</v>
      </c>
      <c r="H2" s="4">
        <v>2</v>
      </c>
      <c r="I2" s="6">
        <f t="shared" ref="I2:I11" si="0">SUM(C2:H2)</f>
        <v>10</v>
      </c>
      <c r="AA2" s="13"/>
      <c r="AB2" s="13"/>
      <c r="AC2" s="13"/>
      <c r="AE2" s="13"/>
      <c r="AF2" s="13"/>
      <c r="AG2" s="13"/>
      <c r="AH2" s="13"/>
      <c r="AI2" s="13"/>
      <c r="AJ2" s="13"/>
    </row>
    <row r="3" spans="2:36" s="3" customFormat="1" x14ac:dyDescent="0.25">
      <c r="B3" s="5" t="s">
        <v>807</v>
      </c>
      <c r="C3" s="4"/>
      <c r="D3" s="4">
        <v>7</v>
      </c>
      <c r="E3" s="4">
        <v>2</v>
      </c>
      <c r="F3" s="4">
        <v>2</v>
      </c>
      <c r="G3" s="4">
        <v>4</v>
      </c>
      <c r="H3" s="4">
        <v>3</v>
      </c>
      <c r="I3" s="6">
        <f t="shared" si="0"/>
        <v>18</v>
      </c>
      <c r="AA3" s="13"/>
      <c r="AB3" s="13"/>
      <c r="AC3" s="13"/>
      <c r="AE3" s="13"/>
      <c r="AF3" s="13"/>
      <c r="AG3" s="13"/>
      <c r="AH3" s="13"/>
      <c r="AI3" s="13"/>
      <c r="AJ3" s="13"/>
    </row>
    <row r="4" spans="2:36" s="3" customFormat="1" x14ac:dyDescent="0.25">
      <c r="B4" s="5" t="s">
        <v>808</v>
      </c>
      <c r="C4" s="4"/>
      <c r="D4" s="4">
        <v>7</v>
      </c>
      <c r="E4" s="4">
        <v>2</v>
      </c>
      <c r="F4" s="4">
        <v>2</v>
      </c>
      <c r="G4" s="4">
        <v>4</v>
      </c>
      <c r="H4" s="4">
        <v>3</v>
      </c>
      <c r="I4" s="6">
        <f t="shared" si="0"/>
        <v>18</v>
      </c>
      <c r="AA4" s="13"/>
      <c r="AB4" s="13"/>
      <c r="AC4" s="13"/>
      <c r="AE4" s="13"/>
      <c r="AF4" s="13"/>
      <c r="AG4" s="13"/>
      <c r="AH4" s="13"/>
      <c r="AI4" s="13"/>
      <c r="AJ4" s="13"/>
    </row>
    <row r="5" spans="2:36" s="3" customFormat="1" x14ac:dyDescent="0.25">
      <c r="B5" s="5" t="s">
        <v>809</v>
      </c>
      <c r="C5" s="4"/>
      <c r="D5" s="4">
        <v>4</v>
      </c>
      <c r="E5" s="4">
        <v>2</v>
      </c>
      <c r="F5" s="4"/>
      <c r="G5" s="4">
        <v>3</v>
      </c>
      <c r="H5" s="4">
        <v>6</v>
      </c>
      <c r="I5" s="6">
        <f t="shared" si="0"/>
        <v>15</v>
      </c>
      <c r="AA5" s="13"/>
      <c r="AB5" s="13"/>
      <c r="AC5" s="13"/>
      <c r="AE5" s="13"/>
      <c r="AF5" s="13"/>
      <c r="AG5" s="13"/>
      <c r="AH5" s="13"/>
      <c r="AI5" s="13"/>
      <c r="AJ5" s="13"/>
    </row>
    <row r="6" spans="2:36" s="3" customFormat="1" x14ac:dyDescent="0.25">
      <c r="B6" s="5" t="s">
        <v>810</v>
      </c>
      <c r="C6" s="4"/>
      <c r="D6" s="4">
        <v>3</v>
      </c>
      <c r="E6" s="4">
        <v>1</v>
      </c>
      <c r="F6" s="4"/>
      <c r="G6" s="4">
        <v>4</v>
      </c>
      <c r="H6" s="4">
        <v>2</v>
      </c>
      <c r="I6" s="6">
        <f t="shared" si="0"/>
        <v>10</v>
      </c>
      <c r="AA6" s="13"/>
      <c r="AB6" s="13"/>
      <c r="AC6" s="13"/>
      <c r="AE6" s="13"/>
      <c r="AF6" s="13"/>
      <c r="AG6" s="13"/>
      <c r="AH6" s="13"/>
      <c r="AI6" s="13"/>
      <c r="AJ6" s="13"/>
    </row>
    <row r="7" spans="2:36" s="3" customFormat="1" x14ac:dyDescent="0.25">
      <c r="B7" s="5" t="s">
        <v>811</v>
      </c>
      <c r="C7" s="4"/>
      <c r="D7" s="4">
        <v>7</v>
      </c>
      <c r="E7" s="4">
        <v>2</v>
      </c>
      <c r="F7" s="4">
        <v>2</v>
      </c>
      <c r="G7" s="4">
        <v>4</v>
      </c>
      <c r="H7" s="4">
        <v>3</v>
      </c>
      <c r="I7" s="6">
        <f>SUM(C7:H7)</f>
        <v>18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2:36" s="3" customFormat="1" x14ac:dyDescent="0.25">
      <c r="B8" s="5" t="s">
        <v>812</v>
      </c>
      <c r="C8" s="4"/>
      <c r="D8" s="4">
        <v>7</v>
      </c>
      <c r="E8" s="4">
        <v>2</v>
      </c>
      <c r="F8" s="4">
        <v>2</v>
      </c>
      <c r="G8" s="4">
        <v>4</v>
      </c>
      <c r="H8" s="4">
        <v>3</v>
      </c>
      <c r="I8" s="6">
        <f>SUM(C8:H8)</f>
        <v>18</v>
      </c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2:36" s="3" customFormat="1" x14ac:dyDescent="0.25">
      <c r="B9" s="5" t="s">
        <v>813</v>
      </c>
      <c r="C9" s="4"/>
      <c r="D9" s="4">
        <v>3</v>
      </c>
      <c r="E9" s="4">
        <v>1</v>
      </c>
      <c r="F9" s="4">
        <v>2</v>
      </c>
      <c r="G9" s="4">
        <v>4</v>
      </c>
      <c r="H9" s="4">
        <v>3</v>
      </c>
      <c r="I9" s="6">
        <f t="shared" si="0"/>
        <v>13</v>
      </c>
      <c r="AA9" s="13"/>
      <c r="AB9" s="13"/>
      <c r="AC9" s="13"/>
      <c r="AD9" s="13"/>
      <c r="AE9" s="13"/>
      <c r="AF9" s="13"/>
      <c r="AG9" s="13"/>
      <c r="AH9" s="13"/>
      <c r="AI9" s="17"/>
      <c r="AJ9" s="13"/>
    </row>
    <row r="10" spans="2:36" s="3" customFormat="1" x14ac:dyDescent="0.25">
      <c r="B10" s="5" t="s">
        <v>814</v>
      </c>
      <c r="C10" s="4"/>
      <c r="D10" s="4">
        <v>7</v>
      </c>
      <c r="E10" s="4">
        <v>2</v>
      </c>
      <c r="F10" s="4">
        <v>2</v>
      </c>
      <c r="G10" s="4">
        <v>4</v>
      </c>
      <c r="H10" s="4">
        <v>3</v>
      </c>
      <c r="I10" s="6">
        <f t="shared" si="0"/>
        <v>18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2:36" s="3" customFormat="1" x14ac:dyDescent="0.25">
      <c r="B11" s="7" t="s">
        <v>815</v>
      </c>
      <c r="C11" s="8"/>
      <c r="D11" s="8"/>
      <c r="E11" s="8">
        <v>18</v>
      </c>
      <c r="F11" s="8"/>
      <c r="G11" s="8"/>
      <c r="H11" s="8"/>
      <c r="I11" s="9">
        <f t="shared" si="0"/>
        <v>18</v>
      </c>
      <c r="AA11" s="22" t="s">
        <v>833</v>
      </c>
      <c r="AB11" s="22" t="s">
        <v>834</v>
      </c>
      <c r="AC11" s="22" t="s">
        <v>835</v>
      </c>
      <c r="AD11" s="22" t="s">
        <v>836</v>
      </c>
      <c r="AE11" s="22" t="s">
        <v>837</v>
      </c>
      <c r="AF11" s="22" t="s">
        <v>838</v>
      </c>
      <c r="AG11" s="22" t="s">
        <v>839</v>
      </c>
      <c r="AH11" s="13">
        <v>0</v>
      </c>
      <c r="AI11" s="22" t="s">
        <v>840</v>
      </c>
      <c r="AJ11" s="22" t="s">
        <v>841</v>
      </c>
    </row>
    <row r="13" spans="2:36" hidden="1" x14ac:dyDescent="0.25"/>
    <row r="14" spans="2:36" hidden="1" x14ac:dyDescent="0.25"/>
    <row r="15" spans="2:36" hidden="1" x14ac:dyDescent="0.25"/>
    <row r="16" spans="2:36" hidden="1" x14ac:dyDescent="0.25"/>
    <row r="17" hidden="1" x14ac:dyDescent="0.25"/>
    <row r="18" hidden="1" x14ac:dyDescent="0.25"/>
    <row r="19" hidden="1" x14ac:dyDescent="0.25"/>
    <row r="20" hidden="1" x14ac:dyDescent="0.25"/>
    <row r="21" hidden="1" x14ac:dyDescent="0.25"/>
    <row r="22" hidden="1" x14ac:dyDescent="0.25"/>
    <row r="23" hidden="1" x14ac:dyDescent="0.25"/>
    <row r="24" hidden="1" x14ac:dyDescent="0.25"/>
    <row r="25" hidden="1" x14ac:dyDescent="0.25"/>
    <row r="26" hidden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spans="1:36" hidden="1" x14ac:dyDescent="0.25"/>
    <row r="98" spans="1:36" hidden="1" x14ac:dyDescent="0.25"/>
    <row r="99" spans="1:36" hidden="1" x14ac:dyDescent="0.25"/>
    <row r="100" spans="1:36" hidden="1" x14ac:dyDescent="0.25"/>
    <row r="101" spans="1:36" ht="100.5" customHeight="1" x14ac:dyDescent="0.25">
      <c r="A101" t="s">
        <v>819</v>
      </c>
      <c r="B101" t="s">
        <v>816</v>
      </c>
      <c r="C101" t="s">
        <v>137</v>
      </c>
      <c r="D101" t="s">
        <v>138</v>
      </c>
      <c r="E101" t="s">
        <v>139</v>
      </c>
      <c r="F101" t="s">
        <v>140</v>
      </c>
      <c r="G101" t="s">
        <v>817</v>
      </c>
      <c r="H101" t="s">
        <v>818</v>
      </c>
      <c r="J101" t="s">
        <v>820</v>
      </c>
      <c r="K101" t="s">
        <v>821</v>
      </c>
      <c r="AA101" s="15" t="str" cm="1">
        <f t="array" ref="AA101:AJ101">TRANSPOSE(TablaControladores[REFERENCIA])</f>
        <v>M4-CGE04060-0</v>
      </c>
      <c r="AB101" s="15" t="str">
        <v>M4-CGE09090-0</v>
      </c>
      <c r="AC101" s="15" t="str">
        <v>M4-CGE09090-0H</v>
      </c>
      <c r="AD101" s="15" t="str">
        <v>LC-ATC1510-0</v>
      </c>
      <c r="AE101" s="15" t="str">
        <v>M4-CGM04060-0</v>
      </c>
      <c r="AF101" s="15" t="str">
        <v>M4-CGM09090-0</v>
      </c>
      <c r="AG101" s="15" t="str">
        <v>M4-CGM09090-0H</v>
      </c>
      <c r="AH101" s="15" t="str">
        <v>M4-XPM04060-0</v>
      </c>
      <c r="AI101" s="15" t="str">
        <v>M4-XPM09090-0</v>
      </c>
      <c r="AJ101" s="15" t="str">
        <v>M4-XPM18000-0</v>
      </c>
    </row>
    <row r="102" spans="1:36" x14ac:dyDescent="0.25">
      <c r="A102" t="s">
        <v>822</v>
      </c>
      <c r="B102" t="s">
        <v>827</v>
      </c>
      <c r="C102" s="14">
        <v>0</v>
      </c>
      <c r="D102" s="14">
        <v>2</v>
      </c>
      <c r="E102" s="14">
        <v>0</v>
      </c>
      <c r="F102" s="14">
        <v>1</v>
      </c>
      <c r="G102" s="14">
        <f>SUM(C102:F102)</f>
        <v>3</v>
      </c>
      <c r="H102" s="14"/>
      <c r="J102" t="e" cm="1">
        <f t="array" aca="1" ref="J102" ca="1">TRANSPOSE(_xlfn._xlws.FILTER(_xlfn.ANCHORARRAY(AA101),_xlfn.ANCHORARRAY(AA104)&gt;0,""))</f>
        <v>#VALUE!</v>
      </c>
      <c r="K102" t="e" cm="1">
        <f t="array" aca="1" ref="K102" ca="1">TRANSPOSE(_xlfn._xlws.FILTER(_xlfn.ANCHORARRAY(AA104),_xlfn.ANCHORARRAY(AA104)&gt;0,""))</f>
        <v>#VALUE!</v>
      </c>
      <c r="AA102" t="e" cm="1">
        <f t="array" ref="AA102:AJ102">INDEX(TablaSeleccionControladores[#Data],IFERROR(
  INDEX(
    _xlfn._xlws.SORT(
      _xlfn._xlws.FILTER(
        TablaSeleccionControladores[#Data],
        (TablaSeleccionControladores[MAESTRO]=A103) *
        (TablaSeleccionControladores[NÚMERO DE MAESTROS]=1) *
        (C104 &lt;= (TablaSeleccionControladores[EA] + TablaSeleccionControladores[EU])) *
        ((C104+D104) &lt;= (TablaSeleccionControladores[EA] + TablaSeleccionControladores[EU] + TablaSeleccionControladores[ED])) *
        (E104 &lt;= (TablaSeleccionControladores[SA] + TablaSeleccionControladores[SC])) *
        (F104 &lt;= (TablaSeleccionControladores[SC] + TablaSeleccionControladores[SD])) *
        ((E104+F104) &lt;= (TablaSeleccionControladores[SA] + TablaSeleccionControladores[SC] + TablaSeleccionControladores[SD]))
      ),
      MATCH("COSTE", TablaSeleccionControladores[#Headers], 0)
    ),
    1,
    1
  ),
  "No se ha encontrado una solución"
),_xlfn.SEQUENCE(1,COUNTA(_xlfn.ANCHORARRAY(AA101)),MATCH(AA101, TablaSeleccionControladores[#Headers],0),1))</f>
        <v>#VALUE!</v>
      </c>
      <c r="AB102" t="e">
        <v>#VALUE!</v>
      </c>
      <c r="AC102" s="14" t="e">
        <v>#VALUE!</v>
      </c>
      <c r="AD102" s="14" t="e">
        <v>#VALUE!</v>
      </c>
      <c r="AE102" s="14" t="e">
        <v>#VALUE!</v>
      </c>
      <c r="AF102" s="14" t="e">
        <v>#VALUE!</v>
      </c>
      <c r="AG102" s="14" t="e">
        <v>#VALUE!</v>
      </c>
      <c r="AH102" s="14" t="e">
        <v>#VALUE!</v>
      </c>
      <c r="AI102" s="14" t="e">
        <v>#VALUE!</v>
      </c>
      <c r="AJ102" s="14" t="e">
        <v>#VALUE!</v>
      </c>
    </row>
    <row r="103" spans="1:36" ht="15.75" thickBot="1" x14ac:dyDescent="0.3">
      <c r="A103" t="s">
        <v>830</v>
      </c>
      <c r="B103" t="s">
        <v>823</v>
      </c>
      <c r="C103" s="14">
        <f>ROUNDUP(C102*$H103,0)</f>
        <v>0</v>
      </c>
      <c r="D103" s="14">
        <f>ROUNDUP(D102*$H103,0)</f>
        <v>0</v>
      </c>
      <c r="E103" s="14">
        <f>ROUNDUP(E102*$H103,0)</f>
        <v>0</v>
      </c>
      <c r="F103" s="14">
        <f>ROUNDUP(F102*$H103,0)</f>
        <v>0</v>
      </c>
      <c r="G103" s="14">
        <f>SUM(C103:F103)</f>
        <v>0</v>
      </c>
      <c r="H103" s="16">
        <v>0</v>
      </c>
    </row>
    <row r="104" spans="1:36" ht="15.75" thickBot="1" x14ac:dyDescent="0.3">
      <c r="A104" s="18">
        <v>70</v>
      </c>
      <c r="B104" t="s">
        <v>824</v>
      </c>
      <c r="C104" s="14">
        <f t="shared" ref="C104:F104" si="1">SUM(C102:C103)</f>
        <v>0</v>
      </c>
      <c r="D104" s="14">
        <f t="shared" si="1"/>
        <v>2</v>
      </c>
      <c r="E104" s="14">
        <f t="shared" si="1"/>
        <v>0</v>
      </c>
      <c r="F104" s="14">
        <f t="shared" si="1"/>
        <v>1</v>
      </c>
      <c r="G104" s="14">
        <f t="shared" ref="G104:G105" si="2">SUM(C104:F104)</f>
        <v>3</v>
      </c>
      <c r="H104" s="16">
        <f>IFERROR(ROUND(G104/G102,2),0)</f>
        <v>1</v>
      </c>
      <c r="AA104" s="14" t="e" cm="1">
        <f t="array" aca="1" ref="AA104:AJ104" ca="1">_xlfn.ANCHORARRAY(AA102)+OFFSET(_xlfn.ANCHORARRAY(AA102),1,0)</f>
        <v>#VALUE!</v>
      </c>
      <c r="AB104" s="14" t="e">
        <f ca="1"/>
        <v>#VALUE!</v>
      </c>
      <c r="AC104" s="14" t="e">
        <f ca="1"/>
        <v>#VALUE!</v>
      </c>
      <c r="AD104" s="14" t="e">
        <f ca="1"/>
        <v>#VALUE!</v>
      </c>
      <c r="AE104" s="14" t="e">
        <f ca="1"/>
        <v>#VALUE!</v>
      </c>
      <c r="AF104" s="14" t="e">
        <f ca="1"/>
        <v>#VALUE!</v>
      </c>
      <c r="AG104" s="14" t="e">
        <f ca="1"/>
        <v>#VALUE!</v>
      </c>
      <c r="AH104" s="14" t="e">
        <f ca="1"/>
        <v>#VALUE!</v>
      </c>
      <c r="AI104" s="14" t="e">
        <f ca="1"/>
        <v>#VALUE!</v>
      </c>
      <c r="AJ104" s="14" t="e">
        <f ca="1"/>
        <v>#VALUE!</v>
      </c>
    </row>
    <row r="105" spans="1:36" x14ac:dyDescent="0.25">
      <c r="A105" s="19">
        <v>12</v>
      </c>
      <c r="B105" t="s">
        <v>825</v>
      </c>
      <c r="C105" s="14" t="e" cm="1">
        <f t="array" aca="1" ref="C105" ca="1">IF(J102&lt;&gt;"",SUM(_xlfn.ANCHORARRAY(K102)*_xlfn.XLOOKUP(_xlfn.ANCHORARRAY(J102),TablaControladores[REFERENCIA],TablaControladores[EA],0)+_xlfn.ANCHORARRAY(K102)*_xlfn.XLOOKUP(_xlfn.ANCHORARRAY(J102),TablaControladores[REFERENCIA],TablaControladores[EU],0)+_xlfn.ANCHORARRAY(K102)*_xlfn.XLOOKUP(_xlfn.ANCHORARRAY(J102),TablaControladores[REFERENCIA],TablaControladores[ED],0))-D105,0)</f>
        <v>#VALUE!</v>
      </c>
      <c r="D105" s="14" t="e" cm="1">
        <f t="array" aca="1" ref="D105" ca="1">IF(G102&gt;0,IF(SUM(_xlfn.ANCHORARRAY(K102)*_xlfn.XLOOKUP(_xlfn.ANCHORARRAY(J102),TablaControladores[REFERENCIA],TablaControladores[ED],0))&gt;D104,SUM(_xlfn.ANCHORARRAY(K102)*_xlfn.XLOOKUP(_xlfn.ANCHORARRAY(J102),TablaControladores[REFERENCIA],TablaControladores[ED],0)),D104+ROUNDDOWN((SUM(_xlfn.ANCHORARRAY(K102)*_xlfn.XLOOKUP(_xlfn.ANCHORARRAY(J102),TablaControladores[REFERENCIA],TablaControladores[EA],0)+_xlfn.ANCHORARRAY(K102)*_xlfn.XLOOKUP(_xlfn.ANCHORARRAY(J102),TablaControladores[REFERENCIA],TablaControladores[EU],0)+_xlfn.ANCHORARRAY(K102)*_xlfn.XLOOKUP(_xlfn.ANCHORARRAY(J102),TablaControladores[REFERENCIA],TablaControladores[ED],0))-SUM(C104:D104))*0.5,0)),0)</f>
        <v>#VALUE!</v>
      </c>
      <c r="E105" s="14" t="e" cm="1">
        <f t="array" aca="1" ref="E105" ca="1">IF(G102&gt;0,SUM(_xlfn.ANCHORARRAY(K102)*_xlfn.XLOOKUP(_xlfn.ANCHORARRAY(J102),TablaControladores[REFERENCIA],TablaControladores[SA],0)+_xlfn.ANCHORARRAY(K102)*_xlfn.XLOOKUP(_xlfn.ANCHORARRAY(J102),TablaControladores[REFERENCIA],TablaControladores[SC],0)+_xlfn.ANCHORARRAY(K102)*_xlfn.XLOOKUP(_xlfn.ANCHORARRAY(J102),TablaControladores[REFERENCIA],TablaControladores[SD],0))-F105,0)</f>
        <v>#VALUE!</v>
      </c>
      <c r="F105" s="14" t="e" cm="1">
        <f t="array" aca="1" ref="F105" ca="1">IF(G102&gt;0,IF(SUM(_xlfn.ANCHORARRAY(K102)*_xlfn.XLOOKUP(_xlfn.ANCHORARRAY(J102),TablaControladores[REFERENCIA],TablaControladores[SD],0))&gt;F104,SUM(_xlfn.ANCHORARRAY(K102)*_xlfn.XLOOKUP(_xlfn.ANCHORARRAY(J102),TablaControladores[REFERENCIA],TablaControladores[SD],0)),F104+ROUNDDOWN((SUM(_xlfn.ANCHORARRAY(K102)*_xlfn.XLOOKUP(_xlfn.ANCHORARRAY(J102),TablaControladores[REFERENCIA],TablaControladores[SA],0)+_xlfn.ANCHORARRAY(K102)*_xlfn.XLOOKUP(_xlfn.ANCHORARRAY(J102),TablaControladores[REFERENCIA],TablaControladores[SC],0)+_xlfn.ANCHORARRAY(K102)*_xlfn.XLOOKUP(_xlfn.ANCHORARRAY(J102),TablaControladores[REFERENCIA],TablaControladores[SD],0))-SUM(E104:F104))*0.5,0)),0)</f>
        <v>#VALUE!</v>
      </c>
      <c r="G105" s="14" t="e">
        <f t="shared" ca="1" si="2"/>
        <v>#VALUE!</v>
      </c>
      <c r="H105" s="16">
        <f ca="1">IFERROR(ROUND(G105/G102,2),0)</f>
        <v>0</v>
      </c>
    </row>
    <row r="106" spans="1:36" x14ac:dyDescent="0.25">
      <c r="B106" t="s">
        <v>826</v>
      </c>
      <c r="C106" s="14" t="e">
        <f ca="1">C105-C104</f>
        <v>#VALUE!</v>
      </c>
      <c r="D106" s="14" t="e">
        <f t="shared" ref="D106:G106" ca="1" si="3">D105-D104</f>
        <v>#VALUE!</v>
      </c>
      <c r="E106" s="14" t="e">
        <f t="shared" ca="1" si="3"/>
        <v>#VALUE!</v>
      </c>
      <c r="F106" s="14" t="e">
        <f t="shared" ca="1" si="3"/>
        <v>#VALUE!</v>
      </c>
      <c r="G106" s="14" t="e">
        <f t="shared" ca="1" si="3"/>
        <v>#VALUE!</v>
      </c>
      <c r="H106" s="16">
        <f ca="1">IFERROR(ROUND(G106/G102,2),0)</f>
        <v>0</v>
      </c>
    </row>
    <row r="107" spans="1:36" x14ac:dyDescent="0.25">
      <c r="AA107"/>
      <c r="AB107"/>
    </row>
    <row r="110" spans="1:36" ht="99" customHeight="1" x14ac:dyDescent="0.25">
      <c r="Q110" t="s">
        <v>661</v>
      </c>
      <c r="R110" t="s">
        <v>894</v>
      </c>
      <c r="S110" s="20" t="s">
        <v>882</v>
      </c>
      <c r="T110" t="s">
        <v>137</v>
      </c>
      <c r="U110" t="s">
        <v>803</v>
      </c>
      <c r="V110" t="s">
        <v>138</v>
      </c>
      <c r="W110" t="s">
        <v>139</v>
      </c>
      <c r="X110" t="s">
        <v>804</v>
      </c>
      <c r="Y110" t="s">
        <v>140</v>
      </c>
      <c r="Z110" t="s">
        <v>805</v>
      </c>
      <c r="AA110" s="21" t="s">
        <v>806</v>
      </c>
      <c r="AB110" s="21" t="s">
        <v>807</v>
      </c>
      <c r="AC110" s="21" t="s">
        <v>808</v>
      </c>
      <c r="AD110" s="21" t="s">
        <v>809</v>
      </c>
      <c r="AE110" s="21" t="s">
        <v>810</v>
      </c>
      <c r="AF110" s="21" t="s">
        <v>811</v>
      </c>
      <c r="AG110" s="21" t="s">
        <v>812</v>
      </c>
      <c r="AH110" s="21" t="s">
        <v>813</v>
      </c>
      <c r="AI110" s="21" t="s">
        <v>814</v>
      </c>
      <c r="AJ110" s="21" t="s">
        <v>815</v>
      </c>
    </row>
    <row r="111" spans="1:36" x14ac:dyDescent="0.25">
      <c r="Q111">
        <f t="shared" ref="Q111:Q174" si="4">ROW()-110</f>
        <v>1</v>
      </c>
      <c r="R111" t="s">
        <v>828</v>
      </c>
      <c r="S111">
        <f>SUM(TablaSeleccionControladores[[#This Row],[M4-CGE04060-0]:[M4-CGM09090-0H]])</f>
        <v>1</v>
      </c>
      <c r="T111" s="14" cm="1">
        <f t="array" ref="T111">SUM(_xlfn.XLOOKUP(TablaSeleccionControladores[[#Headers],[M4-CGE04060-0]:[M4-XPM18000-0]],TablaControladores[[REFERENCIA]:[REFERENCIA]],TablaControladores[EA])*$AA111:$AJ111)</f>
        <v>0</v>
      </c>
      <c r="U111" s="14" cm="1">
        <f t="array" ref="U111">SUM(_xlfn.XLOOKUP(TablaSeleccionControladores[[#Headers],[M4-CGE04060-0]:[M4-XPM18000-0]],TablaControladores[[REFERENCIA]:[REFERENCIA]],TablaControladores[EU])*$AA111:$AJ111)</f>
        <v>3</v>
      </c>
      <c r="V111" s="14" cm="1">
        <f t="array" ref="V111">SUM(_xlfn.XLOOKUP(TablaSeleccionControladores[[#Headers],[M4-CGE04060-0]:[M4-XPM18000-0]],TablaControladores[[REFERENCIA]:[REFERENCIA]],TablaControladores[ED])*$AA111:$AJ111)</f>
        <v>1</v>
      </c>
      <c r="W111" s="14" cm="1">
        <f t="array" ref="W111">SUM(_xlfn.XLOOKUP(TablaSeleccionControladores[[#Headers],[M4-CGE04060-0]:[M4-XPM18000-0]],TablaControladores[[REFERENCIA]:[REFERENCIA]],TablaControladores[SA])*$AA111:$AJ111)</f>
        <v>0</v>
      </c>
      <c r="X111" s="14" cm="1">
        <f t="array" ref="X111">SUM(_xlfn.XLOOKUP(TablaSeleccionControladores[[#Headers],[M4-CGE04060-0]:[M4-XPM18000-0]],TablaControladores[[REFERENCIA]:[REFERENCIA]],TablaControladores[SC])*$AA111:$AJ111)</f>
        <v>4</v>
      </c>
      <c r="Y111" s="14" cm="1">
        <f t="array" ref="Y111">SUM(_xlfn.XLOOKUP(TablaSeleccionControladores[[#Headers],[M4-CGE04060-0]:[M4-XPM18000-0]],TablaControladores[[REFERENCIA]:[REFERENCIA]],TablaControladores[SD])*$AA111:$AJ111)</f>
        <v>2</v>
      </c>
      <c r="Z111" s="14">
        <f>SUM(TablaSeleccionControladores[[#This Row],[EA]:[SD]])</f>
        <v>10</v>
      </c>
      <c r="AA111" s="14">
        <v>1</v>
      </c>
      <c r="AH111" s="14">
        <v>0</v>
      </c>
      <c r="AI111" s="14">
        <v>0</v>
      </c>
      <c r="AJ111" s="14">
        <v>0</v>
      </c>
    </row>
    <row r="112" spans="1:36" x14ac:dyDescent="0.25">
      <c r="Q112">
        <f t="shared" si="4"/>
        <v>2</v>
      </c>
      <c r="R112" t="s">
        <v>828</v>
      </c>
      <c r="S112">
        <f>SUM(TablaSeleccionControladores[[#This Row],[M4-CGE04060-0]:[M4-CGM09090-0H]])</f>
        <v>1</v>
      </c>
      <c r="T112" s="14" cm="1">
        <f t="array" ref="T112">SUM(_xlfn.XLOOKUP(TablaSeleccionControladores[[#Headers],[M4-CGE04060-0]:[M4-XPM18000-0]],TablaControladores[[REFERENCIA]:[REFERENCIA]],TablaControladores[EA])*$AA112:$AJ112)</f>
        <v>0</v>
      </c>
      <c r="U112" s="14" cm="1">
        <f t="array" ref="U112">SUM(_xlfn.XLOOKUP(TablaSeleccionControladores[[#Headers],[M4-CGE04060-0]:[M4-XPM18000-0]],TablaControladores[[REFERENCIA]:[REFERENCIA]],TablaControladores[EU])*$AA112:$AJ112)</f>
        <v>3</v>
      </c>
      <c r="V112" s="14" cm="1">
        <f t="array" ref="V112">SUM(_xlfn.XLOOKUP(TablaSeleccionControladores[[#Headers],[M4-CGE04060-0]:[M4-XPM18000-0]],TablaControladores[[REFERENCIA]:[REFERENCIA]],TablaControladores[ED])*$AA112:$AJ112)</f>
        <v>19</v>
      </c>
      <c r="W112" s="14" cm="1">
        <f t="array" ref="W112">SUM(_xlfn.XLOOKUP(TablaSeleccionControladores[[#Headers],[M4-CGE04060-0]:[M4-XPM18000-0]],TablaControladores[[REFERENCIA]:[REFERENCIA]],TablaControladores[SA])*$AA112:$AJ112)</f>
        <v>0</v>
      </c>
      <c r="X112" s="14" cm="1">
        <f t="array" ref="X112">SUM(_xlfn.XLOOKUP(TablaSeleccionControladores[[#Headers],[M4-CGE04060-0]:[M4-XPM18000-0]],TablaControladores[[REFERENCIA]:[REFERENCIA]],TablaControladores[SC])*$AA112:$AJ112)</f>
        <v>4</v>
      </c>
      <c r="Y112" s="14" cm="1">
        <f t="array" ref="Y112">SUM(_xlfn.XLOOKUP(TablaSeleccionControladores[[#Headers],[M4-CGE04060-0]:[M4-XPM18000-0]],TablaControladores[[REFERENCIA]:[REFERENCIA]],TablaControladores[SD])*$AA112:$AJ112)</f>
        <v>2</v>
      </c>
      <c r="Z112" s="14">
        <f>SUM(TablaSeleccionControladores[[#This Row],[EA]:[SD]])</f>
        <v>28</v>
      </c>
      <c r="AA112" s="14">
        <v>1</v>
      </c>
      <c r="AH112" s="14">
        <v>0</v>
      </c>
      <c r="AI112" s="14">
        <v>0</v>
      </c>
      <c r="AJ112" s="14">
        <v>1</v>
      </c>
    </row>
    <row r="113" spans="17:36" x14ac:dyDescent="0.25">
      <c r="Q113">
        <f t="shared" si="4"/>
        <v>3</v>
      </c>
      <c r="R113" t="s">
        <v>828</v>
      </c>
      <c r="S113">
        <f>SUM(TablaSeleccionControladores[[#This Row],[M4-CGE04060-0]:[M4-CGM09090-0H]])</f>
        <v>1</v>
      </c>
      <c r="T113" s="14" cm="1">
        <f t="array" ref="T113">SUM(_xlfn.XLOOKUP(TablaSeleccionControladores[[#Headers],[M4-CGE04060-0]:[M4-XPM18000-0]],TablaControladores[[REFERENCIA]:[REFERENCIA]],TablaControladores[EA])*$AA113:$AJ113)</f>
        <v>0</v>
      </c>
      <c r="U113" s="14" cm="1">
        <f t="array" ref="U113">SUM(_xlfn.XLOOKUP(TablaSeleccionControladores[[#Headers],[M4-CGE04060-0]:[M4-XPM18000-0]],TablaControladores[[REFERENCIA]:[REFERENCIA]],TablaControladores[EU])*$AA113:$AJ113)</f>
        <v>3</v>
      </c>
      <c r="V113" s="14" cm="1">
        <f t="array" ref="V113">SUM(_xlfn.XLOOKUP(TablaSeleccionControladores[[#Headers],[M4-CGE04060-0]:[M4-XPM18000-0]],TablaControladores[[REFERENCIA]:[REFERENCIA]],TablaControladores[ED])*$AA113:$AJ113)</f>
        <v>37</v>
      </c>
      <c r="W113" s="14" cm="1">
        <f t="array" ref="W113">SUM(_xlfn.XLOOKUP(TablaSeleccionControladores[[#Headers],[M4-CGE04060-0]:[M4-XPM18000-0]],TablaControladores[[REFERENCIA]:[REFERENCIA]],TablaControladores[SA])*$AA113:$AJ113)</f>
        <v>0</v>
      </c>
      <c r="X113" s="14" cm="1">
        <f t="array" ref="X113">SUM(_xlfn.XLOOKUP(TablaSeleccionControladores[[#Headers],[M4-CGE04060-0]:[M4-XPM18000-0]],TablaControladores[[REFERENCIA]:[REFERENCIA]],TablaControladores[SC])*$AA113:$AJ113)</f>
        <v>4</v>
      </c>
      <c r="Y113" s="14" cm="1">
        <f t="array" ref="Y113">SUM(_xlfn.XLOOKUP(TablaSeleccionControladores[[#Headers],[M4-CGE04060-0]:[M4-XPM18000-0]],TablaControladores[[REFERENCIA]:[REFERENCIA]],TablaControladores[SD])*$AA113:$AJ113)</f>
        <v>2</v>
      </c>
      <c r="Z113" s="14">
        <f>SUM(TablaSeleccionControladores[[#This Row],[EA]:[SD]])</f>
        <v>46</v>
      </c>
      <c r="AA113" s="14">
        <v>1</v>
      </c>
      <c r="AH113" s="14">
        <v>0</v>
      </c>
      <c r="AI113" s="14">
        <v>0</v>
      </c>
      <c r="AJ113" s="14">
        <v>2</v>
      </c>
    </row>
    <row r="114" spans="17:36" x14ac:dyDescent="0.25">
      <c r="Q114">
        <f t="shared" si="4"/>
        <v>4</v>
      </c>
      <c r="R114" t="s">
        <v>828</v>
      </c>
      <c r="S114">
        <f>SUM(TablaSeleccionControladores[[#This Row],[M4-CGE04060-0]:[M4-CGM09090-0H]])</f>
        <v>1</v>
      </c>
      <c r="T114" s="14" cm="1">
        <f t="array" ref="T114">SUM(_xlfn.XLOOKUP(TablaSeleccionControladores[[#Headers],[M4-CGE04060-0]:[M4-XPM18000-0]],TablaControladores[[REFERENCIA]:[REFERENCIA]],TablaControladores[EA])*$AA114:$AJ114)</f>
        <v>0</v>
      </c>
      <c r="U114" s="14" cm="1">
        <f t="array" ref="U114">SUM(_xlfn.XLOOKUP(TablaSeleccionControladores[[#Headers],[M4-CGE04060-0]:[M4-XPM18000-0]],TablaControladores[[REFERENCIA]:[REFERENCIA]],TablaControladores[EU])*$AA114:$AJ114)</f>
        <v>3</v>
      </c>
      <c r="V114" s="14" cm="1">
        <f t="array" ref="V114">SUM(_xlfn.XLOOKUP(TablaSeleccionControladores[[#Headers],[M4-CGE04060-0]:[M4-XPM18000-0]],TablaControladores[[REFERENCIA]:[REFERENCIA]],TablaControladores[ED])*$AA114:$AJ114)</f>
        <v>55</v>
      </c>
      <c r="W114" s="14" cm="1">
        <f t="array" ref="W114">SUM(_xlfn.XLOOKUP(TablaSeleccionControladores[[#Headers],[M4-CGE04060-0]:[M4-XPM18000-0]],TablaControladores[[REFERENCIA]:[REFERENCIA]],TablaControladores[SA])*$AA114:$AJ114)</f>
        <v>0</v>
      </c>
      <c r="X114" s="14" cm="1">
        <f t="array" ref="X114">SUM(_xlfn.XLOOKUP(TablaSeleccionControladores[[#Headers],[M4-CGE04060-0]:[M4-XPM18000-0]],TablaControladores[[REFERENCIA]:[REFERENCIA]],TablaControladores[SC])*$AA114:$AJ114)</f>
        <v>4</v>
      </c>
      <c r="Y114" s="14" cm="1">
        <f t="array" ref="Y114">SUM(_xlfn.XLOOKUP(TablaSeleccionControladores[[#Headers],[M4-CGE04060-0]:[M4-XPM18000-0]],TablaControladores[[REFERENCIA]:[REFERENCIA]],TablaControladores[SD])*$AA114:$AJ114)</f>
        <v>2</v>
      </c>
      <c r="Z114" s="14">
        <f>SUM(TablaSeleccionControladores[[#This Row],[EA]:[SD]])</f>
        <v>64</v>
      </c>
      <c r="AA114" s="14">
        <v>1</v>
      </c>
      <c r="AH114" s="14">
        <v>0</v>
      </c>
      <c r="AI114" s="14">
        <v>0</v>
      </c>
      <c r="AJ114" s="14">
        <v>3</v>
      </c>
    </row>
    <row r="115" spans="17:36" x14ac:dyDescent="0.25">
      <c r="Q115">
        <f t="shared" si="4"/>
        <v>5</v>
      </c>
      <c r="R115" t="s">
        <v>828</v>
      </c>
      <c r="S115">
        <f>SUM(TablaSeleccionControladores[[#This Row],[M4-CGE04060-0]:[M4-CGM09090-0H]])</f>
        <v>1</v>
      </c>
      <c r="T115" s="14" cm="1">
        <f t="array" ref="T115">SUM(_xlfn.XLOOKUP(TablaSeleccionControladores[[#Headers],[M4-CGE04060-0]:[M4-XPM18000-0]],TablaControladores[[REFERENCIA]:[REFERENCIA]],TablaControladores[EA])*$AA115:$AJ115)</f>
        <v>0</v>
      </c>
      <c r="U115" s="14" cm="1">
        <f t="array" ref="U115">SUM(_xlfn.XLOOKUP(TablaSeleccionControladores[[#Headers],[M4-CGE04060-0]:[M4-XPM18000-0]],TablaControladores[[REFERENCIA]:[REFERENCIA]],TablaControladores[EU])*$AA115:$AJ115)</f>
        <v>3</v>
      </c>
      <c r="V115" s="14" cm="1">
        <f t="array" ref="V115">SUM(_xlfn.XLOOKUP(TablaSeleccionControladores[[#Headers],[M4-CGE04060-0]:[M4-XPM18000-0]],TablaControladores[[REFERENCIA]:[REFERENCIA]],TablaControladores[ED])*$AA115:$AJ115)</f>
        <v>73</v>
      </c>
      <c r="W115" s="14" cm="1">
        <f t="array" ref="W115">SUM(_xlfn.XLOOKUP(TablaSeleccionControladores[[#Headers],[M4-CGE04060-0]:[M4-XPM18000-0]],TablaControladores[[REFERENCIA]:[REFERENCIA]],TablaControladores[SA])*$AA115:$AJ115)</f>
        <v>0</v>
      </c>
      <c r="X115" s="14" cm="1">
        <f t="array" ref="X115">SUM(_xlfn.XLOOKUP(TablaSeleccionControladores[[#Headers],[M4-CGE04060-0]:[M4-XPM18000-0]],TablaControladores[[REFERENCIA]:[REFERENCIA]],TablaControladores[SC])*$AA115:$AJ115)</f>
        <v>4</v>
      </c>
      <c r="Y115" s="14" cm="1">
        <f t="array" ref="Y115">SUM(_xlfn.XLOOKUP(TablaSeleccionControladores[[#Headers],[M4-CGE04060-0]:[M4-XPM18000-0]],TablaControladores[[REFERENCIA]:[REFERENCIA]],TablaControladores[SD])*$AA115:$AJ115)</f>
        <v>2</v>
      </c>
      <c r="Z115" s="14">
        <f>SUM(TablaSeleccionControladores[[#This Row],[EA]:[SD]])</f>
        <v>82</v>
      </c>
      <c r="AA115" s="14">
        <v>1</v>
      </c>
      <c r="AH115" s="14">
        <v>0</v>
      </c>
      <c r="AI115" s="14">
        <v>0</v>
      </c>
      <c r="AJ115" s="14">
        <v>4</v>
      </c>
    </row>
    <row r="116" spans="17:36" x14ac:dyDescent="0.25">
      <c r="Q116">
        <f t="shared" si="4"/>
        <v>6</v>
      </c>
      <c r="R116" t="s">
        <v>828</v>
      </c>
      <c r="S116">
        <f>SUM(TablaSeleccionControladores[[#This Row],[M4-CGE04060-0]:[M4-CGM09090-0H]])</f>
        <v>1</v>
      </c>
      <c r="T116" s="14" cm="1">
        <f t="array" ref="T116">SUM(_xlfn.XLOOKUP(TablaSeleccionControladores[[#Headers],[M4-CGE04060-0]:[M4-XPM18000-0]],TablaControladores[[REFERENCIA]:[REFERENCIA]],TablaControladores[EA])*$AA116:$AJ116)</f>
        <v>0</v>
      </c>
      <c r="U116" s="14" cm="1">
        <f t="array" ref="U116">SUM(_xlfn.XLOOKUP(TablaSeleccionControladores[[#Headers],[M4-CGE04060-0]:[M4-XPM18000-0]],TablaControladores[[REFERENCIA]:[REFERENCIA]],TablaControladores[EU])*$AA116:$AJ116)</f>
        <v>3</v>
      </c>
      <c r="V116" s="14" cm="1">
        <f t="array" ref="V116">SUM(_xlfn.XLOOKUP(TablaSeleccionControladores[[#Headers],[M4-CGE04060-0]:[M4-XPM18000-0]],TablaControladores[[REFERENCIA]:[REFERENCIA]],TablaControladores[ED])*$AA116:$AJ116)</f>
        <v>91</v>
      </c>
      <c r="W116" s="14" cm="1">
        <f t="array" ref="W116">SUM(_xlfn.XLOOKUP(TablaSeleccionControladores[[#Headers],[M4-CGE04060-0]:[M4-XPM18000-0]],TablaControladores[[REFERENCIA]:[REFERENCIA]],TablaControladores[SA])*$AA116:$AJ116)</f>
        <v>0</v>
      </c>
      <c r="X116" s="14" cm="1">
        <f t="array" ref="X116">SUM(_xlfn.XLOOKUP(TablaSeleccionControladores[[#Headers],[M4-CGE04060-0]:[M4-XPM18000-0]],TablaControladores[[REFERENCIA]:[REFERENCIA]],TablaControladores[SC])*$AA116:$AJ116)</f>
        <v>4</v>
      </c>
      <c r="Y116" s="14" cm="1">
        <f t="array" ref="Y116">SUM(_xlfn.XLOOKUP(TablaSeleccionControladores[[#Headers],[M4-CGE04060-0]:[M4-XPM18000-0]],TablaControladores[[REFERENCIA]:[REFERENCIA]],TablaControladores[SD])*$AA116:$AJ116)</f>
        <v>2</v>
      </c>
      <c r="Z116" s="14">
        <f>SUM(TablaSeleccionControladores[[#This Row],[EA]:[SD]])</f>
        <v>100</v>
      </c>
      <c r="AA116" s="14">
        <v>1</v>
      </c>
      <c r="AH116" s="14">
        <v>0</v>
      </c>
      <c r="AI116" s="14">
        <v>0</v>
      </c>
      <c r="AJ116" s="14">
        <v>5</v>
      </c>
    </row>
    <row r="117" spans="17:36" x14ac:dyDescent="0.25">
      <c r="Q117">
        <f t="shared" si="4"/>
        <v>7</v>
      </c>
      <c r="R117" t="s">
        <v>828</v>
      </c>
      <c r="S117">
        <f>SUM(TablaSeleccionControladores[[#This Row],[M4-CGE04060-0]:[M4-CGM09090-0H]])</f>
        <v>1</v>
      </c>
      <c r="T117" s="14" cm="1">
        <f t="array" ref="T117">SUM(_xlfn.XLOOKUP(TablaSeleccionControladores[[#Headers],[M4-CGE04060-0]:[M4-XPM18000-0]],TablaControladores[[REFERENCIA]:[REFERENCIA]],TablaControladores[EA])*$AA117:$AJ117)</f>
        <v>0</v>
      </c>
      <c r="U117" s="14" cm="1">
        <f t="array" ref="U117">SUM(_xlfn.XLOOKUP(TablaSeleccionControladores[[#Headers],[M4-CGE04060-0]:[M4-XPM18000-0]],TablaControladores[[REFERENCIA]:[REFERENCIA]],TablaControladores[EU])*$AA117:$AJ117)</f>
        <v>3</v>
      </c>
      <c r="V117" s="14" cm="1">
        <f t="array" ref="V117">SUM(_xlfn.XLOOKUP(TablaSeleccionControladores[[#Headers],[M4-CGE04060-0]:[M4-XPM18000-0]],TablaControladores[[REFERENCIA]:[REFERENCIA]],TablaControladores[ED])*$AA117:$AJ117)</f>
        <v>109</v>
      </c>
      <c r="W117" s="14" cm="1">
        <f t="array" ref="W117">SUM(_xlfn.XLOOKUP(TablaSeleccionControladores[[#Headers],[M4-CGE04060-0]:[M4-XPM18000-0]],TablaControladores[[REFERENCIA]:[REFERENCIA]],TablaControladores[SA])*$AA117:$AJ117)</f>
        <v>0</v>
      </c>
      <c r="X117" s="14" cm="1">
        <f t="array" ref="X117">SUM(_xlfn.XLOOKUP(TablaSeleccionControladores[[#Headers],[M4-CGE04060-0]:[M4-XPM18000-0]],TablaControladores[[REFERENCIA]:[REFERENCIA]],TablaControladores[SC])*$AA117:$AJ117)</f>
        <v>4</v>
      </c>
      <c r="Y117" s="14" cm="1">
        <f t="array" ref="Y117">SUM(_xlfn.XLOOKUP(TablaSeleccionControladores[[#Headers],[M4-CGE04060-0]:[M4-XPM18000-0]],TablaControladores[[REFERENCIA]:[REFERENCIA]],TablaControladores[SD])*$AA117:$AJ117)</f>
        <v>2</v>
      </c>
      <c r="Z117" s="14">
        <f>SUM(TablaSeleccionControladores[[#This Row],[EA]:[SD]])</f>
        <v>118</v>
      </c>
      <c r="AA117" s="14">
        <v>1</v>
      </c>
      <c r="AH117" s="14">
        <v>0</v>
      </c>
      <c r="AI117" s="14">
        <v>0</v>
      </c>
      <c r="AJ117" s="14">
        <v>6</v>
      </c>
    </row>
    <row r="118" spans="17:36" x14ac:dyDescent="0.25">
      <c r="Q118">
        <f t="shared" si="4"/>
        <v>8</v>
      </c>
      <c r="R118" t="s">
        <v>828</v>
      </c>
      <c r="S118">
        <f>SUM(TablaSeleccionControladores[[#This Row],[M4-CGE04060-0]:[M4-CGM09090-0H]])</f>
        <v>1</v>
      </c>
      <c r="T118" s="14" cm="1">
        <f t="array" ref="T118">SUM(_xlfn.XLOOKUP(TablaSeleccionControladores[[#Headers],[M4-CGE04060-0]:[M4-XPM18000-0]],TablaControladores[[REFERENCIA]:[REFERENCIA]],TablaControladores[EA])*$AA118:$AJ118)</f>
        <v>0</v>
      </c>
      <c r="U118" s="14" cm="1">
        <f t="array" ref="U118">SUM(_xlfn.XLOOKUP(TablaSeleccionControladores[[#Headers],[M4-CGE04060-0]:[M4-XPM18000-0]],TablaControladores[[REFERENCIA]:[REFERENCIA]],TablaControladores[EU])*$AA118:$AJ118)</f>
        <v>10</v>
      </c>
      <c r="V118" s="14" cm="1">
        <f t="array" ref="V118">SUM(_xlfn.XLOOKUP(TablaSeleccionControladores[[#Headers],[M4-CGE04060-0]:[M4-XPM18000-0]],TablaControladores[[REFERENCIA]:[REFERENCIA]],TablaControladores[ED])*$AA118:$AJ118)</f>
        <v>3</v>
      </c>
      <c r="W118" s="14" cm="1">
        <f t="array" ref="W118">SUM(_xlfn.XLOOKUP(TablaSeleccionControladores[[#Headers],[M4-CGE04060-0]:[M4-XPM18000-0]],TablaControladores[[REFERENCIA]:[REFERENCIA]],TablaControladores[SA])*$AA118:$AJ118)</f>
        <v>2</v>
      </c>
      <c r="X118" s="14" cm="1">
        <f t="array" ref="X118">SUM(_xlfn.XLOOKUP(TablaSeleccionControladores[[#Headers],[M4-CGE04060-0]:[M4-XPM18000-0]],TablaControladores[[REFERENCIA]:[REFERENCIA]],TablaControladores[SC])*$AA118:$AJ118)</f>
        <v>8</v>
      </c>
      <c r="Y118" s="14" cm="1">
        <f t="array" ref="Y118">SUM(_xlfn.XLOOKUP(TablaSeleccionControladores[[#Headers],[M4-CGE04060-0]:[M4-XPM18000-0]],TablaControladores[[REFERENCIA]:[REFERENCIA]],TablaControladores[SD])*$AA118:$AJ118)</f>
        <v>5</v>
      </c>
      <c r="Z118" s="14">
        <f>SUM(TablaSeleccionControladores[[#This Row],[EA]:[SD]])</f>
        <v>28</v>
      </c>
      <c r="AA118" s="14">
        <v>1</v>
      </c>
      <c r="AH118" s="14">
        <v>0</v>
      </c>
      <c r="AI118" s="14">
        <v>1</v>
      </c>
      <c r="AJ118" s="14">
        <v>0</v>
      </c>
    </row>
    <row r="119" spans="17:36" x14ac:dyDescent="0.25">
      <c r="Q119">
        <f t="shared" si="4"/>
        <v>9</v>
      </c>
      <c r="R119" t="s">
        <v>828</v>
      </c>
      <c r="S119">
        <f>SUM(TablaSeleccionControladores[[#This Row],[M4-CGE04060-0]:[M4-CGM09090-0H]])</f>
        <v>1</v>
      </c>
      <c r="T119" s="14" cm="1">
        <f t="array" ref="T119">SUM(_xlfn.XLOOKUP(TablaSeleccionControladores[[#Headers],[M4-CGE04060-0]:[M4-XPM18000-0]],TablaControladores[[REFERENCIA]:[REFERENCIA]],TablaControladores[EA])*$AA119:$AJ119)</f>
        <v>0</v>
      </c>
      <c r="U119" s="14" cm="1">
        <f t="array" ref="U119">SUM(_xlfn.XLOOKUP(TablaSeleccionControladores[[#Headers],[M4-CGE04060-0]:[M4-XPM18000-0]],TablaControladores[[REFERENCIA]:[REFERENCIA]],TablaControladores[EU])*$AA119:$AJ119)</f>
        <v>10</v>
      </c>
      <c r="V119" s="14" cm="1">
        <f t="array" ref="V119">SUM(_xlfn.XLOOKUP(TablaSeleccionControladores[[#Headers],[M4-CGE04060-0]:[M4-XPM18000-0]],TablaControladores[[REFERENCIA]:[REFERENCIA]],TablaControladores[ED])*$AA119:$AJ119)</f>
        <v>21</v>
      </c>
      <c r="W119" s="14" cm="1">
        <f t="array" ref="W119">SUM(_xlfn.XLOOKUP(TablaSeleccionControladores[[#Headers],[M4-CGE04060-0]:[M4-XPM18000-0]],TablaControladores[[REFERENCIA]:[REFERENCIA]],TablaControladores[SA])*$AA119:$AJ119)</f>
        <v>2</v>
      </c>
      <c r="X119" s="14" cm="1">
        <f t="array" ref="X119">SUM(_xlfn.XLOOKUP(TablaSeleccionControladores[[#Headers],[M4-CGE04060-0]:[M4-XPM18000-0]],TablaControladores[[REFERENCIA]:[REFERENCIA]],TablaControladores[SC])*$AA119:$AJ119)</f>
        <v>8</v>
      </c>
      <c r="Y119" s="14" cm="1">
        <f t="array" ref="Y119">SUM(_xlfn.XLOOKUP(TablaSeleccionControladores[[#Headers],[M4-CGE04060-0]:[M4-XPM18000-0]],TablaControladores[[REFERENCIA]:[REFERENCIA]],TablaControladores[SD])*$AA119:$AJ119)</f>
        <v>5</v>
      </c>
      <c r="Z119" s="14">
        <f>SUM(TablaSeleccionControladores[[#This Row],[EA]:[SD]])</f>
        <v>46</v>
      </c>
      <c r="AA119" s="14">
        <v>1</v>
      </c>
      <c r="AH119" s="14">
        <v>0</v>
      </c>
      <c r="AI119" s="14">
        <v>1</v>
      </c>
      <c r="AJ119" s="14">
        <v>1</v>
      </c>
    </row>
    <row r="120" spans="17:36" x14ac:dyDescent="0.25">
      <c r="Q120">
        <f t="shared" si="4"/>
        <v>10</v>
      </c>
      <c r="R120" t="s">
        <v>828</v>
      </c>
      <c r="S120">
        <f>SUM(TablaSeleccionControladores[[#This Row],[M4-CGE04060-0]:[M4-CGM09090-0H]])</f>
        <v>1</v>
      </c>
      <c r="T120" s="14" cm="1">
        <f t="array" ref="T120">SUM(_xlfn.XLOOKUP(TablaSeleccionControladores[[#Headers],[M4-CGE04060-0]:[M4-XPM18000-0]],TablaControladores[[REFERENCIA]:[REFERENCIA]],TablaControladores[EA])*$AA120:$AJ120)</f>
        <v>0</v>
      </c>
      <c r="U120" s="14" cm="1">
        <f t="array" ref="U120">SUM(_xlfn.XLOOKUP(TablaSeleccionControladores[[#Headers],[M4-CGE04060-0]:[M4-XPM18000-0]],TablaControladores[[REFERENCIA]:[REFERENCIA]],TablaControladores[EU])*$AA120:$AJ120)</f>
        <v>10</v>
      </c>
      <c r="V120" s="14" cm="1">
        <f t="array" ref="V120">SUM(_xlfn.XLOOKUP(TablaSeleccionControladores[[#Headers],[M4-CGE04060-0]:[M4-XPM18000-0]],TablaControladores[[REFERENCIA]:[REFERENCIA]],TablaControladores[ED])*$AA120:$AJ120)</f>
        <v>39</v>
      </c>
      <c r="W120" s="14" cm="1">
        <f t="array" ref="W120">SUM(_xlfn.XLOOKUP(TablaSeleccionControladores[[#Headers],[M4-CGE04060-0]:[M4-XPM18000-0]],TablaControladores[[REFERENCIA]:[REFERENCIA]],TablaControladores[SA])*$AA120:$AJ120)</f>
        <v>2</v>
      </c>
      <c r="X120" s="14" cm="1">
        <f t="array" ref="X120">SUM(_xlfn.XLOOKUP(TablaSeleccionControladores[[#Headers],[M4-CGE04060-0]:[M4-XPM18000-0]],TablaControladores[[REFERENCIA]:[REFERENCIA]],TablaControladores[SC])*$AA120:$AJ120)</f>
        <v>8</v>
      </c>
      <c r="Y120" s="14" cm="1">
        <f t="array" ref="Y120">SUM(_xlfn.XLOOKUP(TablaSeleccionControladores[[#Headers],[M4-CGE04060-0]:[M4-XPM18000-0]],TablaControladores[[REFERENCIA]:[REFERENCIA]],TablaControladores[SD])*$AA120:$AJ120)</f>
        <v>5</v>
      </c>
      <c r="Z120" s="14">
        <f>SUM(TablaSeleccionControladores[[#This Row],[EA]:[SD]])</f>
        <v>64</v>
      </c>
      <c r="AA120" s="14">
        <v>1</v>
      </c>
      <c r="AH120" s="14">
        <v>0</v>
      </c>
      <c r="AI120" s="14">
        <v>1</v>
      </c>
      <c r="AJ120" s="14">
        <v>2</v>
      </c>
    </row>
    <row r="121" spans="17:36" x14ac:dyDescent="0.25">
      <c r="Q121">
        <f t="shared" si="4"/>
        <v>11</v>
      </c>
      <c r="R121" t="s">
        <v>828</v>
      </c>
      <c r="S121">
        <f>SUM(TablaSeleccionControladores[[#This Row],[M4-CGE04060-0]:[M4-CGM09090-0H]])</f>
        <v>1</v>
      </c>
      <c r="T121" s="14" cm="1">
        <f t="array" ref="T121">SUM(_xlfn.XLOOKUP(TablaSeleccionControladores[[#Headers],[M4-CGE04060-0]:[M4-XPM18000-0]],TablaControladores[[REFERENCIA]:[REFERENCIA]],TablaControladores[EA])*$AA121:$AJ121)</f>
        <v>0</v>
      </c>
      <c r="U121" s="14" cm="1">
        <f t="array" ref="U121">SUM(_xlfn.XLOOKUP(TablaSeleccionControladores[[#Headers],[M4-CGE04060-0]:[M4-XPM18000-0]],TablaControladores[[REFERENCIA]:[REFERENCIA]],TablaControladores[EU])*$AA121:$AJ121)</f>
        <v>10</v>
      </c>
      <c r="V121" s="14" cm="1">
        <f t="array" ref="V121">SUM(_xlfn.XLOOKUP(TablaSeleccionControladores[[#Headers],[M4-CGE04060-0]:[M4-XPM18000-0]],TablaControladores[[REFERENCIA]:[REFERENCIA]],TablaControladores[ED])*$AA121:$AJ121)</f>
        <v>57</v>
      </c>
      <c r="W121" s="14" cm="1">
        <f t="array" ref="W121">SUM(_xlfn.XLOOKUP(TablaSeleccionControladores[[#Headers],[M4-CGE04060-0]:[M4-XPM18000-0]],TablaControladores[[REFERENCIA]:[REFERENCIA]],TablaControladores[SA])*$AA121:$AJ121)</f>
        <v>2</v>
      </c>
      <c r="X121" s="14" cm="1">
        <f t="array" ref="X121">SUM(_xlfn.XLOOKUP(TablaSeleccionControladores[[#Headers],[M4-CGE04060-0]:[M4-XPM18000-0]],TablaControladores[[REFERENCIA]:[REFERENCIA]],TablaControladores[SC])*$AA121:$AJ121)</f>
        <v>8</v>
      </c>
      <c r="Y121" s="14" cm="1">
        <f t="array" ref="Y121">SUM(_xlfn.XLOOKUP(TablaSeleccionControladores[[#Headers],[M4-CGE04060-0]:[M4-XPM18000-0]],TablaControladores[[REFERENCIA]:[REFERENCIA]],TablaControladores[SD])*$AA121:$AJ121)</f>
        <v>5</v>
      </c>
      <c r="Z121" s="14">
        <f>SUM(TablaSeleccionControladores[[#This Row],[EA]:[SD]])</f>
        <v>82</v>
      </c>
      <c r="AA121" s="14">
        <v>1</v>
      </c>
      <c r="AH121" s="14">
        <v>0</v>
      </c>
      <c r="AI121" s="14">
        <v>1</v>
      </c>
      <c r="AJ121" s="14">
        <v>3</v>
      </c>
    </row>
    <row r="122" spans="17:36" x14ac:dyDescent="0.25">
      <c r="Q122">
        <f t="shared" si="4"/>
        <v>12</v>
      </c>
      <c r="R122" t="s">
        <v>828</v>
      </c>
      <c r="S122">
        <f>SUM(TablaSeleccionControladores[[#This Row],[M4-CGE04060-0]:[M4-CGM09090-0H]])</f>
        <v>1</v>
      </c>
      <c r="T122" s="14" cm="1">
        <f t="array" ref="T122">SUM(_xlfn.XLOOKUP(TablaSeleccionControladores[[#Headers],[M4-CGE04060-0]:[M4-XPM18000-0]],TablaControladores[[REFERENCIA]:[REFERENCIA]],TablaControladores[EA])*$AA122:$AJ122)</f>
        <v>0</v>
      </c>
      <c r="U122" s="14" cm="1">
        <f t="array" ref="U122">SUM(_xlfn.XLOOKUP(TablaSeleccionControladores[[#Headers],[M4-CGE04060-0]:[M4-XPM18000-0]],TablaControladores[[REFERENCIA]:[REFERENCIA]],TablaControladores[EU])*$AA122:$AJ122)</f>
        <v>10</v>
      </c>
      <c r="V122" s="14" cm="1">
        <f t="array" ref="V122">SUM(_xlfn.XLOOKUP(TablaSeleccionControladores[[#Headers],[M4-CGE04060-0]:[M4-XPM18000-0]],TablaControladores[[REFERENCIA]:[REFERENCIA]],TablaControladores[ED])*$AA122:$AJ122)</f>
        <v>75</v>
      </c>
      <c r="W122" s="14" cm="1">
        <f t="array" ref="W122">SUM(_xlfn.XLOOKUP(TablaSeleccionControladores[[#Headers],[M4-CGE04060-0]:[M4-XPM18000-0]],TablaControladores[[REFERENCIA]:[REFERENCIA]],TablaControladores[SA])*$AA122:$AJ122)</f>
        <v>2</v>
      </c>
      <c r="X122" s="14" cm="1">
        <f t="array" ref="X122">SUM(_xlfn.XLOOKUP(TablaSeleccionControladores[[#Headers],[M4-CGE04060-0]:[M4-XPM18000-0]],TablaControladores[[REFERENCIA]:[REFERENCIA]],TablaControladores[SC])*$AA122:$AJ122)</f>
        <v>8</v>
      </c>
      <c r="Y122" s="14" cm="1">
        <f t="array" ref="Y122">SUM(_xlfn.XLOOKUP(TablaSeleccionControladores[[#Headers],[M4-CGE04060-0]:[M4-XPM18000-0]],TablaControladores[[REFERENCIA]:[REFERENCIA]],TablaControladores[SD])*$AA122:$AJ122)</f>
        <v>5</v>
      </c>
      <c r="Z122" s="14">
        <f>SUM(TablaSeleccionControladores[[#This Row],[EA]:[SD]])</f>
        <v>100</v>
      </c>
      <c r="AA122" s="14">
        <v>1</v>
      </c>
      <c r="AH122" s="14">
        <v>0</v>
      </c>
      <c r="AI122" s="14">
        <v>1</v>
      </c>
      <c r="AJ122" s="14">
        <v>4</v>
      </c>
    </row>
    <row r="123" spans="17:36" x14ac:dyDescent="0.25">
      <c r="Q123">
        <f t="shared" si="4"/>
        <v>13</v>
      </c>
      <c r="R123" t="s">
        <v>828</v>
      </c>
      <c r="S123">
        <f>SUM(TablaSeleccionControladores[[#This Row],[M4-CGE04060-0]:[M4-CGM09090-0H]])</f>
        <v>1</v>
      </c>
      <c r="T123" s="14" cm="1">
        <f t="array" ref="T123">SUM(_xlfn.XLOOKUP(TablaSeleccionControladores[[#Headers],[M4-CGE04060-0]:[M4-XPM18000-0]],TablaControladores[[REFERENCIA]:[REFERENCIA]],TablaControladores[EA])*$AA123:$AJ123)</f>
        <v>0</v>
      </c>
      <c r="U123" s="14" cm="1">
        <f t="array" ref="U123">SUM(_xlfn.XLOOKUP(TablaSeleccionControladores[[#Headers],[M4-CGE04060-0]:[M4-XPM18000-0]],TablaControladores[[REFERENCIA]:[REFERENCIA]],TablaControladores[EU])*$AA123:$AJ123)</f>
        <v>10</v>
      </c>
      <c r="V123" s="14" cm="1">
        <f t="array" ref="V123">SUM(_xlfn.XLOOKUP(TablaSeleccionControladores[[#Headers],[M4-CGE04060-0]:[M4-XPM18000-0]],TablaControladores[[REFERENCIA]:[REFERENCIA]],TablaControladores[ED])*$AA123:$AJ123)</f>
        <v>93</v>
      </c>
      <c r="W123" s="14" cm="1">
        <f t="array" ref="W123">SUM(_xlfn.XLOOKUP(TablaSeleccionControladores[[#Headers],[M4-CGE04060-0]:[M4-XPM18000-0]],TablaControladores[[REFERENCIA]:[REFERENCIA]],TablaControladores[SA])*$AA123:$AJ123)</f>
        <v>2</v>
      </c>
      <c r="X123" s="14" cm="1">
        <f t="array" ref="X123">SUM(_xlfn.XLOOKUP(TablaSeleccionControladores[[#Headers],[M4-CGE04060-0]:[M4-XPM18000-0]],TablaControladores[[REFERENCIA]:[REFERENCIA]],TablaControladores[SC])*$AA123:$AJ123)</f>
        <v>8</v>
      </c>
      <c r="Y123" s="14" cm="1">
        <f t="array" ref="Y123">SUM(_xlfn.XLOOKUP(TablaSeleccionControladores[[#Headers],[M4-CGE04060-0]:[M4-XPM18000-0]],TablaControladores[[REFERENCIA]:[REFERENCIA]],TablaControladores[SD])*$AA123:$AJ123)</f>
        <v>5</v>
      </c>
      <c r="Z123" s="14">
        <f>SUM(TablaSeleccionControladores[[#This Row],[EA]:[SD]])</f>
        <v>118</v>
      </c>
      <c r="AA123" s="14">
        <v>1</v>
      </c>
      <c r="AH123" s="14">
        <v>0</v>
      </c>
      <c r="AI123" s="14">
        <v>1</v>
      </c>
      <c r="AJ123" s="14">
        <v>5</v>
      </c>
    </row>
    <row r="124" spans="17:36" x14ac:dyDescent="0.25">
      <c r="Q124">
        <f t="shared" si="4"/>
        <v>14</v>
      </c>
      <c r="R124" t="s">
        <v>828</v>
      </c>
      <c r="S124">
        <f>SUM(TablaSeleccionControladores[[#This Row],[M4-CGE04060-0]:[M4-CGM09090-0H]])</f>
        <v>1</v>
      </c>
      <c r="T124" s="14" cm="1">
        <f t="array" ref="T124">SUM(_xlfn.XLOOKUP(TablaSeleccionControladores[[#Headers],[M4-CGE04060-0]:[M4-XPM18000-0]],TablaControladores[[REFERENCIA]:[REFERENCIA]],TablaControladores[EA])*$AA124:$AJ124)</f>
        <v>0</v>
      </c>
      <c r="U124" s="14" cm="1">
        <f t="array" ref="U124">SUM(_xlfn.XLOOKUP(TablaSeleccionControladores[[#Headers],[M4-CGE04060-0]:[M4-XPM18000-0]],TablaControladores[[REFERENCIA]:[REFERENCIA]],TablaControladores[EU])*$AA124:$AJ124)</f>
        <v>17</v>
      </c>
      <c r="V124" s="14" cm="1">
        <f t="array" ref="V124">SUM(_xlfn.XLOOKUP(TablaSeleccionControladores[[#Headers],[M4-CGE04060-0]:[M4-XPM18000-0]],TablaControladores[[REFERENCIA]:[REFERENCIA]],TablaControladores[ED])*$AA124:$AJ124)</f>
        <v>5</v>
      </c>
      <c r="W124" s="14" cm="1">
        <f t="array" ref="W124">SUM(_xlfn.XLOOKUP(TablaSeleccionControladores[[#Headers],[M4-CGE04060-0]:[M4-XPM18000-0]],TablaControladores[[REFERENCIA]:[REFERENCIA]],TablaControladores[SA])*$AA124:$AJ124)</f>
        <v>4</v>
      </c>
      <c r="X124" s="14" cm="1">
        <f t="array" ref="X124">SUM(_xlfn.XLOOKUP(TablaSeleccionControladores[[#Headers],[M4-CGE04060-0]:[M4-XPM18000-0]],TablaControladores[[REFERENCIA]:[REFERENCIA]],TablaControladores[SC])*$AA124:$AJ124)</f>
        <v>12</v>
      </c>
      <c r="Y124" s="14" cm="1">
        <f t="array" ref="Y124">SUM(_xlfn.XLOOKUP(TablaSeleccionControladores[[#Headers],[M4-CGE04060-0]:[M4-XPM18000-0]],TablaControladores[[REFERENCIA]:[REFERENCIA]],TablaControladores[SD])*$AA124:$AJ124)</f>
        <v>8</v>
      </c>
      <c r="Z124" s="14">
        <f>SUM(TablaSeleccionControladores[[#This Row],[EA]:[SD]])</f>
        <v>46</v>
      </c>
      <c r="AA124" s="14">
        <v>1</v>
      </c>
      <c r="AH124" s="14">
        <v>0</v>
      </c>
      <c r="AI124" s="14">
        <v>2</v>
      </c>
      <c r="AJ124" s="14">
        <v>0</v>
      </c>
    </row>
    <row r="125" spans="17:36" x14ac:dyDescent="0.25">
      <c r="Q125">
        <f t="shared" si="4"/>
        <v>15</v>
      </c>
      <c r="R125" t="s">
        <v>828</v>
      </c>
      <c r="S125">
        <f>SUM(TablaSeleccionControladores[[#This Row],[M4-CGE04060-0]:[M4-CGM09090-0H]])</f>
        <v>1</v>
      </c>
      <c r="T125" s="14" cm="1">
        <f t="array" ref="T125">SUM(_xlfn.XLOOKUP(TablaSeleccionControladores[[#Headers],[M4-CGE04060-0]:[M4-XPM18000-0]],TablaControladores[[REFERENCIA]:[REFERENCIA]],TablaControladores[EA])*$AA125:$AJ125)</f>
        <v>0</v>
      </c>
      <c r="U125" s="14" cm="1">
        <f t="array" ref="U125">SUM(_xlfn.XLOOKUP(TablaSeleccionControladores[[#Headers],[M4-CGE04060-0]:[M4-XPM18000-0]],TablaControladores[[REFERENCIA]:[REFERENCIA]],TablaControladores[EU])*$AA125:$AJ125)</f>
        <v>17</v>
      </c>
      <c r="V125" s="14" cm="1">
        <f t="array" ref="V125">SUM(_xlfn.XLOOKUP(TablaSeleccionControladores[[#Headers],[M4-CGE04060-0]:[M4-XPM18000-0]],TablaControladores[[REFERENCIA]:[REFERENCIA]],TablaControladores[ED])*$AA125:$AJ125)</f>
        <v>23</v>
      </c>
      <c r="W125" s="14" cm="1">
        <f t="array" ref="W125">SUM(_xlfn.XLOOKUP(TablaSeleccionControladores[[#Headers],[M4-CGE04060-0]:[M4-XPM18000-0]],TablaControladores[[REFERENCIA]:[REFERENCIA]],TablaControladores[SA])*$AA125:$AJ125)</f>
        <v>4</v>
      </c>
      <c r="X125" s="14" cm="1">
        <f t="array" ref="X125">SUM(_xlfn.XLOOKUP(TablaSeleccionControladores[[#Headers],[M4-CGE04060-0]:[M4-XPM18000-0]],TablaControladores[[REFERENCIA]:[REFERENCIA]],TablaControladores[SC])*$AA125:$AJ125)</f>
        <v>12</v>
      </c>
      <c r="Y125" s="14" cm="1">
        <f t="array" ref="Y125">SUM(_xlfn.XLOOKUP(TablaSeleccionControladores[[#Headers],[M4-CGE04060-0]:[M4-XPM18000-0]],TablaControladores[[REFERENCIA]:[REFERENCIA]],TablaControladores[SD])*$AA125:$AJ125)</f>
        <v>8</v>
      </c>
      <c r="Z125" s="14">
        <f>SUM(TablaSeleccionControladores[[#This Row],[EA]:[SD]])</f>
        <v>64</v>
      </c>
      <c r="AA125" s="14">
        <v>1</v>
      </c>
      <c r="AH125" s="14">
        <v>0</v>
      </c>
      <c r="AI125" s="14">
        <v>2</v>
      </c>
      <c r="AJ125" s="14">
        <v>1</v>
      </c>
    </row>
    <row r="126" spans="17:36" x14ac:dyDescent="0.25">
      <c r="Q126">
        <f t="shared" si="4"/>
        <v>16</v>
      </c>
      <c r="R126" t="s">
        <v>828</v>
      </c>
      <c r="S126">
        <f>SUM(TablaSeleccionControladores[[#This Row],[M4-CGE04060-0]:[M4-CGM09090-0H]])</f>
        <v>1</v>
      </c>
      <c r="T126" s="14" cm="1">
        <f t="array" ref="T126">SUM(_xlfn.XLOOKUP(TablaSeleccionControladores[[#Headers],[M4-CGE04060-0]:[M4-XPM18000-0]],TablaControladores[[REFERENCIA]:[REFERENCIA]],TablaControladores[EA])*$AA126:$AJ126)</f>
        <v>0</v>
      </c>
      <c r="U126" s="14" cm="1">
        <f t="array" ref="U126">SUM(_xlfn.XLOOKUP(TablaSeleccionControladores[[#Headers],[M4-CGE04060-0]:[M4-XPM18000-0]],TablaControladores[[REFERENCIA]:[REFERENCIA]],TablaControladores[EU])*$AA126:$AJ126)</f>
        <v>17</v>
      </c>
      <c r="V126" s="14" cm="1">
        <f t="array" ref="V126">SUM(_xlfn.XLOOKUP(TablaSeleccionControladores[[#Headers],[M4-CGE04060-0]:[M4-XPM18000-0]],TablaControladores[[REFERENCIA]:[REFERENCIA]],TablaControladores[ED])*$AA126:$AJ126)</f>
        <v>41</v>
      </c>
      <c r="W126" s="14" cm="1">
        <f t="array" ref="W126">SUM(_xlfn.XLOOKUP(TablaSeleccionControladores[[#Headers],[M4-CGE04060-0]:[M4-XPM18000-0]],TablaControladores[[REFERENCIA]:[REFERENCIA]],TablaControladores[SA])*$AA126:$AJ126)</f>
        <v>4</v>
      </c>
      <c r="X126" s="14" cm="1">
        <f t="array" ref="X126">SUM(_xlfn.XLOOKUP(TablaSeleccionControladores[[#Headers],[M4-CGE04060-0]:[M4-XPM18000-0]],TablaControladores[[REFERENCIA]:[REFERENCIA]],TablaControladores[SC])*$AA126:$AJ126)</f>
        <v>12</v>
      </c>
      <c r="Y126" s="14" cm="1">
        <f t="array" ref="Y126">SUM(_xlfn.XLOOKUP(TablaSeleccionControladores[[#Headers],[M4-CGE04060-0]:[M4-XPM18000-0]],TablaControladores[[REFERENCIA]:[REFERENCIA]],TablaControladores[SD])*$AA126:$AJ126)</f>
        <v>8</v>
      </c>
      <c r="Z126" s="14">
        <f>SUM(TablaSeleccionControladores[[#This Row],[EA]:[SD]])</f>
        <v>82</v>
      </c>
      <c r="AA126" s="14">
        <v>1</v>
      </c>
      <c r="AH126" s="14">
        <v>0</v>
      </c>
      <c r="AI126" s="14">
        <v>2</v>
      </c>
      <c r="AJ126" s="14">
        <v>2</v>
      </c>
    </row>
    <row r="127" spans="17:36" x14ac:dyDescent="0.25">
      <c r="Q127">
        <f t="shared" si="4"/>
        <v>17</v>
      </c>
      <c r="R127" t="s">
        <v>828</v>
      </c>
      <c r="S127">
        <f>SUM(TablaSeleccionControladores[[#This Row],[M4-CGE04060-0]:[M4-CGM09090-0H]])</f>
        <v>1</v>
      </c>
      <c r="T127" s="14" cm="1">
        <f t="array" ref="T127">SUM(_xlfn.XLOOKUP(TablaSeleccionControladores[[#Headers],[M4-CGE04060-0]:[M4-XPM18000-0]],TablaControladores[[REFERENCIA]:[REFERENCIA]],TablaControladores[EA])*$AA127:$AJ127)</f>
        <v>0</v>
      </c>
      <c r="U127" s="14" cm="1">
        <f t="array" ref="U127">SUM(_xlfn.XLOOKUP(TablaSeleccionControladores[[#Headers],[M4-CGE04060-0]:[M4-XPM18000-0]],TablaControladores[[REFERENCIA]:[REFERENCIA]],TablaControladores[EU])*$AA127:$AJ127)</f>
        <v>17</v>
      </c>
      <c r="V127" s="14" cm="1">
        <f t="array" ref="V127">SUM(_xlfn.XLOOKUP(TablaSeleccionControladores[[#Headers],[M4-CGE04060-0]:[M4-XPM18000-0]],TablaControladores[[REFERENCIA]:[REFERENCIA]],TablaControladores[ED])*$AA127:$AJ127)</f>
        <v>59</v>
      </c>
      <c r="W127" s="14" cm="1">
        <f t="array" ref="W127">SUM(_xlfn.XLOOKUP(TablaSeleccionControladores[[#Headers],[M4-CGE04060-0]:[M4-XPM18000-0]],TablaControladores[[REFERENCIA]:[REFERENCIA]],TablaControladores[SA])*$AA127:$AJ127)</f>
        <v>4</v>
      </c>
      <c r="X127" s="14" cm="1">
        <f t="array" ref="X127">SUM(_xlfn.XLOOKUP(TablaSeleccionControladores[[#Headers],[M4-CGE04060-0]:[M4-XPM18000-0]],TablaControladores[[REFERENCIA]:[REFERENCIA]],TablaControladores[SC])*$AA127:$AJ127)</f>
        <v>12</v>
      </c>
      <c r="Y127" s="14" cm="1">
        <f t="array" ref="Y127">SUM(_xlfn.XLOOKUP(TablaSeleccionControladores[[#Headers],[M4-CGE04060-0]:[M4-XPM18000-0]],TablaControladores[[REFERENCIA]:[REFERENCIA]],TablaControladores[SD])*$AA127:$AJ127)</f>
        <v>8</v>
      </c>
      <c r="Z127" s="14">
        <f>SUM(TablaSeleccionControladores[[#This Row],[EA]:[SD]])</f>
        <v>100</v>
      </c>
      <c r="AA127" s="14">
        <v>1</v>
      </c>
      <c r="AH127" s="14">
        <v>0</v>
      </c>
      <c r="AI127" s="14">
        <v>2</v>
      </c>
      <c r="AJ127" s="14">
        <v>3</v>
      </c>
    </row>
    <row r="128" spans="17:36" x14ac:dyDescent="0.25">
      <c r="Q128">
        <f t="shared" si="4"/>
        <v>18</v>
      </c>
      <c r="R128" t="s">
        <v>828</v>
      </c>
      <c r="S128">
        <f>SUM(TablaSeleccionControladores[[#This Row],[M4-CGE04060-0]:[M4-CGM09090-0H]])</f>
        <v>1</v>
      </c>
      <c r="T128" s="14" cm="1">
        <f t="array" ref="T128">SUM(_xlfn.XLOOKUP(TablaSeleccionControladores[[#Headers],[M4-CGE04060-0]:[M4-XPM18000-0]],TablaControladores[[REFERENCIA]:[REFERENCIA]],TablaControladores[EA])*$AA128:$AJ128)</f>
        <v>0</v>
      </c>
      <c r="U128" s="14" cm="1">
        <f t="array" ref="U128">SUM(_xlfn.XLOOKUP(TablaSeleccionControladores[[#Headers],[M4-CGE04060-0]:[M4-XPM18000-0]],TablaControladores[[REFERENCIA]:[REFERENCIA]],TablaControladores[EU])*$AA128:$AJ128)</f>
        <v>17</v>
      </c>
      <c r="V128" s="14" cm="1">
        <f t="array" ref="V128">SUM(_xlfn.XLOOKUP(TablaSeleccionControladores[[#Headers],[M4-CGE04060-0]:[M4-XPM18000-0]],TablaControladores[[REFERENCIA]:[REFERENCIA]],TablaControladores[ED])*$AA128:$AJ128)</f>
        <v>77</v>
      </c>
      <c r="W128" s="14" cm="1">
        <f t="array" ref="W128">SUM(_xlfn.XLOOKUP(TablaSeleccionControladores[[#Headers],[M4-CGE04060-0]:[M4-XPM18000-0]],TablaControladores[[REFERENCIA]:[REFERENCIA]],TablaControladores[SA])*$AA128:$AJ128)</f>
        <v>4</v>
      </c>
      <c r="X128" s="14" cm="1">
        <f t="array" ref="X128">SUM(_xlfn.XLOOKUP(TablaSeleccionControladores[[#Headers],[M4-CGE04060-0]:[M4-XPM18000-0]],TablaControladores[[REFERENCIA]:[REFERENCIA]],TablaControladores[SC])*$AA128:$AJ128)</f>
        <v>12</v>
      </c>
      <c r="Y128" s="14" cm="1">
        <f t="array" ref="Y128">SUM(_xlfn.XLOOKUP(TablaSeleccionControladores[[#Headers],[M4-CGE04060-0]:[M4-XPM18000-0]],TablaControladores[[REFERENCIA]:[REFERENCIA]],TablaControladores[SD])*$AA128:$AJ128)</f>
        <v>8</v>
      </c>
      <c r="Z128" s="14">
        <f>SUM(TablaSeleccionControladores[[#This Row],[EA]:[SD]])</f>
        <v>118</v>
      </c>
      <c r="AA128" s="14">
        <v>1</v>
      </c>
      <c r="AH128" s="14">
        <v>0</v>
      </c>
      <c r="AI128" s="14">
        <v>2</v>
      </c>
      <c r="AJ128" s="14">
        <v>4</v>
      </c>
    </row>
    <row r="129" spans="17:36" x14ac:dyDescent="0.25">
      <c r="Q129">
        <f t="shared" si="4"/>
        <v>19</v>
      </c>
      <c r="R129" t="s">
        <v>828</v>
      </c>
      <c r="S129">
        <f>SUM(TablaSeleccionControladores[[#This Row],[M4-CGE04060-0]:[M4-CGM09090-0H]])</f>
        <v>1</v>
      </c>
      <c r="T129" s="14" cm="1">
        <f t="array" ref="T129">SUM(_xlfn.XLOOKUP(TablaSeleccionControladores[[#Headers],[M4-CGE04060-0]:[M4-XPM18000-0]],TablaControladores[[REFERENCIA]:[REFERENCIA]],TablaControladores[EA])*$AA129:$AJ129)</f>
        <v>0</v>
      </c>
      <c r="U129" s="14" cm="1">
        <f t="array" ref="U129">SUM(_xlfn.XLOOKUP(TablaSeleccionControladores[[#Headers],[M4-CGE04060-0]:[M4-XPM18000-0]],TablaControladores[[REFERENCIA]:[REFERENCIA]],TablaControladores[EU])*$AA129:$AJ129)</f>
        <v>24</v>
      </c>
      <c r="V129" s="14" cm="1">
        <f t="array" ref="V129">SUM(_xlfn.XLOOKUP(TablaSeleccionControladores[[#Headers],[M4-CGE04060-0]:[M4-XPM18000-0]],TablaControladores[[REFERENCIA]:[REFERENCIA]],TablaControladores[ED])*$AA129:$AJ129)</f>
        <v>7</v>
      </c>
      <c r="W129" s="14" cm="1">
        <f t="array" ref="W129">SUM(_xlfn.XLOOKUP(TablaSeleccionControladores[[#Headers],[M4-CGE04060-0]:[M4-XPM18000-0]],TablaControladores[[REFERENCIA]:[REFERENCIA]],TablaControladores[SA])*$AA129:$AJ129)</f>
        <v>6</v>
      </c>
      <c r="X129" s="14" cm="1">
        <f t="array" ref="X129">SUM(_xlfn.XLOOKUP(TablaSeleccionControladores[[#Headers],[M4-CGE04060-0]:[M4-XPM18000-0]],TablaControladores[[REFERENCIA]:[REFERENCIA]],TablaControladores[SC])*$AA129:$AJ129)</f>
        <v>16</v>
      </c>
      <c r="Y129" s="14" cm="1">
        <f t="array" ref="Y129">SUM(_xlfn.XLOOKUP(TablaSeleccionControladores[[#Headers],[M4-CGE04060-0]:[M4-XPM18000-0]],TablaControladores[[REFERENCIA]:[REFERENCIA]],TablaControladores[SD])*$AA129:$AJ129)</f>
        <v>11</v>
      </c>
      <c r="Z129" s="14">
        <f>SUM(TablaSeleccionControladores[[#This Row],[EA]:[SD]])</f>
        <v>64</v>
      </c>
      <c r="AA129" s="14">
        <v>1</v>
      </c>
      <c r="AH129" s="14">
        <v>0</v>
      </c>
      <c r="AI129" s="14">
        <v>3</v>
      </c>
      <c r="AJ129" s="14">
        <v>0</v>
      </c>
    </row>
    <row r="130" spans="17:36" x14ac:dyDescent="0.25">
      <c r="Q130">
        <f t="shared" si="4"/>
        <v>20</v>
      </c>
      <c r="R130" t="s">
        <v>828</v>
      </c>
      <c r="S130">
        <f>SUM(TablaSeleccionControladores[[#This Row],[M4-CGE04060-0]:[M4-CGM09090-0H]])</f>
        <v>1</v>
      </c>
      <c r="T130" s="14" cm="1">
        <f t="array" ref="T130">SUM(_xlfn.XLOOKUP(TablaSeleccionControladores[[#Headers],[M4-CGE04060-0]:[M4-XPM18000-0]],TablaControladores[[REFERENCIA]:[REFERENCIA]],TablaControladores[EA])*$AA130:$AJ130)</f>
        <v>0</v>
      </c>
      <c r="U130" s="14" cm="1">
        <f t="array" ref="U130">SUM(_xlfn.XLOOKUP(TablaSeleccionControladores[[#Headers],[M4-CGE04060-0]:[M4-XPM18000-0]],TablaControladores[[REFERENCIA]:[REFERENCIA]],TablaControladores[EU])*$AA130:$AJ130)</f>
        <v>24</v>
      </c>
      <c r="V130" s="14" cm="1">
        <f t="array" ref="V130">SUM(_xlfn.XLOOKUP(TablaSeleccionControladores[[#Headers],[M4-CGE04060-0]:[M4-XPM18000-0]],TablaControladores[[REFERENCIA]:[REFERENCIA]],TablaControladores[ED])*$AA130:$AJ130)</f>
        <v>25</v>
      </c>
      <c r="W130" s="14" cm="1">
        <f t="array" ref="W130">SUM(_xlfn.XLOOKUP(TablaSeleccionControladores[[#Headers],[M4-CGE04060-0]:[M4-XPM18000-0]],TablaControladores[[REFERENCIA]:[REFERENCIA]],TablaControladores[SA])*$AA130:$AJ130)</f>
        <v>6</v>
      </c>
      <c r="X130" s="14" cm="1">
        <f t="array" ref="X130">SUM(_xlfn.XLOOKUP(TablaSeleccionControladores[[#Headers],[M4-CGE04060-0]:[M4-XPM18000-0]],TablaControladores[[REFERENCIA]:[REFERENCIA]],TablaControladores[SC])*$AA130:$AJ130)</f>
        <v>16</v>
      </c>
      <c r="Y130" s="14" cm="1">
        <f t="array" ref="Y130">SUM(_xlfn.XLOOKUP(TablaSeleccionControladores[[#Headers],[M4-CGE04060-0]:[M4-XPM18000-0]],TablaControladores[[REFERENCIA]:[REFERENCIA]],TablaControladores[SD])*$AA130:$AJ130)</f>
        <v>11</v>
      </c>
      <c r="Z130" s="14">
        <f>SUM(TablaSeleccionControladores[[#This Row],[EA]:[SD]])</f>
        <v>82</v>
      </c>
      <c r="AA130" s="14">
        <v>1</v>
      </c>
      <c r="AH130" s="14">
        <v>0</v>
      </c>
      <c r="AI130" s="14">
        <v>3</v>
      </c>
      <c r="AJ130" s="14">
        <v>1</v>
      </c>
    </row>
    <row r="131" spans="17:36" x14ac:dyDescent="0.25">
      <c r="Q131">
        <f t="shared" si="4"/>
        <v>21</v>
      </c>
      <c r="R131" t="s">
        <v>828</v>
      </c>
      <c r="S131">
        <f>SUM(TablaSeleccionControladores[[#This Row],[M4-CGE04060-0]:[M4-CGM09090-0H]])</f>
        <v>1</v>
      </c>
      <c r="T131" s="14" cm="1">
        <f t="array" ref="T131">SUM(_xlfn.XLOOKUP(TablaSeleccionControladores[[#Headers],[M4-CGE04060-0]:[M4-XPM18000-0]],TablaControladores[[REFERENCIA]:[REFERENCIA]],TablaControladores[EA])*$AA131:$AJ131)</f>
        <v>0</v>
      </c>
      <c r="U131" s="14" cm="1">
        <f t="array" ref="U131">SUM(_xlfn.XLOOKUP(TablaSeleccionControladores[[#Headers],[M4-CGE04060-0]:[M4-XPM18000-0]],TablaControladores[[REFERENCIA]:[REFERENCIA]],TablaControladores[EU])*$AA131:$AJ131)</f>
        <v>24</v>
      </c>
      <c r="V131" s="14" cm="1">
        <f t="array" ref="V131">SUM(_xlfn.XLOOKUP(TablaSeleccionControladores[[#Headers],[M4-CGE04060-0]:[M4-XPM18000-0]],TablaControladores[[REFERENCIA]:[REFERENCIA]],TablaControladores[ED])*$AA131:$AJ131)</f>
        <v>43</v>
      </c>
      <c r="W131" s="14" cm="1">
        <f t="array" ref="W131">SUM(_xlfn.XLOOKUP(TablaSeleccionControladores[[#Headers],[M4-CGE04060-0]:[M4-XPM18000-0]],TablaControladores[[REFERENCIA]:[REFERENCIA]],TablaControladores[SA])*$AA131:$AJ131)</f>
        <v>6</v>
      </c>
      <c r="X131" s="14" cm="1">
        <f t="array" ref="X131">SUM(_xlfn.XLOOKUP(TablaSeleccionControladores[[#Headers],[M4-CGE04060-0]:[M4-XPM18000-0]],TablaControladores[[REFERENCIA]:[REFERENCIA]],TablaControladores[SC])*$AA131:$AJ131)</f>
        <v>16</v>
      </c>
      <c r="Y131" s="14" cm="1">
        <f t="array" ref="Y131">SUM(_xlfn.XLOOKUP(TablaSeleccionControladores[[#Headers],[M4-CGE04060-0]:[M4-XPM18000-0]],TablaControladores[[REFERENCIA]:[REFERENCIA]],TablaControladores[SD])*$AA131:$AJ131)</f>
        <v>11</v>
      </c>
      <c r="Z131" s="14">
        <f>SUM(TablaSeleccionControladores[[#This Row],[EA]:[SD]])</f>
        <v>100</v>
      </c>
      <c r="AA131" s="14">
        <v>1</v>
      </c>
      <c r="AH131" s="14">
        <v>0</v>
      </c>
      <c r="AI131" s="14">
        <v>3</v>
      </c>
      <c r="AJ131" s="14">
        <v>2</v>
      </c>
    </row>
    <row r="132" spans="17:36" x14ac:dyDescent="0.25">
      <c r="Q132">
        <f t="shared" si="4"/>
        <v>22</v>
      </c>
      <c r="R132" t="s">
        <v>828</v>
      </c>
      <c r="S132">
        <f>SUM(TablaSeleccionControladores[[#This Row],[M4-CGE04060-0]:[M4-CGM09090-0H]])</f>
        <v>1</v>
      </c>
      <c r="T132" s="14" cm="1">
        <f t="array" ref="T132">SUM(_xlfn.XLOOKUP(TablaSeleccionControladores[[#Headers],[M4-CGE04060-0]:[M4-XPM18000-0]],TablaControladores[[REFERENCIA]:[REFERENCIA]],TablaControladores[EA])*$AA132:$AJ132)</f>
        <v>0</v>
      </c>
      <c r="U132" s="14" cm="1">
        <f t="array" ref="U132">SUM(_xlfn.XLOOKUP(TablaSeleccionControladores[[#Headers],[M4-CGE04060-0]:[M4-XPM18000-0]],TablaControladores[[REFERENCIA]:[REFERENCIA]],TablaControladores[EU])*$AA132:$AJ132)</f>
        <v>24</v>
      </c>
      <c r="V132" s="14" cm="1">
        <f t="array" ref="V132">SUM(_xlfn.XLOOKUP(TablaSeleccionControladores[[#Headers],[M4-CGE04060-0]:[M4-XPM18000-0]],TablaControladores[[REFERENCIA]:[REFERENCIA]],TablaControladores[ED])*$AA132:$AJ132)</f>
        <v>61</v>
      </c>
      <c r="W132" s="14" cm="1">
        <f t="array" ref="W132">SUM(_xlfn.XLOOKUP(TablaSeleccionControladores[[#Headers],[M4-CGE04060-0]:[M4-XPM18000-0]],TablaControladores[[REFERENCIA]:[REFERENCIA]],TablaControladores[SA])*$AA132:$AJ132)</f>
        <v>6</v>
      </c>
      <c r="X132" s="14" cm="1">
        <f t="array" ref="X132">SUM(_xlfn.XLOOKUP(TablaSeleccionControladores[[#Headers],[M4-CGE04060-0]:[M4-XPM18000-0]],TablaControladores[[REFERENCIA]:[REFERENCIA]],TablaControladores[SC])*$AA132:$AJ132)</f>
        <v>16</v>
      </c>
      <c r="Y132" s="14" cm="1">
        <f t="array" ref="Y132">SUM(_xlfn.XLOOKUP(TablaSeleccionControladores[[#Headers],[M4-CGE04060-0]:[M4-XPM18000-0]],TablaControladores[[REFERENCIA]:[REFERENCIA]],TablaControladores[SD])*$AA132:$AJ132)</f>
        <v>11</v>
      </c>
      <c r="Z132" s="14">
        <f>SUM(TablaSeleccionControladores[[#This Row],[EA]:[SD]])</f>
        <v>118</v>
      </c>
      <c r="AA132" s="14">
        <v>1</v>
      </c>
      <c r="AH132" s="14">
        <v>0</v>
      </c>
      <c r="AI132" s="14">
        <v>3</v>
      </c>
      <c r="AJ132" s="14">
        <v>3</v>
      </c>
    </row>
    <row r="133" spans="17:36" x14ac:dyDescent="0.25">
      <c r="Q133">
        <f t="shared" si="4"/>
        <v>23</v>
      </c>
      <c r="R133" t="s">
        <v>828</v>
      </c>
      <c r="S133">
        <f>SUM(TablaSeleccionControladores[[#This Row],[M4-CGE04060-0]:[M4-CGM09090-0H]])</f>
        <v>1</v>
      </c>
      <c r="T133" s="14" cm="1">
        <f t="array" ref="T133">SUM(_xlfn.XLOOKUP(TablaSeleccionControladores[[#Headers],[M4-CGE04060-0]:[M4-XPM18000-0]],TablaControladores[[REFERENCIA]:[REFERENCIA]],TablaControladores[EA])*$AA133:$AJ133)</f>
        <v>0</v>
      </c>
      <c r="U133" s="14" cm="1">
        <f t="array" ref="U133">SUM(_xlfn.XLOOKUP(TablaSeleccionControladores[[#Headers],[M4-CGE04060-0]:[M4-XPM18000-0]],TablaControladores[[REFERENCIA]:[REFERENCIA]],TablaControladores[EU])*$AA133:$AJ133)</f>
        <v>31</v>
      </c>
      <c r="V133" s="14" cm="1">
        <f t="array" ref="V133">SUM(_xlfn.XLOOKUP(TablaSeleccionControladores[[#Headers],[M4-CGE04060-0]:[M4-XPM18000-0]],TablaControladores[[REFERENCIA]:[REFERENCIA]],TablaControladores[ED])*$AA133:$AJ133)</f>
        <v>9</v>
      </c>
      <c r="W133" s="14" cm="1">
        <f t="array" ref="W133">SUM(_xlfn.XLOOKUP(TablaSeleccionControladores[[#Headers],[M4-CGE04060-0]:[M4-XPM18000-0]],TablaControladores[[REFERENCIA]:[REFERENCIA]],TablaControladores[SA])*$AA133:$AJ133)</f>
        <v>8</v>
      </c>
      <c r="X133" s="14" cm="1">
        <f t="array" ref="X133">SUM(_xlfn.XLOOKUP(TablaSeleccionControladores[[#Headers],[M4-CGE04060-0]:[M4-XPM18000-0]],TablaControladores[[REFERENCIA]:[REFERENCIA]],TablaControladores[SC])*$AA133:$AJ133)</f>
        <v>20</v>
      </c>
      <c r="Y133" s="14" cm="1">
        <f t="array" ref="Y133">SUM(_xlfn.XLOOKUP(TablaSeleccionControladores[[#Headers],[M4-CGE04060-0]:[M4-XPM18000-0]],TablaControladores[[REFERENCIA]:[REFERENCIA]],TablaControladores[SD])*$AA133:$AJ133)</f>
        <v>14</v>
      </c>
      <c r="Z133" s="14">
        <f>SUM(TablaSeleccionControladores[[#This Row],[EA]:[SD]])</f>
        <v>82</v>
      </c>
      <c r="AA133" s="14">
        <v>1</v>
      </c>
      <c r="AH133" s="14">
        <v>0</v>
      </c>
      <c r="AI133" s="14">
        <v>4</v>
      </c>
      <c r="AJ133" s="14">
        <v>0</v>
      </c>
    </row>
    <row r="134" spans="17:36" x14ac:dyDescent="0.25">
      <c r="Q134">
        <f t="shared" si="4"/>
        <v>24</v>
      </c>
      <c r="R134" t="s">
        <v>828</v>
      </c>
      <c r="S134">
        <f>SUM(TablaSeleccionControladores[[#This Row],[M4-CGE04060-0]:[M4-CGM09090-0H]])</f>
        <v>1</v>
      </c>
      <c r="T134" s="14" cm="1">
        <f t="array" ref="T134">SUM(_xlfn.XLOOKUP(TablaSeleccionControladores[[#Headers],[M4-CGE04060-0]:[M4-XPM18000-0]],TablaControladores[[REFERENCIA]:[REFERENCIA]],TablaControladores[EA])*$AA134:$AJ134)</f>
        <v>0</v>
      </c>
      <c r="U134" s="14" cm="1">
        <f t="array" ref="U134">SUM(_xlfn.XLOOKUP(TablaSeleccionControladores[[#Headers],[M4-CGE04060-0]:[M4-XPM18000-0]],TablaControladores[[REFERENCIA]:[REFERENCIA]],TablaControladores[EU])*$AA134:$AJ134)</f>
        <v>31</v>
      </c>
      <c r="V134" s="14" cm="1">
        <f t="array" ref="V134">SUM(_xlfn.XLOOKUP(TablaSeleccionControladores[[#Headers],[M4-CGE04060-0]:[M4-XPM18000-0]],TablaControladores[[REFERENCIA]:[REFERENCIA]],TablaControladores[ED])*$AA134:$AJ134)</f>
        <v>27</v>
      </c>
      <c r="W134" s="14" cm="1">
        <f t="array" ref="W134">SUM(_xlfn.XLOOKUP(TablaSeleccionControladores[[#Headers],[M4-CGE04060-0]:[M4-XPM18000-0]],TablaControladores[[REFERENCIA]:[REFERENCIA]],TablaControladores[SA])*$AA134:$AJ134)</f>
        <v>8</v>
      </c>
      <c r="X134" s="14" cm="1">
        <f t="array" ref="X134">SUM(_xlfn.XLOOKUP(TablaSeleccionControladores[[#Headers],[M4-CGE04060-0]:[M4-XPM18000-0]],TablaControladores[[REFERENCIA]:[REFERENCIA]],TablaControladores[SC])*$AA134:$AJ134)</f>
        <v>20</v>
      </c>
      <c r="Y134" s="14" cm="1">
        <f t="array" ref="Y134">SUM(_xlfn.XLOOKUP(TablaSeleccionControladores[[#Headers],[M4-CGE04060-0]:[M4-XPM18000-0]],TablaControladores[[REFERENCIA]:[REFERENCIA]],TablaControladores[SD])*$AA134:$AJ134)</f>
        <v>14</v>
      </c>
      <c r="Z134" s="14">
        <f>SUM(TablaSeleccionControladores[[#This Row],[EA]:[SD]])</f>
        <v>100</v>
      </c>
      <c r="AA134" s="14">
        <v>1</v>
      </c>
      <c r="AH134" s="14">
        <v>0</v>
      </c>
      <c r="AI134" s="14">
        <v>4</v>
      </c>
      <c r="AJ134" s="14">
        <v>1</v>
      </c>
    </row>
    <row r="135" spans="17:36" x14ac:dyDescent="0.25">
      <c r="Q135">
        <f t="shared" si="4"/>
        <v>25</v>
      </c>
      <c r="R135" t="s">
        <v>828</v>
      </c>
      <c r="S135">
        <f>SUM(TablaSeleccionControladores[[#This Row],[M4-CGE04060-0]:[M4-CGM09090-0H]])</f>
        <v>1</v>
      </c>
      <c r="T135" s="14" cm="1">
        <f t="array" ref="T135">SUM(_xlfn.XLOOKUP(TablaSeleccionControladores[[#Headers],[M4-CGE04060-0]:[M4-XPM18000-0]],TablaControladores[[REFERENCIA]:[REFERENCIA]],TablaControladores[EA])*$AA135:$AJ135)</f>
        <v>0</v>
      </c>
      <c r="U135" s="14" cm="1">
        <f t="array" ref="U135">SUM(_xlfn.XLOOKUP(TablaSeleccionControladores[[#Headers],[M4-CGE04060-0]:[M4-XPM18000-0]],TablaControladores[[REFERENCIA]:[REFERENCIA]],TablaControladores[EU])*$AA135:$AJ135)</f>
        <v>31</v>
      </c>
      <c r="V135" s="14" cm="1">
        <f t="array" ref="V135">SUM(_xlfn.XLOOKUP(TablaSeleccionControladores[[#Headers],[M4-CGE04060-0]:[M4-XPM18000-0]],TablaControladores[[REFERENCIA]:[REFERENCIA]],TablaControladores[ED])*$AA135:$AJ135)</f>
        <v>45</v>
      </c>
      <c r="W135" s="14" cm="1">
        <f t="array" ref="W135">SUM(_xlfn.XLOOKUP(TablaSeleccionControladores[[#Headers],[M4-CGE04060-0]:[M4-XPM18000-0]],TablaControladores[[REFERENCIA]:[REFERENCIA]],TablaControladores[SA])*$AA135:$AJ135)</f>
        <v>8</v>
      </c>
      <c r="X135" s="14" cm="1">
        <f t="array" ref="X135">SUM(_xlfn.XLOOKUP(TablaSeleccionControladores[[#Headers],[M4-CGE04060-0]:[M4-XPM18000-0]],TablaControladores[[REFERENCIA]:[REFERENCIA]],TablaControladores[SC])*$AA135:$AJ135)</f>
        <v>20</v>
      </c>
      <c r="Y135" s="14" cm="1">
        <f t="array" ref="Y135">SUM(_xlfn.XLOOKUP(TablaSeleccionControladores[[#Headers],[M4-CGE04060-0]:[M4-XPM18000-0]],TablaControladores[[REFERENCIA]:[REFERENCIA]],TablaControladores[SD])*$AA135:$AJ135)</f>
        <v>14</v>
      </c>
      <c r="Z135" s="14">
        <f>SUM(TablaSeleccionControladores[[#This Row],[EA]:[SD]])</f>
        <v>118</v>
      </c>
      <c r="AA135" s="14">
        <v>1</v>
      </c>
      <c r="AH135" s="14">
        <v>0</v>
      </c>
      <c r="AI135" s="14">
        <v>4</v>
      </c>
      <c r="AJ135" s="14">
        <v>2</v>
      </c>
    </row>
    <row r="136" spans="17:36" x14ac:dyDescent="0.25">
      <c r="Q136">
        <f t="shared" si="4"/>
        <v>26</v>
      </c>
      <c r="R136" t="s">
        <v>828</v>
      </c>
      <c r="S136">
        <f>SUM(TablaSeleccionControladores[[#This Row],[M4-CGE04060-0]:[M4-CGM09090-0H]])</f>
        <v>1</v>
      </c>
      <c r="T136" s="14" cm="1">
        <f t="array" ref="T136">SUM(_xlfn.XLOOKUP(TablaSeleccionControladores[[#Headers],[M4-CGE04060-0]:[M4-XPM18000-0]],TablaControladores[[REFERENCIA]:[REFERENCIA]],TablaControladores[EA])*$AA136:$AJ136)</f>
        <v>0</v>
      </c>
      <c r="U136" s="14" cm="1">
        <f t="array" ref="U136">SUM(_xlfn.XLOOKUP(TablaSeleccionControladores[[#Headers],[M4-CGE04060-0]:[M4-XPM18000-0]],TablaControladores[[REFERENCIA]:[REFERENCIA]],TablaControladores[EU])*$AA136:$AJ136)</f>
        <v>38</v>
      </c>
      <c r="V136" s="14" cm="1">
        <f t="array" ref="V136">SUM(_xlfn.XLOOKUP(TablaSeleccionControladores[[#Headers],[M4-CGE04060-0]:[M4-XPM18000-0]],TablaControladores[[REFERENCIA]:[REFERENCIA]],TablaControladores[ED])*$AA136:$AJ136)</f>
        <v>11</v>
      </c>
      <c r="W136" s="14" cm="1">
        <f t="array" ref="W136">SUM(_xlfn.XLOOKUP(TablaSeleccionControladores[[#Headers],[M4-CGE04060-0]:[M4-XPM18000-0]],TablaControladores[[REFERENCIA]:[REFERENCIA]],TablaControladores[SA])*$AA136:$AJ136)</f>
        <v>10</v>
      </c>
      <c r="X136" s="14" cm="1">
        <f t="array" ref="X136">SUM(_xlfn.XLOOKUP(TablaSeleccionControladores[[#Headers],[M4-CGE04060-0]:[M4-XPM18000-0]],TablaControladores[[REFERENCIA]:[REFERENCIA]],TablaControladores[SC])*$AA136:$AJ136)</f>
        <v>24</v>
      </c>
      <c r="Y136" s="14" cm="1">
        <f t="array" ref="Y136">SUM(_xlfn.XLOOKUP(TablaSeleccionControladores[[#Headers],[M4-CGE04060-0]:[M4-XPM18000-0]],TablaControladores[[REFERENCIA]:[REFERENCIA]],TablaControladores[SD])*$AA136:$AJ136)</f>
        <v>17</v>
      </c>
      <c r="Z136" s="14">
        <f>SUM(TablaSeleccionControladores[[#This Row],[EA]:[SD]])</f>
        <v>100</v>
      </c>
      <c r="AA136" s="14">
        <v>1</v>
      </c>
      <c r="AH136" s="14">
        <v>0</v>
      </c>
      <c r="AI136" s="14">
        <v>5</v>
      </c>
      <c r="AJ136" s="14">
        <v>0</v>
      </c>
    </row>
    <row r="137" spans="17:36" x14ac:dyDescent="0.25">
      <c r="Q137">
        <f t="shared" si="4"/>
        <v>27</v>
      </c>
      <c r="R137" t="s">
        <v>828</v>
      </c>
      <c r="S137">
        <f>SUM(TablaSeleccionControladores[[#This Row],[M4-CGE04060-0]:[M4-CGM09090-0H]])</f>
        <v>1</v>
      </c>
      <c r="T137" s="14" cm="1">
        <f t="array" ref="T137">SUM(_xlfn.XLOOKUP(TablaSeleccionControladores[[#Headers],[M4-CGE04060-0]:[M4-XPM18000-0]],TablaControladores[[REFERENCIA]:[REFERENCIA]],TablaControladores[EA])*$AA137:$AJ137)</f>
        <v>0</v>
      </c>
      <c r="U137" s="14" cm="1">
        <f t="array" ref="U137">SUM(_xlfn.XLOOKUP(TablaSeleccionControladores[[#Headers],[M4-CGE04060-0]:[M4-XPM18000-0]],TablaControladores[[REFERENCIA]:[REFERENCIA]],TablaControladores[EU])*$AA137:$AJ137)</f>
        <v>38</v>
      </c>
      <c r="V137" s="14" cm="1">
        <f t="array" ref="V137">SUM(_xlfn.XLOOKUP(TablaSeleccionControladores[[#Headers],[M4-CGE04060-0]:[M4-XPM18000-0]],TablaControladores[[REFERENCIA]:[REFERENCIA]],TablaControladores[ED])*$AA137:$AJ137)</f>
        <v>29</v>
      </c>
      <c r="W137" s="14" cm="1">
        <f t="array" ref="W137">SUM(_xlfn.XLOOKUP(TablaSeleccionControladores[[#Headers],[M4-CGE04060-0]:[M4-XPM18000-0]],TablaControladores[[REFERENCIA]:[REFERENCIA]],TablaControladores[SA])*$AA137:$AJ137)</f>
        <v>10</v>
      </c>
      <c r="X137" s="14" cm="1">
        <f t="array" ref="X137">SUM(_xlfn.XLOOKUP(TablaSeleccionControladores[[#Headers],[M4-CGE04060-0]:[M4-XPM18000-0]],TablaControladores[[REFERENCIA]:[REFERENCIA]],TablaControladores[SC])*$AA137:$AJ137)</f>
        <v>24</v>
      </c>
      <c r="Y137" s="14" cm="1">
        <f t="array" ref="Y137">SUM(_xlfn.XLOOKUP(TablaSeleccionControladores[[#Headers],[M4-CGE04060-0]:[M4-XPM18000-0]],TablaControladores[[REFERENCIA]:[REFERENCIA]],TablaControladores[SD])*$AA137:$AJ137)</f>
        <v>17</v>
      </c>
      <c r="Z137" s="14">
        <f>SUM(TablaSeleccionControladores[[#This Row],[EA]:[SD]])</f>
        <v>118</v>
      </c>
      <c r="AA137" s="14">
        <v>1</v>
      </c>
      <c r="AH137" s="14">
        <v>0</v>
      </c>
      <c r="AI137" s="14">
        <v>5</v>
      </c>
      <c r="AJ137" s="14">
        <v>1</v>
      </c>
    </row>
    <row r="138" spans="17:36" x14ac:dyDescent="0.25">
      <c r="Q138">
        <f t="shared" si="4"/>
        <v>28</v>
      </c>
      <c r="R138" t="s">
        <v>828</v>
      </c>
      <c r="S138">
        <f>SUM(TablaSeleccionControladores[[#This Row],[M4-CGE04060-0]:[M4-CGM09090-0H]])</f>
        <v>1</v>
      </c>
      <c r="T138" s="14" cm="1">
        <f t="array" ref="T138">SUM(_xlfn.XLOOKUP(TablaSeleccionControladores[[#Headers],[M4-CGE04060-0]:[M4-XPM18000-0]],TablaControladores[[REFERENCIA]:[REFERENCIA]],TablaControladores[EA])*$AA138:$AJ138)</f>
        <v>0</v>
      </c>
      <c r="U138" s="14" cm="1">
        <f t="array" ref="U138">SUM(_xlfn.XLOOKUP(TablaSeleccionControladores[[#Headers],[M4-CGE04060-0]:[M4-XPM18000-0]],TablaControladores[[REFERENCIA]:[REFERENCIA]],TablaControladores[EU])*$AA138:$AJ138)</f>
        <v>45</v>
      </c>
      <c r="V138" s="14" cm="1">
        <f t="array" ref="V138">SUM(_xlfn.XLOOKUP(TablaSeleccionControladores[[#Headers],[M4-CGE04060-0]:[M4-XPM18000-0]],TablaControladores[[REFERENCIA]:[REFERENCIA]],TablaControladores[ED])*$AA138:$AJ138)</f>
        <v>13</v>
      </c>
      <c r="W138" s="14" cm="1">
        <f t="array" ref="W138">SUM(_xlfn.XLOOKUP(TablaSeleccionControladores[[#Headers],[M4-CGE04060-0]:[M4-XPM18000-0]],TablaControladores[[REFERENCIA]:[REFERENCIA]],TablaControladores[SA])*$AA138:$AJ138)</f>
        <v>12</v>
      </c>
      <c r="X138" s="14" cm="1">
        <f t="array" ref="X138">SUM(_xlfn.XLOOKUP(TablaSeleccionControladores[[#Headers],[M4-CGE04060-0]:[M4-XPM18000-0]],TablaControladores[[REFERENCIA]:[REFERENCIA]],TablaControladores[SC])*$AA138:$AJ138)</f>
        <v>28</v>
      </c>
      <c r="Y138" s="14" cm="1">
        <f t="array" ref="Y138">SUM(_xlfn.XLOOKUP(TablaSeleccionControladores[[#Headers],[M4-CGE04060-0]:[M4-XPM18000-0]],TablaControladores[[REFERENCIA]:[REFERENCIA]],TablaControladores[SD])*$AA138:$AJ138)</f>
        <v>20</v>
      </c>
      <c r="Z138" s="14">
        <f>SUM(TablaSeleccionControladores[[#This Row],[EA]:[SD]])</f>
        <v>118</v>
      </c>
      <c r="AA138" s="14">
        <v>1</v>
      </c>
      <c r="AH138" s="14">
        <v>0</v>
      </c>
      <c r="AI138" s="14">
        <v>6</v>
      </c>
      <c r="AJ138" s="14">
        <v>0</v>
      </c>
    </row>
    <row r="139" spans="17:36" x14ac:dyDescent="0.25">
      <c r="Q139">
        <f t="shared" si="4"/>
        <v>29</v>
      </c>
      <c r="R139" t="s">
        <v>828</v>
      </c>
      <c r="S139">
        <f>SUM(TablaSeleccionControladores[[#This Row],[M4-CGE04060-0]:[M4-CGM09090-0H]])</f>
        <v>1</v>
      </c>
      <c r="T139" s="14" cm="1">
        <f t="array" ref="T139">SUM(_xlfn.XLOOKUP(TablaSeleccionControladores[[#Headers],[M4-CGE04060-0]:[M4-XPM18000-0]],TablaControladores[[REFERENCIA]:[REFERENCIA]],TablaControladores[EA])*$AA139:$AJ139)</f>
        <v>0</v>
      </c>
      <c r="U139" s="14" cm="1">
        <f t="array" ref="U139">SUM(_xlfn.XLOOKUP(TablaSeleccionControladores[[#Headers],[M4-CGE04060-0]:[M4-XPM18000-0]],TablaControladores[[REFERENCIA]:[REFERENCIA]],TablaControladores[EU])*$AA139:$AJ139)</f>
        <v>6</v>
      </c>
      <c r="V139" s="14" cm="1">
        <f t="array" ref="V139">SUM(_xlfn.XLOOKUP(TablaSeleccionControladores[[#Headers],[M4-CGE04060-0]:[M4-XPM18000-0]],TablaControladores[[REFERENCIA]:[REFERENCIA]],TablaControladores[ED])*$AA139:$AJ139)</f>
        <v>2</v>
      </c>
      <c r="W139" s="14" cm="1">
        <f t="array" ref="W139">SUM(_xlfn.XLOOKUP(TablaSeleccionControladores[[#Headers],[M4-CGE04060-0]:[M4-XPM18000-0]],TablaControladores[[REFERENCIA]:[REFERENCIA]],TablaControladores[SA])*$AA139:$AJ139)</f>
        <v>2</v>
      </c>
      <c r="X139" s="14" cm="1">
        <f t="array" ref="X139">SUM(_xlfn.XLOOKUP(TablaSeleccionControladores[[#Headers],[M4-CGE04060-0]:[M4-XPM18000-0]],TablaControladores[[REFERENCIA]:[REFERENCIA]],TablaControladores[SC])*$AA139:$AJ139)</f>
        <v>8</v>
      </c>
      <c r="Y139" s="14" cm="1">
        <f t="array" ref="Y139">SUM(_xlfn.XLOOKUP(TablaSeleccionControladores[[#Headers],[M4-CGE04060-0]:[M4-XPM18000-0]],TablaControladores[[REFERENCIA]:[REFERENCIA]],TablaControladores[SD])*$AA139:$AJ139)</f>
        <v>5</v>
      </c>
      <c r="Z139" s="14">
        <f>SUM(TablaSeleccionControladores[[#This Row],[EA]:[SD]])</f>
        <v>23</v>
      </c>
      <c r="AA139" s="14">
        <v>1</v>
      </c>
      <c r="AH139" s="14">
        <v>1</v>
      </c>
      <c r="AI139" s="14">
        <v>0</v>
      </c>
      <c r="AJ139" s="14">
        <v>0</v>
      </c>
    </row>
    <row r="140" spans="17:36" x14ac:dyDescent="0.25">
      <c r="Q140">
        <f t="shared" si="4"/>
        <v>30</v>
      </c>
      <c r="R140" t="s">
        <v>828</v>
      </c>
      <c r="S140">
        <f>SUM(TablaSeleccionControladores[[#This Row],[M4-CGE04060-0]:[M4-CGM09090-0H]])</f>
        <v>1</v>
      </c>
      <c r="T140" s="14" cm="1">
        <f t="array" ref="T140">SUM(_xlfn.XLOOKUP(TablaSeleccionControladores[[#Headers],[M4-CGE04060-0]:[M4-XPM18000-0]],TablaControladores[[REFERENCIA]:[REFERENCIA]],TablaControladores[EA])*$AA140:$AJ140)</f>
        <v>0</v>
      </c>
      <c r="U140" s="14" cm="1">
        <f t="array" ref="U140">SUM(_xlfn.XLOOKUP(TablaSeleccionControladores[[#Headers],[M4-CGE04060-0]:[M4-XPM18000-0]],TablaControladores[[REFERENCIA]:[REFERENCIA]],TablaControladores[EU])*$AA140:$AJ140)</f>
        <v>6</v>
      </c>
      <c r="V140" s="14" cm="1">
        <f t="array" ref="V140">SUM(_xlfn.XLOOKUP(TablaSeleccionControladores[[#Headers],[M4-CGE04060-0]:[M4-XPM18000-0]],TablaControladores[[REFERENCIA]:[REFERENCIA]],TablaControladores[ED])*$AA140:$AJ140)</f>
        <v>20</v>
      </c>
      <c r="W140" s="14" cm="1">
        <f t="array" ref="W140">SUM(_xlfn.XLOOKUP(TablaSeleccionControladores[[#Headers],[M4-CGE04060-0]:[M4-XPM18000-0]],TablaControladores[[REFERENCIA]:[REFERENCIA]],TablaControladores[SA])*$AA140:$AJ140)</f>
        <v>2</v>
      </c>
      <c r="X140" s="14" cm="1">
        <f t="array" ref="X140">SUM(_xlfn.XLOOKUP(TablaSeleccionControladores[[#Headers],[M4-CGE04060-0]:[M4-XPM18000-0]],TablaControladores[[REFERENCIA]:[REFERENCIA]],TablaControladores[SC])*$AA140:$AJ140)</f>
        <v>8</v>
      </c>
      <c r="Y140" s="14" cm="1">
        <f t="array" ref="Y140">SUM(_xlfn.XLOOKUP(TablaSeleccionControladores[[#Headers],[M4-CGE04060-0]:[M4-XPM18000-0]],TablaControladores[[REFERENCIA]:[REFERENCIA]],TablaControladores[SD])*$AA140:$AJ140)</f>
        <v>5</v>
      </c>
      <c r="Z140" s="14">
        <f>SUM(TablaSeleccionControladores[[#This Row],[EA]:[SD]])</f>
        <v>41</v>
      </c>
      <c r="AA140" s="14">
        <v>1</v>
      </c>
      <c r="AH140" s="14">
        <v>1</v>
      </c>
      <c r="AI140" s="14">
        <v>0</v>
      </c>
      <c r="AJ140" s="14">
        <v>1</v>
      </c>
    </row>
    <row r="141" spans="17:36" x14ac:dyDescent="0.25">
      <c r="Q141">
        <f t="shared" si="4"/>
        <v>31</v>
      </c>
      <c r="R141" t="s">
        <v>828</v>
      </c>
      <c r="S141">
        <f>SUM(TablaSeleccionControladores[[#This Row],[M4-CGE04060-0]:[M4-CGM09090-0H]])</f>
        <v>1</v>
      </c>
      <c r="T141" s="14" cm="1">
        <f t="array" ref="T141">SUM(_xlfn.XLOOKUP(TablaSeleccionControladores[[#Headers],[M4-CGE04060-0]:[M4-XPM18000-0]],TablaControladores[[REFERENCIA]:[REFERENCIA]],TablaControladores[EA])*$AA141:$AJ141)</f>
        <v>0</v>
      </c>
      <c r="U141" s="14" cm="1">
        <f t="array" ref="U141">SUM(_xlfn.XLOOKUP(TablaSeleccionControladores[[#Headers],[M4-CGE04060-0]:[M4-XPM18000-0]],TablaControladores[[REFERENCIA]:[REFERENCIA]],TablaControladores[EU])*$AA141:$AJ141)</f>
        <v>6</v>
      </c>
      <c r="V141" s="14" cm="1">
        <f t="array" ref="V141">SUM(_xlfn.XLOOKUP(TablaSeleccionControladores[[#Headers],[M4-CGE04060-0]:[M4-XPM18000-0]],TablaControladores[[REFERENCIA]:[REFERENCIA]],TablaControladores[ED])*$AA141:$AJ141)</f>
        <v>38</v>
      </c>
      <c r="W141" s="14" cm="1">
        <f t="array" ref="W141">SUM(_xlfn.XLOOKUP(TablaSeleccionControladores[[#Headers],[M4-CGE04060-0]:[M4-XPM18000-0]],TablaControladores[[REFERENCIA]:[REFERENCIA]],TablaControladores[SA])*$AA141:$AJ141)</f>
        <v>2</v>
      </c>
      <c r="X141" s="14" cm="1">
        <f t="array" ref="X141">SUM(_xlfn.XLOOKUP(TablaSeleccionControladores[[#Headers],[M4-CGE04060-0]:[M4-XPM18000-0]],TablaControladores[[REFERENCIA]:[REFERENCIA]],TablaControladores[SC])*$AA141:$AJ141)</f>
        <v>8</v>
      </c>
      <c r="Y141" s="14" cm="1">
        <f t="array" ref="Y141">SUM(_xlfn.XLOOKUP(TablaSeleccionControladores[[#Headers],[M4-CGE04060-0]:[M4-XPM18000-0]],TablaControladores[[REFERENCIA]:[REFERENCIA]],TablaControladores[SD])*$AA141:$AJ141)</f>
        <v>5</v>
      </c>
      <c r="Z141" s="14">
        <f>SUM(TablaSeleccionControladores[[#This Row],[EA]:[SD]])</f>
        <v>59</v>
      </c>
      <c r="AA141" s="14">
        <v>1</v>
      </c>
      <c r="AH141" s="14">
        <v>1</v>
      </c>
      <c r="AI141" s="14">
        <v>0</v>
      </c>
      <c r="AJ141" s="14">
        <v>2</v>
      </c>
    </row>
    <row r="142" spans="17:36" x14ac:dyDescent="0.25">
      <c r="Q142">
        <f t="shared" si="4"/>
        <v>32</v>
      </c>
      <c r="R142" t="s">
        <v>828</v>
      </c>
      <c r="S142">
        <f>SUM(TablaSeleccionControladores[[#This Row],[M4-CGE04060-0]:[M4-CGM09090-0H]])</f>
        <v>1</v>
      </c>
      <c r="T142" s="14" cm="1">
        <f t="array" ref="T142">SUM(_xlfn.XLOOKUP(TablaSeleccionControladores[[#Headers],[M4-CGE04060-0]:[M4-XPM18000-0]],TablaControladores[[REFERENCIA]:[REFERENCIA]],TablaControladores[EA])*$AA142:$AJ142)</f>
        <v>0</v>
      </c>
      <c r="U142" s="14" cm="1">
        <f t="array" ref="U142">SUM(_xlfn.XLOOKUP(TablaSeleccionControladores[[#Headers],[M4-CGE04060-0]:[M4-XPM18000-0]],TablaControladores[[REFERENCIA]:[REFERENCIA]],TablaControladores[EU])*$AA142:$AJ142)</f>
        <v>6</v>
      </c>
      <c r="V142" s="14" cm="1">
        <f t="array" ref="V142">SUM(_xlfn.XLOOKUP(TablaSeleccionControladores[[#Headers],[M4-CGE04060-0]:[M4-XPM18000-0]],TablaControladores[[REFERENCIA]:[REFERENCIA]],TablaControladores[ED])*$AA142:$AJ142)</f>
        <v>56</v>
      </c>
      <c r="W142" s="14" cm="1">
        <f t="array" ref="W142">SUM(_xlfn.XLOOKUP(TablaSeleccionControladores[[#Headers],[M4-CGE04060-0]:[M4-XPM18000-0]],TablaControladores[[REFERENCIA]:[REFERENCIA]],TablaControladores[SA])*$AA142:$AJ142)</f>
        <v>2</v>
      </c>
      <c r="X142" s="14" cm="1">
        <f t="array" ref="X142">SUM(_xlfn.XLOOKUP(TablaSeleccionControladores[[#Headers],[M4-CGE04060-0]:[M4-XPM18000-0]],TablaControladores[[REFERENCIA]:[REFERENCIA]],TablaControladores[SC])*$AA142:$AJ142)</f>
        <v>8</v>
      </c>
      <c r="Y142" s="14" cm="1">
        <f t="array" ref="Y142">SUM(_xlfn.XLOOKUP(TablaSeleccionControladores[[#Headers],[M4-CGE04060-0]:[M4-XPM18000-0]],TablaControladores[[REFERENCIA]:[REFERENCIA]],TablaControladores[SD])*$AA142:$AJ142)</f>
        <v>5</v>
      </c>
      <c r="Z142" s="14">
        <f>SUM(TablaSeleccionControladores[[#This Row],[EA]:[SD]])</f>
        <v>77</v>
      </c>
      <c r="AA142" s="14">
        <v>1</v>
      </c>
      <c r="AH142" s="14">
        <v>1</v>
      </c>
      <c r="AI142" s="14">
        <v>0</v>
      </c>
      <c r="AJ142" s="14">
        <v>3</v>
      </c>
    </row>
    <row r="143" spans="17:36" x14ac:dyDescent="0.25">
      <c r="Q143">
        <f t="shared" si="4"/>
        <v>33</v>
      </c>
      <c r="R143" t="s">
        <v>828</v>
      </c>
      <c r="S143">
        <f>SUM(TablaSeleccionControladores[[#This Row],[M4-CGE04060-0]:[M4-CGM09090-0H]])</f>
        <v>1</v>
      </c>
      <c r="T143" s="14" cm="1">
        <f t="array" ref="T143">SUM(_xlfn.XLOOKUP(TablaSeleccionControladores[[#Headers],[M4-CGE04060-0]:[M4-XPM18000-0]],TablaControladores[[REFERENCIA]:[REFERENCIA]],TablaControladores[EA])*$AA143:$AJ143)</f>
        <v>0</v>
      </c>
      <c r="U143" s="14" cm="1">
        <f t="array" ref="U143">SUM(_xlfn.XLOOKUP(TablaSeleccionControladores[[#Headers],[M4-CGE04060-0]:[M4-XPM18000-0]],TablaControladores[[REFERENCIA]:[REFERENCIA]],TablaControladores[EU])*$AA143:$AJ143)</f>
        <v>6</v>
      </c>
      <c r="V143" s="14" cm="1">
        <f t="array" ref="V143">SUM(_xlfn.XLOOKUP(TablaSeleccionControladores[[#Headers],[M4-CGE04060-0]:[M4-XPM18000-0]],TablaControladores[[REFERENCIA]:[REFERENCIA]],TablaControladores[ED])*$AA143:$AJ143)</f>
        <v>74</v>
      </c>
      <c r="W143" s="14" cm="1">
        <f t="array" ref="W143">SUM(_xlfn.XLOOKUP(TablaSeleccionControladores[[#Headers],[M4-CGE04060-0]:[M4-XPM18000-0]],TablaControladores[[REFERENCIA]:[REFERENCIA]],TablaControladores[SA])*$AA143:$AJ143)</f>
        <v>2</v>
      </c>
      <c r="X143" s="14" cm="1">
        <f t="array" ref="X143">SUM(_xlfn.XLOOKUP(TablaSeleccionControladores[[#Headers],[M4-CGE04060-0]:[M4-XPM18000-0]],TablaControladores[[REFERENCIA]:[REFERENCIA]],TablaControladores[SC])*$AA143:$AJ143)</f>
        <v>8</v>
      </c>
      <c r="Y143" s="14" cm="1">
        <f t="array" ref="Y143">SUM(_xlfn.XLOOKUP(TablaSeleccionControladores[[#Headers],[M4-CGE04060-0]:[M4-XPM18000-0]],TablaControladores[[REFERENCIA]:[REFERENCIA]],TablaControladores[SD])*$AA143:$AJ143)</f>
        <v>5</v>
      </c>
      <c r="Z143" s="14">
        <f>SUM(TablaSeleccionControladores[[#This Row],[EA]:[SD]])</f>
        <v>95</v>
      </c>
      <c r="AA143" s="14">
        <v>1</v>
      </c>
      <c r="AH143" s="14">
        <v>1</v>
      </c>
      <c r="AI143" s="14">
        <v>0</v>
      </c>
      <c r="AJ143" s="14">
        <v>4</v>
      </c>
    </row>
    <row r="144" spans="17:36" x14ac:dyDescent="0.25">
      <c r="Q144">
        <f t="shared" si="4"/>
        <v>34</v>
      </c>
      <c r="R144" t="s">
        <v>828</v>
      </c>
      <c r="S144">
        <f>SUM(TablaSeleccionControladores[[#This Row],[M4-CGE04060-0]:[M4-CGM09090-0H]])</f>
        <v>1</v>
      </c>
      <c r="T144" s="14" cm="1">
        <f t="array" ref="T144">SUM(_xlfn.XLOOKUP(TablaSeleccionControladores[[#Headers],[M4-CGE04060-0]:[M4-XPM18000-0]],TablaControladores[[REFERENCIA]:[REFERENCIA]],TablaControladores[EA])*$AA144:$AJ144)</f>
        <v>0</v>
      </c>
      <c r="U144" s="14" cm="1">
        <f t="array" ref="U144">SUM(_xlfn.XLOOKUP(TablaSeleccionControladores[[#Headers],[M4-CGE04060-0]:[M4-XPM18000-0]],TablaControladores[[REFERENCIA]:[REFERENCIA]],TablaControladores[EU])*$AA144:$AJ144)</f>
        <v>6</v>
      </c>
      <c r="V144" s="14" cm="1">
        <f t="array" ref="V144">SUM(_xlfn.XLOOKUP(TablaSeleccionControladores[[#Headers],[M4-CGE04060-0]:[M4-XPM18000-0]],TablaControladores[[REFERENCIA]:[REFERENCIA]],TablaControladores[ED])*$AA144:$AJ144)</f>
        <v>92</v>
      </c>
      <c r="W144" s="14" cm="1">
        <f t="array" ref="W144">SUM(_xlfn.XLOOKUP(TablaSeleccionControladores[[#Headers],[M4-CGE04060-0]:[M4-XPM18000-0]],TablaControladores[[REFERENCIA]:[REFERENCIA]],TablaControladores[SA])*$AA144:$AJ144)</f>
        <v>2</v>
      </c>
      <c r="X144" s="14" cm="1">
        <f t="array" ref="X144">SUM(_xlfn.XLOOKUP(TablaSeleccionControladores[[#Headers],[M4-CGE04060-0]:[M4-XPM18000-0]],TablaControladores[[REFERENCIA]:[REFERENCIA]],TablaControladores[SC])*$AA144:$AJ144)</f>
        <v>8</v>
      </c>
      <c r="Y144" s="14" cm="1">
        <f t="array" ref="Y144">SUM(_xlfn.XLOOKUP(TablaSeleccionControladores[[#Headers],[M4-CGE04060-0]:[M4-XPM18000-0]],TablaControladores[[REFERENCIA]:[REFERENCIA]],TablaControladores[SD])*$AA144:$AJ144)</f>
        <v>5</v>
      </c>
      <c r="Z144" s="14">
        <f>SUM(TablaSeleccionControladores[[#This Row],[EA]:[SD]])</f>
        <v>113</v>
      </c>
      <c r="AA144" s="14">
        <v>1</v>
      </c>
      <c r="AH144" s="14">
        <v>1</v>
      </c>
      <c r="AI144" s="14">
        <v>0</v>
      </c>
      <c r="AJ144" s="14">
        <v>5</v>
      </c>
    </row>
    <row r="145" spans="17:36" x14ac:dyDescent="0.25">
      <c r="Q145">
        <f t="shared" si="4"/>
        <v>35</v>
      </c>
      <c r="R145" t="s">
        <v>828</v>
      </c>
      <c r="S145">
        <f>SUM(TablaSeleccionControladores[[#This Row],[M4-CGE04060-0]:[M4-CGM09090-0H]])</f>
        <v>1</v>
      </c>
      <c r="T145" s="14" cm="1">
        <f t="array" ref="T145">SUM(_xlfn.XLOOKUP(TablaSeleccionControladores[[#Headers],[M4-CGE04060-0]:[M4-XPM18000-0]],TablaControladores[[REFERENCIA]:[REFERENCIA]],TablaControladores[EA])*$AA145:$AJ145)</f>
        <v>0</v>
      </c>
      <c r="U145" s="14" cm="1">
        <f t="array" ref="U145">SUM(_xlfn.XLOOKUP(TablaSeleccionControladores[[#Headers],[M4-CGE04060-0]:[M4-XPM18000-0]],TablaControladores[[REFERENCIA]:[REFERENCIA]],TablaControladores[EU])*$AA145:$AJ145)</f>
        <v>13</v>
      </c>
      <c r="V145" s="14" cm="1">
        <f t="array" ref="V145">SUM(_xlfn.XLOOKUP(TablaSeleccionControladores[[#Headers],[M4-CGE04060-0]:[M4-XPM18000-0]],TablaControladores[[REFERENCIA]:[REFERENCIA]],TablaControladores[ED])*$AA145:$AJ145)</f>
        <v>4</v>
      </c>
      <c r="W145" s="14" cm="1">
        <f t="array" ref="W145">SUM(_xlfn.XLOOKUP(TablaSeleccionControladores[[#Headers],[M4-CGE04060-0]:[M4-XPM18000-0]],TablaControladores[[REFERENCIA]:[REFERENCIA]],TablaControladores[SA])*$AA145:$AJ145)</f>
        <v>4</v>
      </c>
      <c r="X145" s="14" cm="1">
        <f t="array" ref="X145">SUM(_xlfn.XLOOKUP(TablaSeleccionControladores[[#Headers],[M4-CGE04060-0]:[M4-XPM18000-0]],TablaControladores[[REFERENCIA]:[REFERENCIA]],TablaControladores[SC])*$AA145:$AJ145)</f>
        <v>12</v>
      </c>
      <c r="Y145" s="14" cm="1">
        <f t="array" ref="Y145">SUM(_xlfn.XLOOKUP(TablaSeleccionControladores[[#Headers],[M4-CGE04060-0]:[M4-XPM18000-0]],TablaControladores[[REFERENCIA]:[REFERENCIA]],TablaControladores[SD])*$AA145:$AJ145)</f>
        <v>8</v>
      </c>
      <c r="Z145" s="14">
        <f>SUM(TablaSeleccionControladores[[#This Row],[EA]:[SD]])</f>
        <v>41</v>
      </c>
      <c r="AA145" s="14">
        <v>1</v>
      </c>
      <c r="AH145" s="14">
        <v>1</v>
      </c>
      <c r="AI145" s="14">
        <v>1</v>
      </c>
      <c r="AJ145" s="14">
        <v>0</v>
      </c>
    </row>
    <row r="146" spans="17:36" x14ac:dyDescent="0.25">
      <c r="Q146">
        <f t="shared" si="4"/>
        <v>36</v>
      </c>
      <c r="R146" t="s">
        <v>828</v>
      </c>
      <c r="S146">
        <f>SUM(TablaSeleccionControladores[[#This Row],[M4-CGE04060-0]:[M4-CGM09090-0H]])</f>
        <v>1</v>
      </c>
      <c r="T146" s="14" cm="1">
        <f t="array" ref="T146">SUM(_xlfn.XLOOKUP(TablaSeleccionControladores[[#Headers],[M4-CGE04060-0]:[M4-XPM18000-0]],TablaControladores[[REFERENCIA]:[REFERENCIA]],TablaControladores[EA])*$AA146:$AJ146)</f>
        <v>0</v>
      </c>
      <c r="U146" s="14" cm="1">
        <f t="array" ref="U146">SUM(_xlfn.XLOOKUP(TablaSeleccionControladores[[#Headers],[M4-CGE04060-0]:[M4-XPM18000-0]],TablaControladores[[REFERENCIA]:[REFERENCIA]],TablaControladores[EU])*$AA146:$AJ146)</f>
        <v>13</v>
      </c>
      <c r="V146" s="14" cm="1">
        <f t="array" ref="V146">SUM(_xlfn.XLOOKUP(TablaSeleccionControladores[[#Headers],[M4-CGE04060-0]:[M4-XPM18000-0]],TablaControladores[[REFERENCIA]:[REFERENCIA]],TablaControladores[ED])*$AA146:$AJ146)</f>
        <v>22</v>
      </c>
      <c r="W146" s="14" cm="1">
        <f t="array" ref="W146">SUM(_xlfn.XLOOKUP(TablaSeleccionControladores[[#Headers],[M4-CGE04060-0]:[M4-XPM18000-0]],TablaControladores[[REFERENCIA]:[REFERENCIA]],TablaControladores[SA])*$AA146:$AJ146)</f>
        <v>4</v>
      </c>
      <c r="X146" s="14" cm="1">
        <f t="array" ref="X146">SUM(_xlfn.XLOOKUP(TablaSeleccionControladores[[#Headers],[M4-CGE04060-0]:[M4-XPM18000-0]],TablaControladores[[REFERENCIA]:[REFERENCIA]],TablaControladores[SC])*$AA146:$AJ146)</f>
        <v>12</v>
      </c>
      <c r="Y146" s="14" cm="1">
        <f t="array" ref="Y146">SUM(_xlfn.XLOOKUP(TablaSeleccionControladores[[#Headers],[M4-CGE04060-0]:[M4-XPM18000-0]],TablaControladores[[REFERENCIA]:[REFERENCIA]],TablaControladores[SD])*$AA146:$AJ146)</f>
        <v>8</v>
      </c>
      <c r="Z146" s="14">
        <f>SUM(TablaSeleccionControladores[[#This Row],[EA]:[SD]])</f>
        <v>59</v>
      </c>
      <c r="AA146" s="14">
        <v>1</v>
      </c>
      <c r="AH146" s="14">
        <v>1</v>
      </c>
      <c r="AI146" s="14">
        <v>1</v>
      </c>
      <c r="AJ146" s="14">
        <v>1</v>
      </c>
    </row>
    <row r="147" spans="17:36" x14ac:dyDescent="0.25">
      <c r="Q147">
        <f t="shared" si="4"/>
        <v>37</v>
      </c>
      <c r="R147" t="s">
        <v>828</v>
      </c>
      <c r="S147">
        <f>SUM(TablaSeleccionControladores[[#This Row],[M4-CGE04060-0]:[M4-CGM09090-0H]])</f>
        <v>1</v>
      </c>
      <c r="T147" s="14" cm="1">
        <f t="array" ref="T147">SUM(_xlfn.XLOOKUP(TablaSeleccionControladores[[#Headers],[M4-CGE04060-0]:[M4-XPM18000-0]],TablaControladores[[REFERENCIA]:[REFERENCIA]],TablaControladores[EA])*$AA147:$AJ147)</f>
        <v>0</v>
      </c>
      <c r="U147" s="14" cm="1">
        <f t="array" ref="U147">SUM(_xlfn.XLOOKUP(TablaSeleccionControladores[[#Headers],[M4-CGE04060-0]:[M4-XPM18000-0]],TablaControladores[[REFERENCIA]:[REFERENCIA]],TablaControladores[EU])*$AA147:$AJ147)</f>
        <v>13</v>
      </c>
      <c r="V147" s="14" cm="1">
        <f t="array" ref="V147">SUM(_xlfn.XLOOKUP(TablaSeleccionControladores[[#Headers],[M4-CGE04060-0]:[M4-XPM18000-0]],TablaControladores[[REFERENCIA]:[REFERENCIA]],TablaControladores[ED])*$AA147:$AJ147)</f>
        <v>40</v>
      </c>
      <c r="W147" s="14" cm="1">
        <f t="array" ref="W147">SUM(_xlfn.XLOOKUP(TablaSeleccionControladores[[#Headers],[M4-CGE04060-0]:[M4-XPM18000-0]],TablaControladores[[REFERENCIA]:[REFERENCIA]],TablaControladores[SA])*$AA147:$AJ147)</f>
        <v>4</v>
      </c>
      <c r="X147" s="14" cm="1">
        <f t="array" ref="X147">SUM(_xlfn.XLOOKUP(TablaSeleccionControladores[[#Headers],[M4-CGE04060-0]:[M4-XPM18000-0]],TablaControladores[[REFERENCIA]:[REFERENCIA]],TablaControladores[SC])*$AA147:$AJ147)</f>
        <v>12</v>
      </c>
      <c r="Y147" s="14" cm="1">
        <f t="array" ref="Y147">SUM(_xlfn.XLOOKUP(TablaSeleccionControladores[[#Headers],[M4-CGE04060-0]:[M4-XPM18000-0]],TablaControladores[[REFERENCIA]:[REFERENCIA]],TablaControladores[SD])*$AA147:$AJ147)</f>
        <v>8</v>
      </c>
      <c r="Z147" s="14">
        <f>SUM(TablaSeleccionControladores[[#This Row],[EA]:[SD]])</f>
        <v>77</v>
      </c>
      <c r="AA147" s="14">
        <v>1</v>
      </c>
      <c r="AH147" s="14">
        <v>1</v>
      </c>
      <c r="AI147" s="14">
        <v>1</v>
      </c>
      <c r="AJ147" s="14">
        <v>2</v>
      </c>
    </row>
    <row r="148" spans="17:36" x14ac:dyDescent="0.25">
      <c r="Q148">
        <f t="shared" si="4"/>
        <v>38</v>
      </c>
      <c r="R148" t="s">
        <v>828</v>
      </c>
      <c r="S148">
        <f>SUM(TablaSeleccionControladores[[#This Row],[M4-CGE04060-0]:[M4-CGM09090-0H]])</f>
        <v>1</v>
      </c>
      <c r="T148" s="14" cm="1">
        <f t="array" ref="T148">SUM(_xlfn.XLOOKUP(TablaSeleccionControladores[[#Headers],[M4-CGE04060-0]:[M4-XPM18000-0]],TablaControladores[[REFERENCIA]:[REFERENCIA]],TablaControladores[EA])*$AA148:$AJ148)</f>
        <v>0</v>
      </c>
      <c r="U148" s="14" cm="1">
        <f t="array" ref="U148">SUM(_xlfn.XLOOKUP(TablaSeleccionControladores[[#Headers],[M4-CGE04060-0]:[M4-XPM18000-0]],TablaControladores[[REFERENCIA]:[REFERENCIA]],TablaControladores[EU])*$AA148:$AJ148)</f>
        <v>13</v>
      </c>
      <c r="V148" s="14" cm="1">
        <f t="array" ref="V148">SUM(_xlfn.XLOOKUP(TablaSeleccionControladores[[#Headers],[M4-CGE04060-0]:[M4-XPM18000-0]],TablaControladores[[REFERENCIA]:[REFERENCIA]],TablaControladores[ED])*$AA148:$AJ148)</f>
        <v>58</v>
      </c>
      <c r="W148" s="14" cm="1">
        <f t="array" ref="W148">SUM(_xlfn.XLOOKUP(TablaSeleccionControladores[[#Headers],[M4-CGE04060-0]:[M4-XPM18000-0]],TablaControladores[[REFERENCIA]:[REFERENCIA]],TablaControladores[SA])*$AA148:$AJ148)</f>
        <v>4</v>
      </c>
      <c r="X148" s="14" cm="1">
        <f t="array" ref="X148">SUM(_xlfn.XLOOKUP(TablaSeleccionControladores[[#Headers],[M4-CGE04060-0]:[M4-XPM18000-0]],TablaControladores[[REFERENCIA]:[REFERENCIA]],TablaControladores[SC])*$AA148:$AJ148)</f>
        <v>12</v>
      </c>
      <c r="Y148" s="14" cm="1">
        <f t="array" ref="Y148">SUM(_xlfn.XLOOKUP(TablaSeleccionControladores[[#Headers],[M4-CGE04060-0]:[M4-XPM18000-0]],TablaControladores[[REFERENCIA]:[REFERENCIA]],TablaControladores[SD])*$AA148:$AJ148)</f>
        <v>8</v>
      </c>
      <c r="Z148" s="14">
        <f>SUM(TablaSeleccionControladores[[#This Row],[EA]:[SD]])</f>
        <v>95</v>
      </c>
      <c r="AA148" s="14">
        <v>1</v>
      </c>
      <c r="AH148" s="14">
        <v>1</v>
      </c>
      <c r="AI148" s="14">
        <v>1</v>
      </c>
      <c r="AJ148" s="14">
        <v>3</v>
      </c>
    </row>
    <row r="149" spans="17:36" x14ac:dyDescent="0.25">
      <c r="Q149">
        <f t="shared" si="4"/>
        <v>39</v>
      </c>
      <c r="R149" t="s">
        <v>828</v>
      </c>
      <c r="S149">
        <f>SUM(TablaSeleccionControladores[[#This Row],[M4-CGE04060-0]:[M4-CGM09090-0H]])</f>
        <v>1</v>
      </c>
      <c r="T149" s="14" cm="1">
        <f t="array" ref="T149">SUM(_xlfn.XLOOKUP(TablaSeleccionControladores[[#Headers],[M4-CGE04060-0]:[M4-XPM18000-0]],TablaControladores[[REFERENCIA]:[REFERENCIA]],TablaControladores[EA])*$AA149:$AJ149)</f>
        <v>0</v>
      </c>
      <c r="U149" s="14" cm="1">
        <f t="array" ref="U149">SUM(_xlfn.XLOOKUP(TablaSeleccionControladores[[#Headers],[M4-CGE04060-0]:[M4-XPM18000-0]],TablaControladores[[REFERENCIA]:[REFERENCIA]],TablaControladores[EU])*$AA149:$AJ149)</f>
        <v>13</v>
      </c>
      <c r="V149" s="14" cm="1">
        <f t="array" ref="V149">SUM(_xlfn.XLOOKUP(TablaSeleccionControladores[[#Headers],[M4-CGE04060-0]:[M4-XPM18000-0]],TablaControladores[[REFERENCIA]:[REFERENCIA]],TablaControladores[ED])*$AA149:$AJ149)</f>
        <v>76</v>
      </c>
      <c r="W149" s="14" cm="1">
        <f t="array" ref="W149">SUM(_xlfn.XLOOKUP(TablaSeleccionControladores[[#Headers],[M4-CGE04060-0]:[M4-XPM18000-0]],TablaControladores[[REFERENCIA]:[REFERENCIA]],TablaControladores[SA])*$AA149:$AJ149)</f>
        <v>4</v>
      </c>
      <c r="X149" s="14" cm="1">
        <f t="array" ref="X149">SUM(_xlfn.XLOOKUP(TablaSeleccionControladores[[#Headers],[M4-CGE04060-0]:[M4-XPM18000-0]],TablaControladores[[REFERENCIA]:[REFERENCIA]],TablaControladores[SC])*$AA149:$AJ149)</f>
        <v>12</v>
      </c>
      <c r="Y149" s="14" cm="1">
        <f t="array" ref="Y149">SUM(_xlfn.XLOOKUP(TablaSeleccionControladores[[#Headers],[M4-CGE04060-0]:[M4-XPM18000-0]],TablaControladores[[REFERENCIA]:[REFERENCIA]],TablaControladores[SD])*$AA149:$AJ149)</f>
        <v>8</v>
      </c>
      <c r="Z149" s="14">
        <f>SUM(TablaSeleccionControladores[[#This Row],[EA]:[SD]])</f>
        <v>113</v>
      </c>
      <c r="AA149" s="14">
        <v>1</v>
      </c>
      <c r="AH149" s="14">
        <v>1</v>
      </c>
      <c r="AI149" s="14">
        <v>1</v>
      </c>
      <c r="AJ149" s="14">
        <v>4</v>
      </c>
    </row>
    <row r="150" spans="17:36" x14ac:dyDescent="0.25">
      <c r="Q150">
        <f t="shared" si="4"/>
        <v>40</v>
      </c>
      <c r="R150" t="s">
        <v>828</v>
      </c>
      <c r="S150">
        <f>SUM(TablaSeleccionControladores[[#This Row],[M4-CGE04060-0]:[M4-CGM09090-0H]])</f>
        <v>1</v>
      </c>
      <c r="T150" s="14" cm="1">
        <f t="array" ref="T150">SUM(_xlfn.XLOOKUP(TablaSeleccionControladores[[#Headers],[M4-CGE04060-0]:[M4-XPM18000-0]],TablaControladores[[REFERENCIA]:[REFERENCIA]],TablaControladores[EA])*$AA150:$AJ150)</f>
        <v>0</v>
      </c>
      <c r="U150" s="14" cm="1">
        <f t="array" ref="U150">SUM(_xlfn.XLOOKUP(TablaSeleccionControladores[[#Headers],[M4-CGE04060-0]:[M4-XPM18000-0]],TablaControladores[[REFERENCIA]:[REFERENCIA]],TablaControladores[EU])*$AA150:$AJ150)</f>
        <v>20</v>
      </c>
      <c r="V150" s="14" cm="1">
        <f t="array" ref="V150">SUM(_xlfn.XLOOKUP(TablaSeleccionControladores[[#Headers],[M4-CGE04060-0]:[M4-XPM18000-0]],TablaControladores[[REFERENCIA]:[REFERENCIA]],TablaControladores[ED])*$AA150:$AJ150)</f>
        <v>6</v>
      </c>
      <c r="W150" s="14" cm="1">
        <f t="array" ref="W150">SUM(_xlfn.XLOOKUP(TablaSeleccionControladores[[#Headers],[M4-CGE04060-0]:[M4-XPM18000-0]],TablaControladores[[REFERENCIA]:[REFERENCIA]],TablaControladores[SA])*$AA150:$AJ150)</f>
        <v>6</v>
      </c>
      <c r="X150" s="14" cm="1">
        <f t="array" ref="X150">SUM(_xlfn.XLOOKUP(TablaSeleccionControladores[[#Headers],[M4-CGE04060-0]:[M4-XPM18000-0]],TablaControladores[[REFERENCIA]:[REFERENCIA]],TablaControladores[SC])*$AA150:$AJ150)</f>
        <v>16</v>
      </c>
      <c r="Y150" s="14" cm="1">
        <f t="array" ref="Y150">SUM(_xlfn.XLOOKUP(TablaSeleccionControladores[[#Headers],[M4-CGE04060-0]:[M4-XPM18000-0]],TablaControladores[[REFERENCIA]:[REFERENCIA]],TablaControladores[SD])*$AA150:$AJ150)</f>
        <v>11</v>
      </c>
      <c r="Z150" s="14">
        <f>SUM(TablaSeleccionControladores[[#This Row],[EA]:[SD]])</f>
        <v>59</v>
      </c>
      <c r="AA150" s="14">
        <v>1</v>
      </c>
      <c r="AH150" s="14">
        <v>1</v>
      </c>
      <c r="AI150" s="14">
        <v>2</v>
      </c>
      <c r="AJ150" s="14">
        <v>0</v>
      </c>
    </row>
    <row r="151" spans="17:36" x14ac:dyDescent="0.25">
      <c r="Q151">
        <f t="shared" si="4"/>
        <v>41</v>
      </c>
      <c r="R151" t="s">
        <v>828</v>
      </c>
      <c r="S151">
        <f>SUM(TablaSeleccionControladores[[#This Row],[M4-CGE04060-0]:[M4-CGM09090-0H]])</f>
        <v>1</v>
      </c>
      <c r="T151" s="14" cm="1">
        <f t="array" ref="T151">SUM(_xlfn.XLOOKUP(TablaSeleccionControladores[[#Headers],[M4-CGE04060-0]:[M4-XPM18000-0]],TablaControladores[[REFERENCIA]:[REFERENCIA]],TablaControladores[EA])*$AA151:$AJ151)</f>
        <v>0</v>
      </c>
      <c r="U151" s="14" cm="1">
        <f t="array" ref="U151">SUM(_xlfn.XLOOKUP(TablaSeleccionControladores[[#Headers],[M4-CGE04060-0]:[M4-XPM18000-0]],TablaControladores[[REFERENCIA]:[REFERENCIA]],TablaControladores[EU])*$AA151:$AJ151)</f>
        <v>20</v>
      </c>
      <c r="V151" s="14" cm="1">
        <f t="array" ref="V151">SUM(_xlfn.XLOOKUP(TablaSeleccionControladores[[#Headers],[M4-CGE04060-0]:[M4-XPM18000-0]],TablaControladores[[REFERENCIA]:[REFERENCIA]],TablaControladores[ED])*$AA151:$AJ151)</f>
        <v>24</v>
      </c>
      <c r="W151" s="14" cm="1">
        <f t="array" ref="W151">SUM(_xlfn.XLOOKUP(TablaSeleccionControladores[[#Headers],[M4-CGE04060-0]:[M4-XPM18000-0]],TablaControladores[[REFERENCIA]:[REFERENCIA]],TablaControladores[SA])*$AA151:$AJ151)</f>
        <v>6</v>
      </c>
      <c r="X151" s="14" cm="1">
        <f t="array" ref="X151">SUM(_xlfn.XLOOKUP(TablaSeleccionControladores[[#Headers],[M4-CGE04060-0]:[M4-XPM18000-0]],TablaControladores[[REFERENCIA]:[REFERENCIA]],TablaControladores[SC])*$AA151:$AJ151)</f>
        <v>16</v>
      </c>
      <c r="Y151" s="14" cm="1">
        <f t="array" ref="Y151">SUM(_xlfn.XLOOKUP(TablaSeleccionControladores[[#Headers],[M4-CGE04060-0]:[M4-XPM18000-0]],TablaControladores[[REFERENCIA]:[REFERENCIA]],TablaControladores[SD])*$AA151:$AJ151)</f>
        <v>11</v>
      </c>
      <c r="Z151" s="14">
        <f>SUM(TablaSeleccionControladores[[#This Row],[EA]:[SD]])</f>
        <v>77</v>
      </c>
      <c r="AA151" s="14">
        <v>1</v>
      </c>
      <c r="AH151" s="14">
        <v>1</v>
      </c>
      <c r="AI151" s="14">
        <v>2</v>
      </c>
      <c r="AJ151" s="14">
        <v>1</v>
      </c>
    </row>
    <row r="152" spans="17:36" x14ac:dyDescent="0.25">
      <c r="Q152">
        <f t="shared" si="4"/>
        <v>42</v>
      </c>
      <c r="R152" t="s">
        <v>828</v>
      </c>
      <c r="S152">
        <f>SUM(TablaSeleccionControladores[[#This Row],[M4-CGE04060-0]:[M4-CGM09090-0H]])</f>
        <v>1</v>
      </c>
      <c r="T152" s="14" cm="1">
        <f t="array" ref="T152">SUM(_xlfn.XLOOKUP(TablaSeleccionControladores[[#Headers],[M4-CGE04060-0]:[M4-XPM18000-0]],TablaControladores[[REFERENCIA]:[REFERENCIA]],TablaControladores[EA])*$AA152:$AJ152)</f>
        <v>0</v>
      </c>
      <c r="U152" s="14" cm="1">
        <f t="array" ref="U152">SUM(_xlfn.XLOOKUP(TablaSeleccionControladores[[#Headers],[M4-CGE04060-0]:[M4-XPM18000-0]],TablaControladores[[REFERENCIA]:[REFERENCIA]],TablaControladores[EU])*$AA152:$AJ152)</f>
        <v>20</v>
      </c>
      <c r="V152" s="14" cm="1">
        <f t="array" ref="V152">SUM(_xlfn.XLOOKUP(TablaSeleccionControladores[[#Headers],[M4-CGE04060-0]:[M4-XPM18000-0]],TablaControladores[[REFERENCIA]:[REFERENCIA]],TablaControladores[ED])*$AA152:$AJ152)</f>
        <v>42</v>
      </c>
      <c r="W152" s="14" cm="1">
        <f t="array" ref="W152">SUM(_xlfn.XLOOKUP(TablaSeleccionControladores[[#Headers],[M4-CGE04060-0]:[M4-XPM18000-0]],TablaControladores[[REFERENCIA]:[REFERENCIA]],TablaControladores[SA])*$AA152:$AJ152)</f>
        <v>6</v>
      </c>
      <c r="X152" s="14" cm="1">
        <f t="array" ref="X152">SUM(_xlfn.XLOOKUP(TablaSeleccionControladores[[#Headers],[M4-CGE04060-0]:[M4-XPM18000-0]],TablaControladores[[REFERENCIA]:[REFERENCIA]],TablaControladores[SC])*$AA152:$AJ152)</f>
        <v>16</v>
      </c>
      <c r="Y152" s="14" cm="1">
        <f t="array" ref="Y152">SUM(_xlfn.XLOOKUP(TablaSeleccionControladores[[#Headers],[M4-CGE04060-0]:[M4-XPM18000-0]],TablaControladores[[REFERENCIA]:[REFERENCIA]],TablaControladores[SD])*$AA152:$AJ152)</f>
        <v>11</v>
      </c>
      <c r="Z152" s="14">
        <f>SUM(TablaSeleccionControladores[[#This Row],[EA]:[SD]])</f>
        <v>95</v>
      </c>
      <c r="AA152" s="14">
        <v>1</v>
      </c>
      <c r="AH152" s="14">
        <v>1</v>
      </c>
      <c r="AI152" s="14">
        <v>2</v>
      </c>
      <c r="AJ152" s="14">
        <v>2</v>
      </c>
    </row>
    <row r="153" spans="17:36" x14ac:dyDescent="0.25">
      <c r="Q153">
        <f t="shared" si="4"/>
        <v>43</v>
      </c>
      <c r="R153" t="s">
        <v>828</v>
      </c>
      <c r="S153">
        <f>SUM(TablaSeleccionControladores[[#This Row],[M4-CGE04060-0]:[M4-CGM09090-0H]])</f>
        <v>1</v>
      </c>
      <c r="T153" s="14" cm="1">
        <f t="array" ref="T153">SUM(_xlfn.XLOOKUP(TablaSeleccionControladores[[#Headers],[M4-CGE04060-0]:[M4-XPM18000-0]],TablaControladores[[REFERENCIA]:[REFERENCIA]],TablaControladores[EA])*$AA153:$AJ153)</f>
        <v>0</v>
      </c>
      <c r="U153" s="14" cm="1">
        <f t="array" ref="U153">SUM(_xlfn.XLOOKUP(TablaSeleccionControladores[[#Headers],[M4-CGE04060-0]:[M4-XPM18000-0]],TablaControladores[[REFERENCIA]:[REFERENCIA]],TablaControladores[EU])*$AA153:$AJ153)</f>
        <v>20</v>
      </c>
      <c r="V153" s="14" cm="1">
        <f t="array" ref="V153">SUM(_xlfn.XLOOKUP(TablaSeleccionControladores[[#Headers],[M4-CGE04060-0]:[M4-XPM18000-0]],TablaControladores[[REFERENCIA]:[REFERENCIA]],TablaControladores[ED])*$AA153:$AJ153)</f>
        <v>60</v>
      </c>
      <c r="W153" s="14" cm="1">
        <f t="array" ref="W153">SUM(_xlfn.XLOOKUP(TablaSeleccionControladores[[#Headers],[M4-CGE04060-0]:[M4-XPM18000-0]],TablaControladores[[REFERENCIA]:[REFERENCIA]],TablaControladores[SA])*$AA153:$AJ153)</f>
        <v>6</v>
      </c>
      <c r="X153" s="14" cm="1">
        <f t="array" ref="X153">SUM(_xlfn.XLOOKUP(TablaSeleccionControladores[[#Headers],[M4-CGE04060-0]:[M4-XPM18000-0]],TablaControladores[[REFERENCIA]:[REFERENCIA]],TablaControladores[SC])*$AA153:$AJ153)</f>
        <v>16</v>
      </c>
      <c r="Y153" s="14" cm="1">
        <f t="array" ref="Y153">SUM(_xlfn.XLOOKUP(TablaSeleccionControladores[[#Headers],[M4-CGE04060-0]:[M4-XPM18000-0]],TablaControladores[[REFERENCIA]:[REFERENCIA]],TablaControladores[SD])*$AA153:$AJ153)</f>
        <v>11</v>
      </c>
      <c r="Z153" s="14">
        <f>SUM(TablaSeleccionControladores[[#This Row],[EA]:[SD]])</f>
        <v>113</v>
      </c>
      <c r="AA153" s="14">
        <v>1</v>
      </c>
      <c r="AH153" s="14">
        <v>1</v>
      </c>
      <c r="AI153" s="14">
        <v>2</v>
      </c>
      <c r="AJ153" s="14">
        <v>3</v>
      </c>
    </row>
    <row r="154" spans="17:36" x14ac:dyDescent="0.25">
      <c r="Q154">
        <f t="shared" si="4"/>
        <v>44</v>
      </c>
      <c r="R154" t="s">
        <v>828</v>
      </c>
      <c r="S154">
        <f>SUM(TablaSeleccionControladores[[#This Row],[M4-CGE04060-0]:[M4-CGM09090-0H]])</f>
        <v>1</v>
      </c>
      <c r="T154" s="14" cm="1">
        <f t="array" ref="T154">SUM(_xlfn.XLOOKUP(TablaSeleccionControladores[[#Headers],[M4-CGE04060-0]:[M4-XPM18000-0]],TablaControladores[[REFERENCIA]:[REFERENCIA]],TablaControladores[EA])*$AA154:$AJ154)</f>
        <v>0</v>
      </c>
      <c r="U154" s="14" cm="1">
        <f t="array" ref="U154">SUM(_xlfn.XLOOKUP(TablaSeleccionControladores[[#Headers],[M4-CGE04060-0]:[M4-XPM18000-0]],TablaControladores[[REFERENCIA]:[REFERENCIA]],TablaControladores[EU])*$AA154:$AJ154)</f>
        <v>27</v>
      </c>
      <c r="V154" s="14" cm="1">
        <f t="array" ref="V154">SUM(_xlfn.XLOOKUP(TablaSeleccionControladores[[#Headers],[M4-CGE04060-0]:[M4-XPM18000-0]],TablaControladores[[REFERENCIA]:[REFERENCIA]],TablaControladores[ED])*$AA154:$AJ154)</f>
        <v>8</v>
      </c>
      <c r="W154" s="14" cm="1">
        <f t="array" ref="W154">SUM(_xlfn.XLOOKUP(TablaSeleccionControladores[[#Headers],[M4-CGE04060-0]:[M4-XPM18000-0]],TablaControladores[[REFERENCIA]:[REFERENCIA]],TablaControladores[SA])*$AA154:$AJ154)</f>
        <v>8</v>
      </c>
      <c r="X154" s="14" cm="1">
        <f t="array" ref="X154">SUM(_xlfn.XLOOKUP(TablaSeleccionControladores[[#Headers],[M4-CGE04060-0]:[M4-XPM18000-0]],TablaControladores[[REFERENCIA]:[REFERENCIA]],TablaControladores[SC])*$AA154:$AJ154)</f>
        <v>20</v>
      </c>
      <c r="Y154" s="14" cm="1">
        <f t="array" ref="Y154">SUM(_xlfn.XLOOKUP(TablaSeleccionControladores[[#Headers],[M4-CGE04060-0]:[M4-XPM18000-0]],TablaControladores[[REFERENCIA]:[REFERENCIA]],TablaControladores[SD])*$AA154:$AJ154)</f>
        <v>14</v>
      </c>
      <c r="Z154" s="14">
        <f>SUM(TablaSeleccionControladores[[#This Row],[EA]:[SD]])</f>
        <v>77</v>
      </c>
      <c r="AA154" s="14">
        <v>1</v>
      </c>
      <c r="AH154" s="14">
        <v>1</v>
      </c>
      <c r="AI154" s="14">
        <v>3</v>
      </c>
      <c r="AJ154" s="14">
        <v>0</v>
      </c>
    </row>
    <row r="155" spans="17:36" x14ac:dyDescent="0.25">
      <c r="Q155">
        <f t="shared" si="4"/>
        <v>45</v>
      </c>
      <c r="R155" t="s">
        <v>828</v>
      </c>
      <c r="S155">
        <f>SUM(TablaSeleccionControladores[[#This Row],[M4-CGE04060-0]:[M4-CGM09090-0H]])</f>
        <v>1</v>
      </c>
      <c r="T155" s="14" cm="1">
        <f t="array" ref="T155">SUM(_xlfn.XLOOKUP(TablaSeleccionControladores[[#Headers],[M4-CGE04060-0]:[M4-XPM18000-0]],TablaControladores[[REFERENCIA]:[REFERENCIA]],TablaControladores[EA])*$AA155:$AJ155)</f>
        <v>0</v>
      </c>
      <c r="U155" s="14" cm="1">
        <f t="array" ref="U155">SUM(_xlfn.XLOOKUP(TablaSeleccionControladores[[#Headers],[M4-CGE04060-0]:[M4-XPM18000-0]],TablaControladores[[REFERENCIA]:[REFERENCIA]],TablaControladores[EU])*$AA155:$AJ155)</f>
        <v>27</v>
      </c>
      <c r="V155" s="14" cm="1">
        <f t="array" ref="V155">SUM(_xlfn.XLOOKUP(TablaSeleccionControladores[[#Headers],[M4-CGE04060-0]:[M4-XPM18000-0]],TablaControladores[[REFERENCIA]:[REFERENCIA]],TablaControladores[ED])*$AA155:$AJ155)</f>
        <v>26</v>
      </c>
      <c r="W155" s="14" cm="1">
        <f t="array" ref="W155">SUM(_xlfn.XLOOKUP(TablaSeleccionControladores[[#Headers],[M4-CGE04060-0]:[M4-XPM18000-0]],TablaControladores[[REFERENCIA]:[REFERENCIA]],TablaControladores[SA])*$AA155:$AJ155)</f>
        <v>8</v>
      </c>
      <c r="X155" s="14" cm="1">
        <f t="array" ref="X155">SUM(_xlfn.XLOOKUP(TablaSeleccionControladores[[#Headers],[M4-CGE04060-0]:[M4-XPM18000-0]],TablaControladores[[REFERENCIA]:[REFERENCIA]],TablaControladores[SC])*$AA155:$AJ155)</f>
        <v>20</v>
      </c>
      <c r="Y155" s="14" cm="1">
        <f t="array" ref="Y155">SUM(_xlfn.XLOOKUP(TablaSeleccionControladores[[#Headers],[M4-CGE04060-0]:[M4-XPM18000-0]],TablaControladores[[REFERENCIA]:[REFERENCIA]],TablaControladores[SD])*$AA155:$AJ155)</f>
        <v>14</v>
      </c>
      <c r="Z155" s="14">
        <f>SUM(TablaSeleccionControladores[[#This Row],[EA]:[SD]])</f>
        <v>95</v>
      </c>
      <c r="AA155" s="14">
        <v>1</v>
      </c>
      <c r="AH155" s="14">
        <v>1</v>
      </c>
      <c r="AI155" s="14">
        <v>3</v>
      </c>
      <c r="AJ155" s="14">
        <v>1</v>
      </c>
    </row>
    <row r="156" spans="17:36" x14ac:dyDescent="0.25">
      <c r="Q156">
        <f t="shared" si="4"/>
        <v>46</v>
      </c>
      <c r="R156" t="s">
        <v>828</v>
      </c>
      <c r="S156">
        <f>SUM(TablaSeleccionControladores[[#This Row],[M4-CGE04060-0]:[M4-CGM09090-0H]])</f>
        <v>1</v>
      </c>
      <c r="T156" s="14" cm="1">
        <f t="array" ref="T156">SUM(_xlfn.XLOOKUP(TablaSeleccionControladores[[#Headers],[M4-CGE04060-0]:[M4-XPM18000-0]],TablaControladores[[REFERENCIA]:[REFERENCIA]],TablaControladores[EA])*$AA156:$AJ156)</f>
        <v>0</v>
      </c>
      <c r="U156" s="14" cm="1">
        <f t="array" ref="U156">SUM(_xlfn.XLOOKUP(TablaSeleccionControladores[[#Headers],[M4-CGE04060-0]:[M4-XPM18000-0]],TablaControladores[[REFERENCIA]:[REFERENCIA]],TablaControladores[EU])*$AA156:$AJ156)</f>
        <v>27</v>
      </c>
      <c r="V156" s="14" cm="1">
        <f t="array" ref="V156">SUM(_xlfn.XLOOKUP(TablaSeleccionControladores[[#Headers],[M4-CGE04060-0]:[M4-XPM18000-0]],TablaControladores[[REFERENCIA]:[REFERENCIA]],TablaControladores[ED])*$AA156:$AJ156)</f>
        <v>44</v>
      </c>
      <c r="W156" s="14" cm="1">
        <f t="array" ref="W156">SUM(_xlfn.XLOOKUP(TablaSeleccionControladores[[#Headers],[M4-CGE04060-0]:[M4-XPM18000-0]],TablaControladores[[REFERENCIA]:[REFERENCIA]],TablaControladores[SA])*$AA156:$AJ156)</f>
        <v>8</v>
      </c>
      <c r="X156" s="14" cm="1">
        <f t="array" ref="X156">SUM(_xlfn.XLOOKUP(TablaSeleccionControladores[[#Headers],[M4-CGE04060-0]:[M4-XPM18000-0]],TablaControladores[[REFERENCIA]:[REFERENCIA]],TablaControladores[SC])*$AA156:$AJ156)</f>
        <v>20</v>
      </c>
      <c r="Y156" s="14" cm="1">
        <f t="array" ref="Y156">SUM(_xlfn.XLOOKUP(TablaSeleccionControladores[[#Headers],[M4-CGE04060-0]:[M4-XPM18000-0]],TablaControladores[[REFERENCIA]:[REFERENCIA]],TablaControladores[SD])*$AA156:$AJ156)</f>
        <v>14</v>
      </c>
      <c r="Z156" s="14">
        <f>SUM(TablaSeleccionControladores[[#This Row],[EA]:[SD]])</f>
        <v>113</v>
      </c>
      <c r="AA156" s="14">
        <v>1</v>
      </c>
      <c r="AH156" s="14">
        <v>1</v>
      </c>
      <c r="AI156" s="14">
        <v>3</v>
      </c>
      <c r="AJ156" s="14">
        <v>2</v>
      </c>
    </row>
    <row r="157" spans="17:36" x14ac:dyDescent="0.25">
      <c r="Q157">
        <f t="shared" si="4"/>
        <v>47</v>
      </c>
      <c r="R157" t="s">
        <v>828</v>
      </c>
      <c r="S157">
        <f>SUM(TablaSeleccionControladores[[#This Row],[M4-CGE04060-0]:[M4-CGM09090-0H]])</f>
        <v>1</v>
      </c>
      <c r="T157" s="14" cm="1">
        <f t="array" ref="T157">SUM(_xlfn.XLOOKUP(TablaSeleccionControladores[[#Headers],[M4-CGE04060-0]:[M4-XPM18000-0]],TablaControladores[[REFERENCIA]:[REFERENCIA]],TablaControladores[EA])*$AA157:$AJ157)</f>
        <v>0</v>
      </c>
      <c r="U157" s="14" cm="1">
        <f t="array" ref="U157">SUM(_xlfn.XLOOKUP(TablaSeleccionControladores[[#Headers],[M4-CGE04060-0]:[M4-XPM18000-0]],TablaControladores[[REFERENCIA]:[REFERENCIA]],TablaControladores[EU])*$AA157:$AJ157)</f>
        <v>34</v>
      </c>
      <c r="V157" s="14" cm="1">
        <f t="array" ref="V157">SUM(_xlfn.XLOOKUP(TablaSeleccionControladores[[#Headers],[M4-CGE04060-0]:[M4-XPM18000-0]],TablaControladores[[REFERENCIA]:[REFERENCIA]],TablaControladores[ED])*$AA157:$AJ157)</f>
        <v>10</v>
      </c>
      <c r="W157" s="14" cm="1">
        <f t="array" ref="W157">SUM(_xlfn.XLOOKUP(TablaSeleccionControladores[[#Headers],[M4-CGE04060-0]:[M4-XPM18000-0]],TablaControladores[[REFERENCIA]:[REFERENCIA]],TablaControladores[SA])*$AA157:$AJ157)</f>
        <v>10</v>
      </c>
      <c r="X157" s="14" cm="1">
        <f t="array" ref="X157">SUM(_xlfn.XLOOKUP(TablaSeleccionControladores[[#Headers],[M4-CGE04060-0]:[M4-XPM18000-0]],TablaControladores[[REFERENCIA]:[REFERENCIA]],TablaControladores[SC])*$AA157:$AJ157)</f>
        <v>24</v>
      </c>
      <c r="Y157" s="14" cm="1">
        <f t="array" ref="Y157">SUM(_xlfn.XLOOKUP(TablaSeleccionControladores[[#Headers],[M4-CGE04060-0]:[M4-XPM18000-0]],TablaControladores[[REFERENCIA]:[REFERENCIA]],TablaControladores[SD])*$AA157:$AJ157)</f>
        <v>17</v>
      </c>
      <c r="Z157" s="14">
        <f>SUM(TablaSeleccionControladores[[#This Row],[EA]:[SD]])</f>
        <v>95</v>
      </c>
      <c r="AA157" s="14">
        <v>1</v>
      </c>
      <c r="AH157" s="14">
        <v>1</v>
      </c>
      <c r="AI157" s="14">
        <v>4</v>
      </c>
      <c r="AJ157" s="14">
        <v>0</v>
      </c>
    </row>
    <row r="158" spans="17:36" x14ac:dyDescent="0.25">
      <c r="Q158">
        <f t="shared" si="4"/>
        <v>48</v>
      </c>
      <c r="R158" t="s">
        <v>828</v>
      </c>
      <c r="S158">
        <f>SUM(TablaSeleccionControladores[[#This Row],[M4-CGE04060-0]:[M4-CGM09090-0H]])</f>
        <v>1</v>
      </c>
      <c r="T158" s="14" cm="1">
        <f t="array" ref="T158">SUM(_xlfn.XLOOKUP(TablaSeleccionControladores[[#Headers],[M4-CGE04060-0]:[M4-XPM18000-0]],TablaControladores[[REFERENCIA]:[REFERENCIA]],TablaControladores[EA])*$AA158:$AJ158)</f>
        <v>0</v>
      </c>
      <c r="U158" s="14" cm="1">
        <f t="array" ref="U158">SUM(_xlfn.XLOOKUP(TablaSeleccionControladores[[#Headers],[M4-CGE04060-0]:[M4-XPM18000-0]],TablaControladores[[REFERENCIA]:[REFERENCIA]],TablaControladores[EU])*$AA158:$AJ158)</f>
        <v>34</v>
      </c>
      <c r="V158" s="14" cm="1">
        <f t="array" ref="V158">SUM(_xlfn.XLOOKUP(TablaSeleccionControladores[[#Headers],[M4-CGE04060-0]:[M4-XPM18000-0]],TablaControladores[[REFERENCIA]:[REFERENCIA]],TablaControladores[ED])*$AA158:$AJ158)</f>
        <v>28</v>
      </c>
      <c r="W158" s="14" cm="1">
        <f t="array" ref="W158">SUM(_xlfn.XLOOKUP(TablaSeleccionControladores[[#Headers],[M4-CGE04060-0]:[M4-XPM18000-0]],TablaControladores[[REFERENCIA]:[REFERENCIA]],TablaControladores[SA])*$AA158:$AJ158)</f>
        <v>10</v>
      </c>
      <c r="X158" s="14" cm="1">
        <f t="array" ref="X158">SUM(_xlfn.XLOOKUP(TablaSeleccionControladores[[#Headers],[M4-CGE04060-0]:[M4-XPM18000-0]],TablaControladores[[REFERENCIA]:[REFERENCIA]],TablaControladores[SC])*$AA158:$AJ158)</f>
        <v>24</v>
      </c>
      <c r="Y158" s="14" cm="1">
        <f t="array" ref="Y158">SUM(_xlfn.XLOOKUP(TablaSeleccionControladores[[#Headers],[M4-CGE04060-0]:[M4-XPM18000-0]],TablaControladores[[REFERENCIA]:[REFERENCIA]],TablaControladores[SD])*$AA158:$AJ158)</f>
        <v>17</v>
      </c>
      <c r="Z158" s="14">
        <f>SUM(TablaSeleccionControladores[[#This Row],[EA]:[SD]])</f>
        <v>113</v>
      </c>
      <c r="AA158" s="14">
        <v>1</v>
      </c>
      <c r="AH158" s="14">
        <v>1</v>
      </c>
      <c r="AI158" s="14">
        <v>4</v>
      </c>
      <c r="AJ158" s="14">
        <v>1</v>
      </c>
    </row>
    <row r="159" spans="17:36" x14ac:dyDescent="0.25">
      <c r="Q159">
        <f t="shared" si="4"/>
        <v>49</v>
      </c>
      <c r="R159" t="s">
        <v>828</v>
      </c>
      <c r="S159">
        <f>SUM(TablaSeleccionControladores[[#This Row],[M4-CGE04060-0]:[M4-CGM09090-0H]])</f>
        <v>1</v>
      </c>
      <c r="T159" s="14" cm="1">
        <f t="array" ref="T159">SUM(_xlfn.XLOOKUP(TablaSeleccionControladores[[#Headers],[M4-CGE04060-0]:[M4-XPM18000-0]],TablaControladores[[REFERENCIA]:[REFERENCIA]],TablaControladores[EA])*$AA159:$AJ159)</f>
        <v>0</v>
      </c>
      <c r="U159" s="14" cm="1">
        <f t="array" ref="U159">SUM(_xlfn.XLOOKUP(TablaSeleccionControladores[[#Headers],[M4-CGE04060-0]:[M4-XPM18000-0]],TablaControladores[[REFERENCIA]:[REFERENCIA]],TablaControladores[EU])*$AA159:$AJ159)</f>
        <v>9</v>
      </c>
      <c r="V159" s="14" cm="1">
        <f t="array" ref="V159">SUM(_xlfn.XLOOKUP(TablaSeleccionControladores[[#Headers],[M4-CGE04060-0]:[M4-XPM18000-0]],TablaControladores[[REFERENCIA]:[REFERENCIA]],TablaControladores[ED])*$AA159:$AJ159)</f>
        <v>3</v>
      </c>
      <c r="W159" s="14" cm="1">
        <f t="array" ref="W159">SUM(_xlfn.XLOOKUP(TablaSeleccionControladores[[#Headers],[M4-CGE04060-0]:[M4-XPM18000-0]],TablaControladores[[REFERENCIA]:[REFERENCIA]],TablaControladores[SA])*$AA159:$AJ159)</f>
        <v>4</v>
      </c>
      <c r="X159" s="14" cm="1">
        <f t="array" ref="X159">SUM(_xlfn.XLOOKUP(TablaSeleccionControladores[[#Headers],[M4-CGE04060-0]:[M4-XPM18000-0]],TablaControladores[[REFERENCIA]:[REFERENCIA]],TablaControladores[SC])*$AA159:$AJ159)</f>
        <v>12</v>
      </c>
      <c r="Y159" s="14" cm="1">
        <f t="array" ref="Y159">SUM(_xlfn.XLOOKUP(TablaSeleccionControladores[[#Headers],[M4-CGE04060-0]:[M4-XPM18000-0]],TablaControladores[[REFERENCIA]:[REFERENCIA]],TablaControladores[SD])*$AA159:$AJ159)</f>
        <v>8</v>
      </c>
      <c r="Z159" s="14">
        <f>SUM(TablaSeleccionControladores[[#This Row],[EA]:[SD]])</f>
        <v>36</v>
      </c>
      <c r="AA159" s="14">
        <v>1</v>
      </c>
      <c r="AH159" s="14">
        <v>2</v>
      </c>
      <c r="AI159" s="14">
        <v>0</v>
      </c>
      <c r="AJ159" s="14">
        <v>0</v>
      </c>
    </row>
    <row r="160" spans="17:36" x14ac:dyDescent="0.25">
      <c r="Q160">
        <f t="shared" si="4"/>
        <v>50</v>
      </c>
      <c r="R160" t="s">
        <v>828</v>
      </c>
      <c r="S160">
        <f>SUM(TablaSeleccionControladores[[#This Row],[M4-CGE04060-0]:[M4-CGM09090-0H]])</f>
        <v>1</v>
      </c>
      <c r="T160" s="14" cm="1">
        <f t="array" ref="T160">SUM(_xlfn.XLOOKUP(TablaSeleccionControladores[[#Headers],[M4-CGE04060-0]:[M4-XPM18000-0]],TablaControladores[[REFERENCIA]:[REFERENCIA]],TablaControladores[EA])*$AA160:$AJ160)</f>
        <v>0</v>
      </c>
      <c r="U160" s="14" cm="1">
        <f t="array" ref="U160">SUM(_xlfn.XLOOKUP(TablaSeleccionControladores[[#Headers],[M4-CGE04060-0]:[M4-XPM18000-0]],TablaControladores[[REFERENCIA]:[REFERENCIA]],TablaControladores[EU])*$AA160:$AJ160)</f>
        <v>9</v>
      </c>
      <c r="V160" s="14" cm="1">
        <f t="array" ref="V160">SUM(_xlfn.XLOOKUP(TablaSeleccionControladores[[#Headers],[M4-CGE04060-0]:[M4-XPM18000-0]],TablaControladores[[REFERENCIA]:[REFERENCIA]],TablaControladores[ED])*$AA160:$AJ160)</f>
        <v>21</v>
      </c>
      <c r="W160" s="14" cm="1">
        <f t="array" ref="W160">SUM(_xlfn.XLOOKUP(TablaSeleccionControladores[[#Headers],[M4-CGE04060-0]:[M4-XPM18000-0]],TablaControladores[[REFERENCIA]:[REFERENCIA]],TablaControladores[SA])*$AA160:$AJ160)</f>
        <v>4</v>
      </c>
      <c r="X160" s="14" cm="1">
        <f t="array" ref="X160">SUM(_xlfn.XLOOKUP(TablaSeleccionControladores[[#Headers],[M4-CGE04060-0]:[M4-XPM18000-0]],TablaControladores[[REFERENCIA]:[REFERENCIA]],TablaControladores[SC])*$AA160:$AJ160)</f>
        <v>12</v>
      </c>
      <c r="Y160" s="14" cm="1">
        <f t="array" ref="Y160">SUM(_xlfn.XLOOKUP(TablaSeleccionControladores[[#Headers],[M4-CGE04060-0]:[M4-XPM18000-0]],TablaControladores[[REFERENCIA]:[REFERENCIA]],TablaControladores[SD])*$AA160:$AJ160)</f>
        <v>8</v>
      </c>
      <c r="Z160" s="14">
        <f>SUM(TablaSeleccionControladores[[#This Row],[EA]:[SD]])</f>
        <v>54</v>
      </c>
      <c r="AA160" s="14">
        <v>1</v>
      </c>
      <c r="AH160" s="14">
        <v>2</v>
      </c>
      <c r="AI160" s="14">
        <v>0</v>
      </c>
      <c r="AJ160" s="14">
        <v>1</v>
      </c>
    </row>
    <row r="161" spans="17:36" x14ac:dyDescent="0.25">
      <c r="Q161">
        <f t="shared" si="4"/>
        <v>51</v>
      </c>
      <c r="R161" t="s">
        <v>828</v>
      </c>
      <c r="S161">
        <f>SUM(TablaSeleccionControladores[[#This Row],[M4-CGE04060-0]:[M4-CGM09090-0H]])</f>
        <v>1</v>
      </c>
      <c r="T161" s="14" cm="1">
        <f t="array" ref="T161">SUM(_xlfn.XLOOKUP(TablaSeleccionControladores[[#Headers],[M4-CGE04060-0]:[M4-XPM18000-0]],TablaControladores[[REFERENCIA]:[REFERENCIA]],TablaControladores[EA])*$AA161:$AJ161)</f>
        <v>0</v>
      </c>
      <c r="U161" s="14" cm="1">
        <f t="array" ref="U161">SUM(_xlfn.XLOOKUP(TablaSeleccionControladores[[#Headers],[M4-CGE04060-0]:[M4-XPM18000-0]],TablaControladores[[REFERENCIA]:[REFERENCIA]],TablaControladores[EU])*$AA161:$AJ161)</f>
        <v>9</v>
      </c>
      <c r="V161" s="14" cm="1">
        <f t="array" ref="V161">SUM(_xlfn.XLOOKUP(TablaSeleccionControladores[[#Headers],[M4-CGE04060-0]:[M4-XPM18000-0]],TablaControladores[[REFERENCIA]:[REFERENCIA]],TablaControladores[ED])*$AA161:$AJ161)</f>
        <v>39</v>
      </c>
      <c r="W161" s="14" cm="1">
        <f t="array" ref="W161">SUM(_xlfn.XLOOKUP(TablaSeleccionControladores[[#Headers],[M4-CGE04060-0]:[M4-XPM18000-0]],TablaControladores[[REFERENCIA]:[REFERENCIA]],TablaControladores[SA])*$AA161:$AJ161)</f>
        <v>4</v>
      </c>
      <c r="X161" s="14" cm="1">
        <f t="array" ref="X161">SUM(_xlfn.XLOOKUP(TablaSeleccionControladores[[#Headers],[M4-CGE04060-0]:[M4-XPM18000-0]],TablaControladores[[REFERENCIA]:[REFERENCIA]],TablaControladores[SC])*$AA161:$AJ161)</f>
        <v>12</v>
      </c>
      <c r="Y161" s="14" cm="1">
        <f t="array" ref="Y161">SUM(_xlfn.XLOOKUP(TablaSeleccionControladores[[#Headers],[M4-CGE04060-0]:[M4-XPM18000-0]],TablaControladores[[REFERENCIA]:[REFERENCIA]],TablaControladores[SD])*$AA161:$AJ161)</f>
        <v>8</v>
      </c>
      <c r="Z161" s="14">
        <f>SUM(TablaSeleccionControladores[[#This Row],[EA]:[SD]])</f>
        <v>72</v>
      </c>
      <c r="AA161" s="14">
        <v>1</v>
      </c>
      <c r="AH161" s="14">
        <v>2</v>
      </c>
      <c r="AI161" s="14">
        <v>0</v>
      </c>
      <c r="AJ161" s="14">
        <v>2</v>
      </c>
    </row>
    <row r="162" spans="17:36" x14ac:dyDescent="0.25">
      <c r="Q162">
        <f t="shared" si="4"/>
        <v>52</v>
      </c>
      <c r="R162" t="s">
        <v>828</v>
      </c>
      <c r="S162">
        <f>SUM(TablaSeleccionControladores[[#This Row],[M4-CGE04060-0]:[M4-CGM09090-0H]])</f>
        <v>1</v>
      </c>
      <c r="T162" s="14" cm="1">
        <f t="array" ref="T162">SUM(_xlfn.XLOOKUP(TablaSeleccionControladores[[#Headers],[M4-CGE04060-0]:[M4-XPM18000-0]],TablaControladores[[REFERENCIA]:[REFERENCIA]],TablaControladores[EA])*$AA162:$AJ162)</f>
        <v>0</v>
      </c>
      <c r="U162" s="14" cm="1">
        <f t="array" ref="U162">SUM(_xlfn.XLOOKUP(TablaSeleccionControladores[[#Headers],[M4-CGE04060-0]:[M4-XPM18000-0]],TablaControladores[[REFERENCIA]:[REFERENCIA]],TablaControladores[EU])*$AA162:$AJ162)</f>
        <v>9</v>
      </c>
      <c r="V162" s="14" cm="1">
        <f t="array" ref="V162">SUM(_xlfn.XLOOKUP(TablaSeleccionControladores[[#Headers],[M4-CGE04060-0]:[M4-XPM18000-0]],TablaControladores[[REFERENCIA]:[REFERENCIA]],TablaControladores[ED])*$AA162:$AJ162)</f>
        <v>57</v>
      </c>
      <c r="W162" s="14" cm="1">
        <f t="array" ref="W162">SUM(_xlfn.XLOOKUP(TablaSeleccionControladores[[#Headers],[M4-CGE04060-0]:[M4-XPM18000-0]],TablaControladores[[REFERENCIA]:[REFERENCIA]],TablaControladores[SA])*$AA162:$AJ162)</f>
        <v>4</v>
      </c>
      <c r="X162" s="14" cm="1">
        <f t="array" ref="X162">SUM(_xlfn.XLOOKUP(TablaSeleccionControladores[[#Headers],[M4-CGE04060-0]:[M4-XPM18000-0]],TablaControladores[[REFERENCIA]:[REFERENCIA]],TablaControladores[SC])*$AA162:$AJ162)</f>
        <v>12</v>
      </c>
      <c r="Y162" s="14" cm="1">
        <f t="array" ref="Y162">SUM(_xlfn.XLOOKUP(TablaSeleccionControladores[[#Headers],[M4-CGE04060-0]:[M4-XPM18000-0]],TablaControladores[[REFERENCIA]:[REFERENCIA]],TablaControladores[SD])*$AA162:$AJ162)</f>
        <v>8</v>
      </c>
      <c r="Z162" s="14">
        <f>SUM(TablaSeleccionControladores[[#This Row],[EA]:[SD]])</f>
        <v>90</v>
      </c>
      <c r="AA162" s="14">
        <v>1</v>
      </c>
      <c r="AH162" s="14">
        <v>2</v>
      </c>
      <c r="AI162" s="14">
        <v>0</v>
      </c>
      <c r="AJ162" s="14">
        <v>3</v>
      </c>
    </row>
    <row r="163" spans="17:36" x14ac:dyDescent="0.25">
      <c r="Q163">
        <f t="shared" si="4"/>
        <v>53</v>
      </c>
      <c r="R163" t="s">
        <v>828</v>
      </c>
      <c r="S163">
        <f>SUM(TablaSeleccionControladores[[#This Row],[M4-CGE04060-0]:[M4-CGM09090-0H]])</f>
        <v>1</v>
      </c>
      <c r="T163" s="14" cm="1">
        <f t="array" ref="T163">SUM(_xlfn.XLOOKUP(TablaSeleccionControladores[[#Headers],[M4-CGE04060-0]:[M4-XPM18000-0]],TablaControladores[[REFERENCIA]:[REFERENCIA]],TablaControladores[EA])*$AA163:$AJ163)</f>
        <v>0</v>
      </c>
      <c r="U163" s="14" cm="1">
        <f t="array" ref="U163">SUM(_xlfn.XLOOKUP(TablaSeleccionControladores[[#Headers],[M4-CGE04060-0]:[M4-XPM18000-0]],TablaControladores[[REFERENCIA]:[REFERENCIA]],TablaControladores[EU])*$AA163:$AJ163)</f>
        <v>9</v>
      </c>
      <c r="V163" s="14" cm="1">
        <f t="array" ref="V163">SUM(_xlfn.XLOOKUP(TablaSeleccionControladores[[#Headers],[M4-CGE04060-0]:[M4-XPM18000-0]],TablaControladores[[REFERENCIA]:[REFERENCIA]],TablaControladores[ED])*$AA163:$AJ163)</f>
        <v>75</v>
      </c>
      <c r="W163" s="14" cm="1">
        <f t="array" ref="W163">SUM(_xlfn.XLOOKUP(TablaSeleccionControladores[[#Headers],[M4-CGE04060-0]:[M4-XPM18000-0]],TablaControladores[[REFERENCIA]:[REFERENCIA]],TablaControladores[SA])*$AA163:$AJ163)</f>
        <v>4</v>
      </c>
      <c r="X163" s="14" cm="1">
        <f t="array" ref="X163">SUM(_xlfn.XLOOKUP(TablaSeleccionControladores[[#Headers],[M4-CGE04060-0]:[M4-XPM18000-0]],TablaControladores[[REFERENCIA]:[REFERENCIA]],TablaControladores[SC])*$AA163:$AJ163)</f>
        <v>12</v>
      </c>
      <c r="Y163" s="14" cm="1">
        <f t="array" ref="Y163">SUM(_xlfn.XLOOKUP(TablaSeleccionControladores[[#Headers],[M4-CGE04060-0]:[M4-XPM18000-0]],TablaControladores[[REFERENCIA]:[REFERENCIA]],TablaControladores[SD])*$AA163:$AJ163)</f>
        <v>8</v>
      </c>
      <c r="Z163" s="14">
        <f>SUM(TablaSeleccionControladores[[#This Row],[EA]:[SD]])</f>
        <v>108</v>
      </c>
      <c r="AA163" s="14">
        <v>1</v>
      </c>
      <c r="AH163" s="14">
        <v>2</v>
      </c>
      <c r="AI163" s="14">
        <v>0</v>
      </c>
      <c r="AJ163" s="14">
        <v>4</v>
      </c>
    </row>
    <row r="164" spans="17:36" x14ac:dyDescent="0.25">
      <c r="Q164">
        <f t="shared" si="4"/>
        <v>54</v>
      </c>
      <c r="R164" t="s">
        <v>828</v>
      </c>
      <c r="S164">
        <f>SUM(TablaSeleccionControladores[[#This Row],[M4-CGE04060-0]:[M4-CGM09090-0H]])</f>
        <v>1</v>
      </c>
      <c r="T164" s="14" cm="1">
        <f t="array" ref="T164">SUM(_xlfn.XLOOKUP(TablaSeleccionControladores[[#Headers],[M4-CGE04060-0]:[M4-XPM18000-0]],TablaControladores[[REFERENCIA]:[REFERENCIA]],TablaControladores[EA])*$AA164:$AJ164)</f>
        <v>0</v>
      </c>
      <c r="U164" s="14" cm="1">
        <f t="array" ref="U164">SUM(_xlfn.XLOOKUP(TablaSeleccionControladores[[#Headers],[M4-CGE04060-0]:[M4-XPM18000-0]],TablaControladores[[REFERENCIA]:[REFERENCIA]],TablaControladores[EU])*$AA164:$AJ164)</f>
        <v>16</v>
      </c>
      <c r="V164" s="14" cm="1">
        <f t="array" ref="V164">SUM(_xlfn.XLOOKUP(TablaSeleccionControladores[[#Headers],[M4-CGE04060-0]:[M4-XPM18000-0]],TablaControladores[[REFERENCIA]:[REFERENCIA]],TablaControladores[ED])*$AA164:$AJ164)</f>
        <v>5</v>
      </c>
      <c r="W164" s="14" cm="1">
        <f t="array" ref="W164">SUM(_xlfn.XLOOKUP(TablaSeleccionControladores[[#Headers],[M4-CGE04060-0]:[M4-XPM18000-0]],TablaControladores[[REFERENCIA]:[REFERENCIA]],TablaControladores[SA])*$AA164:$AJ164)</f>
        <v>6</v>
      </c>
      <c r="X164" s="14" cm="1">
        <f t="array" ref="X164">SUM(_xlfn.XLOOKUP(TablaSeleccionControladores[[#Headers],[M4-CGE04060-0]:[M4-XPM18000-0]],TablaControladores[[REFERENCIA]:[REFERENCIA]],TablaControladores[SC])*$AA164:$AJ164)</f>
        <v>16</v>
      </c>
      <c r="Y164" s="14" cm="1">
        <f t="array" ref="Y164">SUM(_xlfn.XLOOKUP(TablaSeleccionControladores[[#Headers],[M4-CGE04060-0]:[M4-XPM18000-0]],TablaControladores[[REFERENCIA]:[REFERENCIA]],TablaControladores[SD])*$AA164:$AJ164)</f>
        <v>11</v>
      </c>
      <c r="Z164" s="14">
        <f>SUM(TablaSeleccionControladores[[#This Row],[EA]:[SD]])</f>
        <v>54</v>
      </c>
      <c r="AA164" s="14">
        <v>1</v>
      </c>
      <c r="AH164" s="14">
        <v>2</v>
      </c>
      <c r="AI164" s="14">
        <v>1</v>
      </c>
      <c r="AJ164" s="14">
        <v>0</v>
      </c>
    </row>
    <row r="165" spans="17:36" x14ac:dyDescent="0.25">
      <c r="Q165">
        <f t="shared" si="4"/>
        <v>55</v>
      </c>
      <c r="R165" t="s">
        <v>828</v>
      </c>
      <c r="S165">
        <f>SUM(TablaSeleccionControladores[[#This Row],[M4-CGE04060-0]:[M4-CGM09090-0H]])</f>
        <v>1</v>
      </c>
      <c r="T165" s="14" cm="1">
        <f t="array" ref="T165">SUM(_xlfn.XLOOKUP(TablaSeleccionControladores[[#Headers],[M4-CGE04060-0]:[M4-XPM18000-0]],TablaControladores[[REFERENCIA]:[REFERENCIA]],TablaControladores[EA])*$AA165:$AJ165)</f>
        <v>0</v>
      </c>
      <c r="U165" s="14" cm="1">
        <f t="array" ref="U165">SUM(_xlfn.XLOOKUP(TablaSeleccionControladores[[#Headers],[M4-CGE04060-0]:[M4-XPM18000-0]],TablaControladores[[REFERENCIA]:[REFERENCIA]],TablaControladores[EU])*$AA165:$AJ165)</f>
        <v>16</v>
      </c>
      <c r="V165" s="14" cm="1">
        <f t="array" ref="V165">SUM(_xlfn.XLOOKUP(TablaSeleccionControladores[[#Headers],[M4-CGE04060-0]:[M4-XPM18000-0]],TablaControladores[[REFERENCIA]:[REFERENCIA]],TablaControladores[ED])*$AA165:$AJ165)</f>
        <v>23</v>
      </c>
      <c r="W165" s="14" cm="1">
        <f t="array" ref="W165">SUM(_xlfn.XLOOKUP(TablaSeleccionControladores[[#Headers],[M4-CGE04060-0]:[M4-XPM18000-0]],TablaControladores[[REFERENCIA]:[REFERENCIA]],TablaControladores[SA])*$AA165:$AJ165)</f>
        <v>6</v>
      </c>
      <c r="X165" s="14" cm="1">
        <f t="array" ref="X165">SUM(_xlfn.XLOOKUP(TablaSeleccionControladores[[#Headers],[M4-CGE04060-0]:[M4-XPM18000-0]],TablaControladores[[REFERENCIA]:[REFERENCIA]],TablaControladores[SC])*$AA165:$AJ165)</f>
        <v>16</v>
      </c>
      <c r="Y165" s="14" cm="1">
        <f t="array" ref="Y165">SUM(_xlfn.XLOOKUP(TablaSeleccionControladores[[#Headers],[M4-CGE04060-0]:[M4-XPM18000-0]],TablaControladores[[REFERENCIA]:[REFERENCIA]],TablaControladores[SD])*$AA165:$AJ165)</f>
        <v>11</v>
      </c>
      <c r="Z165" s="14">
        <f>SUM(TablaSeleccionControladores[[#This Row],[EA]:[SD]])</f>
        <v>72</v>
      </c>
      <c r="AA165" s="14">
        <v>1</v>
      </c>
      <c r="AH165" s="14">
        <v>2</v>
      </c>
      <c r="AI165" s="14">
        <v>1</v>
      </c>
      <c r="AJ165" s="14">
        <v>1</v>
      </c>
    </row>
    <row r="166" spans="17:36" x14ac:dyDescent="0.25">
      <c r="Q166">
        <f t="shared" si="4"/>
        <v>56</v>
      </c>
      <c r="R166" t="s">
        <v>828</v>
      </c>
      <c r="S166">
        <f>SUM(TablaSeleccionControladores[[#This Row],[M4-CGE04060-0]:[M4-CGM09090-0H]])</f>
        <v>1</v>
      </c>
      <c r="T166" s="14" cm="1">
        <f t="array" ref="T166">SUM(_xlfn.XLOOKUP(TablaSeleccionControladores[[#Headers],[M4-CGE04060-0]:[M4-XPM18000-0]],TablaControladores[[REFERENCIA]:[REFERENCIA]],TablaControladores[EA])*$AA166:$AJ166)</f>
        <v>0</v>
      </c>
      <c r="U166" s="14" cm="1">
        <f t="array" ref="U166">SUM(_xlfn.XLOOKUP(TablaSeleccionControladores[[#Headers],[M4-CGE04060-0]:[M4-XPM18000-0]],TablaControladores[[REFERENCIA]:[REFERENCIA]],TablaControladores[EU])*$AA166:$AJ166)</f>
        <v>16</v>
      </c>
      <c r="V166" s="14" cm="1">
        <f t="array" ref="V166">SUM(_xlfn.XLOOKUP(TablaSeleccionControladores[[#Headers],[M4-CGE04060-0]:[M4-XPM18000-0]],TablaControladores[[REFERENCIA]:[REFERENCIA]],TablaControladores[ED])*$AA166:$AJ166)</f>
        <v>41</v>
      </c>
      <c r="W166" s="14" cm="1">
        <f t="array" ref="W166">SUM(_xlfn.XLOOKUP(TablaSeleccionControladores[[#Headers],[M4-CGE04060-0]:[M4-XPM18000-0]],TablaControladores[[REFERENCIA]:[REFERENCIA]],TablaControladores[SA])*$AA166:$AJ166)</f>
        <v>6</v>
      </c>
      <c r="X166" s="14" cm="1">
        <f t="array" ref="X166">SUM(_xlfn.XLOOKUP(TablaSeleccionControladores[[#Headers],[M4-CGE04060-0]:[M4-XPM18000-0]],TablaControladores[[REFERENCIA]:[REFERENCIA]],TablaControladores[SC])*$AA166:$AJ166)</f>
        <v>16</v>
      </c>
      <c r="Y166" s="14" cm="1">
        <f t="array" ref="Y166">SUM(_xlfn.XLOOKUP(TablaSeleccionControladores[[#Headers],[M4-CGE04060-0]:[M4-XPM18000-0]],TablaControladores[[REFERENCIA]:[REFERENCIA]],TablaControladores[SD])*$AA166:$AJ166)</f>
        <v>11</v>
      </c>
      <c r="Z166" s="14">
        <f>SUM(TablaSeleccionControladores[[#This Row],[EA]:[SD]])</f>
        <v>90</v>
      </c>
      <c r="AA166" s="14">
        <v>1</v>
      </c>
      <c r="AH166" s="14">
        <v>2</v>
      </c>
      <c r="AI166" s="14">
        <v>1</v>
      </c>
      <c r="AJ166" s="14">
        <v>2</v>
      </c>
    </row>
    <row r="167" spans="17:36" x14ac:dyDescent="0.25">
      <c r="Q167">
        <f t="shared" si="4"/>
        <v>57</v>
      </c>
      <c r="R167" t="s">
        <v>828</v>
      </c>
      <c r="S167">
        <f>SUM(TablaSeleccionControladores[[#This Row],[M4-CGE04060-0]:[M4-CGM09090-0H]])</f>
        <v>1</v>
      </c>
      <c r="T167" s="14" cm="1">
        <f t="array" ref="T167">SUM(_xlfn.XLOOKUP(TablaSeleccionControladores[[#Headers],[M4-CGE04060-0]:[M4-XPM18000-0]],TablaControladores[[REFERENCIA]:[REFERENCIA]],TablaControladores[EA])*$AA167:$AJ167)</f>
        <v>0</v>
      </c>
      <c r="U167" s="14" cm="1">
        <f t="array" ref="U167">SUM(_xlfn.XLOOKUP(TablaSeleccionControladores[[#Headers],[M4-CGE04060-0]:[M4-XPM18000-0]],TablaControladores[[REFERENCIA]:[REFERENCIA]],TablaControladores[EU])*$AA167:$AJ167)</f>
        <v>16</v>
      </c>
      <c r="V167" s="14" cm="1">
        <f t="array" ref="V167">SUM(_xlfn.XLOOKUP(TablaSeleccionControladores[[#Headers],[M4-CGE04060-0]:[M4-XPM18000-0]],TablaControladores[[REFERENCIA]:[REFERENCIA]],TablaControladores[ED])*$AA167:$AJ167)</f>
        <v>59</v>
      </c>
      <c r="W167" s="14" cm="1">
        <f t="array" ref="W167">SUM(_xlfn.XLOOKUP(TablaSeleccionControladores[[#Headers],[M4-CGE04060-0]:[M4-XPM18000-0]],TablaControladores[[REFERENCIA]:[REFERENCIA]],TablaControladores[SA])*$AA167:$AJ167)</f>
        <v>6</v>
      </c>
      <c r="X167" s="14" cm="1">
        <f t="array" ref="X167">SUM(_xlfn.XLOOKUP(TablaSeleccionControladores[[#Headers],[M4-CGE04060-0]:[M4-XPM18000-0]],TablaControladores[[REFERENCIA]:[REFERENCIA]],TablaControladores[SC])*$AA167:$AJ167)</f>
        <v>16</v>
      </c>
      <c r="Y167" s="14" cm="1">
        <f t="array" ref="Y167">SUM(_xlfn.XLOOKUP(TablaSeleccionControladores[[#Headers],[M4-CGE04060-0]:[M4-XPM18000-0]],TablaControladores[[REFERENCIA]:[REFERENCIA]],TablaControladores[SD])*$AA167:$AJ167)</f>
        <v>11</v>
      </c>
      <c r="Z167" s="14">
        <f>SUM(TablaSeleccionControladores[[#This Row],[EA]:[SD]])</f>
        <v>108</v>
      </c>
      <c r="AA167" s="14">
        <v>1</v>
      </c>
      <c r="AH167" s="14">
        <v>2</v>
      </c>
      <c r="AI167" s="14">
        <v>1</v>
      </c>
      <c r="AJ167" s="14">
        <v>3</v>
      </c>
    </row>
    <row r="168" spans="17:36" x14ac:dyDescent="0.25">
      <c r="Q168">
        <f t="shared" si="4"/>
        <v>58</v>
      </c>
      <c r="R168" t="s">
        <v>828</v>
      </c>
      <c r="S168">
        <f>SUM(TablaSeleccionControladores[[#This Row],[M4-CGE04060-0]:[M4-CGM09090-0H]])</f>
        <v>1</v>
      </c>
      <c r="T168" s="14" cm="1">
        <f t="array" ref="T168">SUM(_xlfn.XLOOKUP(TablaSeleccionControladores[[#Headers],[M4-CGE04060-0]:[M4-XPM18000-0]],TablaControladores[[REFERENCIA]:[REFERENCIA]],TablaControladores[EA])*$AA168:$AJ168)</f>
        <v>0</v>
      </c>
      <c r="U168" s="14" cm="1">
        <f t="array" ref="U168">SUM(_xlfn.XLOOKUP(TablaSeleccionControladores[[#Headers],[M4-CGE04060-0]:[M4-XPM18000-0]],TablaControladores[[REFERENCIA]:[REFERENCIA]],TablaControladores[EU])*$AA168:$AJ168)</f>
        <v>23</v>
      </c>
      <c r="V168" s="14" cm="1">
        <f t="array" ref="V168">SUM(_xlfn.XLOOKUP(TablaSeleccionControladores[[#Headers],[M4-CGE04060-0]:[M4-XPM18000-0]],TablaControladores[[REFERENCIA]:[REFERENCIA]],TablaControladores[ED])*$AA168:$AJ168)</f>
        <v>7</v>
      </c>
      <c r="W168" s="14" cm="1">
        <f t="array" ref="W168">SUM(_xlfn.XLOOKUP(TablaSeleccionControladores[[#Headers],[M4-CGE04060-0]:[M4-XPM18000-0]],TablaControladores[[REFERENCIA]:[REFERENCIA]],TablaControladores[SA])*$AA168:$AJ168)</f>
        <v>8</v>
      </c>
      <c r="X168" s="14" cm="1">
        <f t="array" ref="X168">SUM(_xlfn.XLOOKUP(TablaSeleccionControladores[[#Headers],[M4-CGE04060-0]:[M4-XPM18000-0]],TablaControladores[[REFERENCIA]:[REFERENCIA]],TablaControladores[SC])*$AA168:$AJ168)</f>
        <v>20</v>
      </c>
      <c r="Y168" s="14" cm="1">
        <f t="array" ref="Y168">SUM(_xlfn.XLOOKUP(TablaSeleccionControladores[[#Headers],[M4-CGE04060-0]:[M4-XPM18000-0]],TablaControladores[[REFERENCIA]:[REFERENCIA]],TablaControladores[SD])*$AA168:$AJ168)</f>
        <v>14</v>
      </c>
      <c r="Z168" s="14">
        <f>SUM(TablaSeleccionControladores[[#This Row],[EA]:[SD]])</f>
        <v>72</v>
      </c>
      <c r="AA168" s="14">
        <v>1</v>
      </c>
      <c r="AH168" s="14">
        <v>2</v>
      </c>
      <c r="AI168" s="14">
        <v>2</v>
      </c>
      <c r="AJ168" s="14">
        <v>0</v>
      </c>
    </row>
    <row r="169" spans="17:36" x14ac:dyDescent="0.25">
      <c r="Q169">
        <f t="shared" si="4"/>
        <v>59</v>
      </c>
      <c r="R169" t="s">
        <v>828</v>
      </c>
      <c r="S169">
        <f>SUM(TablaSeleccionControladores[[#This Row],[M4-CGE04060-0]:[M4-CGM09090-0H]])</f>
        <v>1</v>
      </c>
      <c r="T169" s="14" cm="1">
        <f t="array" ref="T169">SUM(_xlfn.XLOOKUP(TablaSeleccionControladores[[#Headers],[M4-CGE04060-0]:[M4-XPM18000-0]],TablaControladores[[REFERENCIA]:[REFERENCIA]],TablaControladores[EA])*$AA169:$AJ169)</f>
        <v>0</v>
      </c>
      <c r="U169" s="14" cm="1">
        <f t="array" ref="U169">SUM(_xlfn.XLOOKUP(TablaSeleccionControladores[[#Headers],[M4-CGE04060-0]:[M4-XPM18000-0]],TablaControladores[[REFERENCIA]:[REFERENCIA]],TablaControladores[EU])*$AA169:$AJ169)</f>
        <v>23</v>
      </c>
      <c r="V169" s="14" cm="1">
        <f t="array" ref="V169">SUM(_xlfn.XLOOKUP(TablaSeleccionControladores[[#Headers],[M4-CGE04060-0]:[M4-XPM18000-0]],TablaControladores[[REFERENCIA]:[REFERENCIA]],TablaControladores[ED])*$AA169:$AJ169)</f>
        <v>25</v>
      </c>
      <c r="W169" s="14" cm="1">
        <f t="array" ref="W169">SUM(_xlfn.XLOOKUP(TablaSeleccionControladores[[#Headers],[M4-CGE04060-0]:[M4-XPM18000-0]],TablaControladores[[REFERENCIA]:[REFERENCIA]],TablaControladores[SA])*$AA169:$AJ169)</f>
        <v>8</v>
      </c>
      <c r="X169" s="14" cm="1">
        <f t="array" ref="X169">SUM(_xlfn.XLOOKUP(TablaSeleccionControladores[[#Headers],[M4-CGE04060-0]:[M4-XPM18000-0]],TablaControladores[[REFERENCIA]:[REFERENCIA]],TablaControladores[SC])*$AA169:$AJ169)</f>
        <v>20</v>
      </c>
      <c r="Y169" s="14" cm="1">
        <f t="array" ref="Y169">SUM(_xlfn.XLOOKUP(TablaSeleccionControladores[[#Headers],[M4-CGE04060-0]:[M4-XPM18000-0]],TablaControladores[[REFERENCIA]:[REFERENCIA]],TablaControladores[SD])*$AA169:$AJ169)</f>
        <v>14</v>
      </c>
      <c r="Z169" s="14">
        <f>SUM(TablaSeleccionControladores[[#This Row],[EA]:[SD]])</f>
        <v>90</v>
      </c>
      <c r="AA169" s="14">
        <v>1</v>
      </c>
      <c r="AH169" s="14">
        <v>2</v>
      </c>
      <c r="AI169" s="14">
        <v>2</v>
      </c>
      <c r="AJ169" s="14">
        <v>1</v>
      </c>
    </row>
    <row r="170" spans="17:36" x14ac:dyDescent="0.25">
      <c r="Q170">
        <f t="shared" si="4"/>
        <v>60</v>
      </c>
      <c r="R170" t="s">
        <v>828</v>
      </c>
      <c r="S170">
        <f>SUM(TablaSeleccionControladores[[#This Row],[M4-CGE04060-0]:[M4-CGM09090-0H]])</f>
        <v>1</v>
      </c>
      <c r="T170" s="14" cm="1">
        <f t="array" ref="T170">SUM(_xlfn.XLOOKUP(TablaSeleccionControladores[[#Headers],[M4-CGE04060-0]:[M4-XPM18000-0]],TablaControladores[[REFERENCIA]:[REFERENCIA]],TablaControladores[EA])*$AA170:$AJ170)</f>
        <v>0</v>
      </c>
      <c r="U170" s="14" cm="1">
        <f t="array" ref="U170">SUM(_xlfn.XLOOKUP(TablaSeleccionControladores[[#Headers],[M4-CGE04060-0]:[M4-XPM18000-0]],TablaControladores[[REFERENCIA]:[REFERENCIA]],TablaControladores[EU])*$AA170:$AJ170)</f>
        <v>23</v>
      </c>
      <c r="V170" s="14" cm="1">
        <f t="array" ref="V170">SUM(_xlfn.XLOOKUP(TablaSeleccionControladores[[#Headers],[M4-CGE04060-0]:[M4-XPM18000-0]],TablaControladores[[REFERENCIA]:[REFERENCIA]],TablaControladores[ED])*$AA170:$AJ170)</f>
        <v>43</v>
      </c>
      <c r="W170" s="14" cm="1">
        <f t="array" ref="W170">SUM(_xlfn.XLOOKUP(TablaSeleccionControladores[[#Headers],[M4-CGE04060-0]:[M4-XPM18000-0]],TablaControladores[[REFERENCIA]:[REFERENCIA]],TablaControladores[SA])*$AA170:$AJ170)</f>
        <v>8</v>
      </c>
      <c r="X170" s="14" cm="1">
        <f t="array" ref="X170">SUM(_xlfn.XLOOKUP(TablaSeleccionControladores[[#Headers],[M4-CGE04060-0]:[M4-XPM18000-0]],TablaControladores[[REFERENCIA]:[REFERENCIA]],TablaControladores[SC])*$AA170:$AJ170)</f>
        <v>20</v>
      </c>
      <c r="Y170" s="14" cm="1">
        <f t="array" ref="Y170">SUM(_xlfn.XLOOKUP(TablaSeleccionControladores[[#Headers],[M4-CGE04060-0]:[M4-XPM18000-0]],TablaControladores[[REFERENCIA]:[REFERENCIA]],TablaControladores[SD])*$AA170:$AJ170)</f>
        <v>14</v>
      </c>
      <c r="Z170" s="14">
        <f>SUM(TablaSeleccionControladores[[#This Row],[EA]:[SD]])</f>
        <v>108</v>
      </c>
      <c r="AA170" s="14">
        <v>1</v>
      </c>
      <c r="AH170" s="14">
        <v>2</v>
      </c>
      <c r="AI170" s="14">
        <v>2</v>
      </c>
      <c r="AJ170" s="14">
        <v>2</v>
      </c>
    </row>
    <row r="171" spans="17:36" x14ac:dyDescent="0.25">
      <c r="Q171">
        <f t="shared" si="4"/>
        <v>61</v>
      </c>
      <c r="R171" t="s">
        <v>828</v>
      </c>
      <c r="S171">
        <f>SUM(TablaSeleccionControladores[[#This Row],[M4-CGE04060-0]:[M4-CGM09090-0H]])</f>
        <v>1</v>
      </c>
      <c r="T171" s="14" cm="1">
        <f t="array" ref="T171">SUM(_xlfn.XLOOKUP(TablaSeleccionControladores[[#Headers],[M4-CGE04060-0]:[M4-XPM18000-0]],TablaControladores[[REFERENCIA]:[REFERENCIA]],TablaControladores[EA])*$AA171:$AJ171)</f>
        <v>0</v>
      </c>
      <c r="U171" s="14" cm="1">
        <f t="array" ref="U171">SUM(_xlfn.XLOOKUP(TablaSeleccionControladores[[#Headers],[M4-CGE04060-0]:[M4-XPM18000-0]],TablaControladores[[REFERENCIA]:[REFERENCIA]],TablaControladores[EU])*$AA171:$AJ171)</f>
        <v>30</v>
      </c>
      <c r="V171" s="14" cm="1">
        <f t="array" ref="V171">SUM(_xlfn.XLOOKUP(TablaSeleccionControladores[[#Headers],[M4-CGE04060-0]:[M4-XPM18000-0]],TablaControladores[[REFERENCIA]:[REFERENCIA]],TablaControladores[ED])*$AA171:$AJ171)</f>
        <v>9</v>
      </c>
      <c r="W171" s="14" cm="1">
        <f t="array" ref="W171">SUM(_xlfn.XLOOKUP(TablaSeleccionControladores[[#Headers],[M4-CGE04060-0]:[M4-XPM18000-0]],TablaControladores[[REFERENCIA]:[REFERENCIA]],TablaControladores[SA])*$AA171:$AJ171)</f>
        <v>10</v>
      </c>
      <c r="X171" s="14" cm="1">
        <f t="array" ref="X171">SUM(_xlfn.XLOOKUP(TablaSeleccionControladores[[#Headers],[M4-CGE04060-0]:[M4-XPM18000-0]],TablaControladores[[REFERENCIA]:[REFERENCIA]],TablaControladores[SC])*$AA171:$AJ171)</f>
        <v>24</v>
      </c>
      <c r="Y171" s="14" cm="1">
        <f t="array" ref="Y171">SUM(_xlfn.XLOOKUP(TablaSeleccionControladores[[#Headers],[M4-CGE04060-0]:[M4-XPM18000-0]],TablaControladores[[REFERENCIA]:[REFERENCIA]],TablaControladores[SD])*$AA171:$AJ171)</f>
        <v>17</v>
      </c>
      <c r="Z171" s="14">
        <f>SUM(TablaSeleccionControladores[[#This Row],[EA]:[SD]])</f>
        <v>90</v>
      </c>
      <c r="AA171" s="14">
        <v>1</v>
      </c>
      <c r="AH171" s="14">
        <v>2</v>
      </c>
      <c r="AI171" s="14">
        <v>3</v>
      </c>
      <c r="AJ171" s="14">
        <v>0</v>
      </c>
    </row>
    <row r="172" spans="17:36" x14ac:dyDescent="0.25">
      <c r="Q172">
        <f t="shared" si="4"/>
        <v>62</v>
      </c>
      <c r="R172" t="s">
        <v>828</v>
      </c>
      <c r="S172">
        <f>SUM(TablaSeleccionControladores[[#This Row],[M4-CGE04060-0]:[M4-CGM09090-0H]])</f>
        <v>1</v>
      </c>
      <c r="T172" s="14" cm="1">
        <f t="array" ref="T172">SUM(_xlfn.XLOOKUP(TablaSeleccionControladores[[#Headers],[M4-CGE04060-0]:[M4-XPM18000-0]],TablaControladores[[REFERENCIA]:[REFERENCIA]],TablaControladores[EA])*$AA172:$AJ172)</f>
        <v>0</v>
      </c>
      <c r="U172" s="14" cm="1">
        <f t="array" ref="U172">SUM(_xlfn.XLOOKUP(TablaSeleccionControladores[[#Headers],[M4-CGE04060-0]:[M4-XPM18000-0]],TablaControladores[[REFERENCIA]:[REFERENCIA]],TablaControladores[EU])*$AA172:$AJ172)</f>
        <v>30</v>
      </c>
      <c r="V172" s="14" cm="1">
        <f t="array" ref="V172">SUM(_xlfn.XLOOKUP(TablaSeleccionControladores[[#Headers],[M4-CGE04060-0]:[M4-XPM18000-0]],TablaControladores[[REFERENCIA]:[REFERENCIA]],TablaControladores[ED])*$AA172:$AJ172)</f>
        <v>27</v>
      </c>
      <c r="W172" s="14" cm="1">
        <f t="array" ref="W172">SUM(_xlfn.XLOOKUP(TablaSeleccionControladores[[#Headers],[M4-CGE04060-0]:[M4-XPM18000-0]],TablaControladores[[REFERENCIA]:[REFERENCIA]],TablaControladores[SA])*$AA172:$AJ172)</f>
        <v>10</v>
      </c>
      <c r="X172" s="14" cm="1">
        <f t="array" ref="X172">SUM(_xlfn.XLOOKUP(TablaSeleccionControladores[[#Headers],[M4-CGE04060-0]:[M4-XPM18000-0]],TablaControladores[[REFERENCIA]:[REFERENCIA]],TablaControladores[SC])*$AA172:$AJ172)</f>
        <v>24</v>
      </c>
      <c r="Y172" s="14" cm="1">
        <f t="array" ref="Y172">SUM(_xlfn.XLOOKUP(TablaSeleccionControladores[[#Headers],[M4-CGE04060-0]:[M4-XPM18000-0]],TablaControladores[[REFERENCIA]:[REFERENCIA]],TablaControladores[SD])*$AA172:$AJ172)</f>
        <v>17</v>
      </c>
      <c r="Z172" s="14">
        <f>SUM(TablaSeleccionControladores[[#This Row],[EA]:[SD]])</f>
        <v>108</v>
      </c>
      <c r="AA172" s="14">
        <v>1</v>
      </c>
      <c r="AH172" s="14">
        <v>2</v>
      </c>
      <c r="AI172" s="14">
        <v>3</v>
      </c>
      <c r="AJ172" s="14">
        <v>1</v>
      </c>
    </row>
    <row r="173" spans="17:36" x14ac:dyDescent="0.25">
      <c r="Q173">
        <f t="shared" si="4"/>
        <v>63</v>
      </c>
      <c r="R173" t="s">
        <v>828</v>
      </c>
      <c r="S173">
        <f>SUM(TablaSeleccionControladores[[#This Row],[M4-CGE04060-0]:[M4-CGM09090-0H]])</f>
        <v>1</v>
      </c>
      <c r="T173" s="14" cm="1">
        <f t="array" ref="T173">SUM(_xlfn.XLOOKUP(TablaSeleccionControladores[[#Headers],[M4-CGE04060-0]:[M4-XPM18000-0]],TablaControladores[[REFERENCIA]:[REFERENCIA]],TablaControladores[EA])*$AA173:$AJ173)</f>
        <v>0</v>
      </c>
      <c r="U173" s="14" cm="1">
        <f t="array" ref="U173">SUM(_xlfn.XLOOKUP(TablaSeleccionControladores[[#Headers],[M4-CGE04060-0]:[M4-XPM18000-0]],TablaControladores[[REFERENCIA]:[REFERENCIA]],TablaControladores[EU])*$AA173:$AJ173)</f>
        <v>7</v>
      </c>
      <c r="V173" s="14" cm="1">
        <f t="array" ref="V173">SUM(_xlfn.XLOOKUP(TablaSeleccionControladores[[#Headers],[M4-CGE04060-0]:[M4-XPM18000-0]],TablaControladores[[REFERENCIA]:[REFERENCIA]],TablaControladores[ED])*$AA173:$AJ173)</f>
        <v>2</v>
      </c>
      <c r="W173" s="14" cm="1">
        <f t="array" ref="W173">SUM(_xlfn.XLOOKUP(TablaSeleccionControladores[[#Headers],[M4-CGE04060-0]:[M4-XPM18000-0]],TablaControladores[[REFERENCIA]:[REFERENCIA]],TablaControladores[SA])*$AA173:$AJ173)</f>
        <v>2</v>
      </c>
      <c r="X173" s="14" cm="1">
        <f t="array" ref="X173">SUM(_xlfn.XLOOKUP(TablaSeleccionControladores[[#Headers],[M4-CGE04060-0]:[M4-XPM18000-0]],TablaControladores[[REFERENCIA]:[REFERENCIA]],TablaControladores[SC])*$AA173:$AJ173)</f>
        <v>4</v>
      </c>
      <c r="Y173" s="14" cm="1">
        <f t="array" ref="Y173">SUM(_xlfn.XLOOKUP(TablaSeleccionControladores[[#Headers],[M4-CGE04060-0]:[M4-XPM18000-0]],TablaControladores[[REFERENCIA]:[REFERENCIA]],TablaControladores[SD])*$AA173:$AJ173)</f>
        <v>3</v>
      </c>
      <c r="Z173" s="14">
        <f>SUM(TablaSeleccionControladores[[#This Row],[EA]:[SD]])</f>
        <v>18</v>
      </c>
      <c r="AB173" s="14">
        <v>1</v>
      </c>
      <c r="AH173" s="14">
        <v>0</v>
      </c>
      <c r="AI173" s="14">
        <v>0</v>
      </c>
      <c r="AJ173" s="14">
        <v>0</v>
      </c>
    </row>
    <row r="174" spans="17:36" x14ac:dyDescent="0.25">
      <c r="Q174">
        <f t="shared" si="4"/>
        <v>64</v>
      </c>
      <c r="R174" t="s">
        <v>828</v>
      </c>
      <c r="S174">
        <f>SUM(TablaSeleccionControladores[[#This Row],[M4-CGE04060-0]:[M4-CGM09090-0H]])</f>
        <v>1</v>
      </c>
      <c r="T174" s="14" cm="1">
        <f t="array" ref="T174">SUM(_xlfn.XLOOKUP(TablaSeleccionControladores[[#Headers],[M4-CGE04060-0]:[M4-XPM18000-0]],TablaControladores[[REFERENCIA]:[REFERENCIA]],TablaControladores[EA])*$AA174:$AJ174)</f>
        <v>0</v>
      </c>
      <c r="U174" s="14" cm="1">
        <f t="array" ref="U174">SUM(_xlfn.XLOOKUP(TablaSeleccionControladores[[#Headers],[M4-CGE04060-0]:[M4-XPM18000-0]],TablaControladores[[REFERENCIA]:[REFERENCIA]],TablaControladores[EU])*$AA174:$AJ174)</f>
        <v>7</v>
      </c>
      <c r="V174" s="14" cm="1">
        <f t="array" ref="V174">SUM(_xlfn.XLOOKUP(TablaSeleccionControladores[[#Headers],[M4-CGE04060-0]:[M4-XPM18000-0]],TablaControladores[[REFERENCIA]:[REFERENCIA]],TablaControladores[ED])*$AA174:$AJ174)</f>
        <v>20</v>
      </c>
      <c r="W174" s="14" cm="1">
        <f t="array" ref="W174">SUM(_xlfn.XLOOKUP(TablaSeleccionControladores[[#Headers],[M4-CGE04060-0]:[M4-XPM18000-0]],TablaControladores[[REFERENCIA]:[REFERENCIA]],TablaControladores[SA])*$AA174:$AJ174)</f>
        <v>2</v>
      </c>
      <c r="X174" s="14" cm="1">
        <f t="array" ref="X174">SUM(_xlfn.XLOOKUP(TablaSeleccionControladores[[#Headers],[M4-CGE04060-0]:[M4-XPM18000-0]],TablaControladores[[REFERENCIA]:[REFERENCIA]],TablaControladores[SC])*$AA174:$AJ174)</f>
        <v>4</v>
      </c>
      <c r="Y174" s="14" cm="1">
        <f t="array" ref="Y174">SUM(_xlfn.XLOOKUP(TablaSeleccionControladores[[#Headers],[M4-CGE04060-0]:[M4-XPM18000-0]],TablaControladores[[REFERENCIA]:[REFERENCIA]],TablaControladores[SD])*$AA174:$AJ174)</f>
        <v>3</v>
      </c>
      <c r="Z174" s="14">
        <f>SUM(TablaSeleccionControladores[[#This Row],[EA]:[SD]])</f>
        <v>36</v>
      </c>
      <c r="AB174" s="14">
        <v>1</v>
      </c>
      <c r="AH174" s="14">
        <v>0</v>
      </c>
      <c r="AI174" s="14">
        <v>0</v>
      </c>
      <c r="AJ174" s="14">
        <v>1</v>
      </c>
    </row>
    <row r="175" spans="17:36" x14ac:dyDescent="0.25">
      <c r="Q175">
        <f t="shared" ref="Q175:Q238" si="5">ROW()-110</f>
        <v>65</v>
      </c>
      <c r="R175" t="s">
        <v>828</v>
      </c>
      <c r="S175">
        <f>SUM(TablaSeleccionControladores[[#This Row],[M4-CGE04060-0]:[M4-CGM09090-0H]])</f>
        <v>1</v>
      </c>
      <c r="T175" s="14" cm="1">
        <f t="array" ref="T175">SUM(_xlfn.XLOOKUP(TablaSeleccionControladores[[#Headers],[M4-CGE04060-0]:[M4-XPM18000-0]],TablaControladores[[REFERENCIA]:[REFERENCIA]],TablaControladores[EA])*$AA175:$AJ175)</f>
        <v>0</v>
      </c>
      <c r="U175" s="14" cm="1">
        <f t="array" ref="U175">SUM(_xlfn.XLOOKUP(TablaSeleccionControladores[[#Headers],[M4-CGE04060-0]:[M4-XPM18000-0]],TablaControladores[[REFERENCIA]:[REFERENCIA]],TablaControladores[EU])*$AA175:$AJ175)</f>
        <v>7</v>
      </c>
      <c r="V175" s="14" cm="1">
        <f t="array" ref="V175">SUM(_xlfn.XLOOKUP(TablaSeleccionControladores[[#Headers],[M4-CGE04060-0]:[M4-XPM18000-0]],TablaControladores[[REFERENCIA]:[REFERENCIA]],TablaControladores[ED])*$AA175:$AJ175)</f>
        <v>38</v>
      </c>
      <c r="W175" s="14" cm="1">
        <f t="array" ref="W175">SUM(_xlfn.XLOOKUP(TablaSeleccionControladores[[#Headers],[M4-CGE04060-0]:[M4-XPM18000-0]],TablaControladores[[REFERENCIA]:[REFERENCIA]],TablaControladores[SA])*$AA175:$AJ175)</f>
        <v>2</v>
      </c>
      <c r="X175" s="14" cm="1">
        <f t="array" ref="X175">SUM(_xlfn.XLOOKUP(TablaSeleccionControladores[[#Headers],[M4-CGE04060-0]:[M4-XPM18000-0]],TablaControladores[[REFERENCIA]:[REFERENCIA]],TablaControladores[SC])*$AA175:$AJ175)</f>
        <v>4</v>
      </c>
      <c r="Y175" s="14" cm="1">
        <f t="array" ref="Y175">SUM(_xlfn.XLOOKUP(TablaSeleccionControladores[[#Headers],[M4-CGE04060-0]:[M4-XPM18000-0]],TablaControladores[[REFERENCIA]:[REFERENCIA]],TablaControladores[SD])*$AA175:$AJ175)</f>
        <v>3</v>
      </c>
      <c r="Z175" s="14">
        <f>SUM(TablaSeleccionControladores[[#This Row],[EA]:[SD]])</f>
        <v>54</v>
      </c>
      <c r="AB175" s="14">
        <v>1</v>
      </c>
      <c r="AH175" s="14">
        <v>0</v>
      </c>
      <c r="AI175" s="14">
        <v>0</v>
      </c>
      <c r="AJ175" s="14">
        <v>2</v>
      </c>
    </row>
    <row r="176" spans="17:36" x14ac:dyDescent="0.25">
      <c r="Q176">
        <f t="shared" si="5"/>
        <v>66</v>
      </c>
      <c r="R176" t="s">
        <v>828</v>
      </c>
      <c r="S176">
        <f>SUM(TablaSeleccionControladores[[#This Row],[M4-CGE04060-0]:[M4-CGM09090-0H]])</f>
        <v>1</v>
      </c>
      <c r="T176" s="14" cm="1">
        <f t="array" ref="T176">SUM(_xlfn.XLOOKUP(TablaSeleccionControladores[[#Headers],[M4-CGE04060-0]:[M4-XPM18000-0]],TablaControladores[[REFERENCIA]:[REFERENCIA]],TablaControladores[EA])*$AA176:$AJ176)</f>
        <v>0</v>
      </c>
      <c r="U176" s="14" cm="1">
        <f t="array" ref="U176">SUM(_xlfn.XLOOKUP(TablaSeleccionControladores[[#Headers],[M4-CGE04060-0]:[M4-XPM18000-0]],TablaControladores[[REFERENCIA]:[REFERENCIA]],TablaControladores[EU])*$AA176:$AJ176)</f>
        <v>7</v>
      </c>
      <c r="V176" s="14" cm="1">
        <f t="array" ref="V176">SUM(_xlfn.XLOOKUP(TablaSeleccionControladores[[#Headers],[M4-CGE04060-0]:[M4-XPM18000-0]],TablaControladores[[REFERENCIA]:[REFERENCIA]],TablaControladores[ED])*$AA176:$AJ176)</f>
        <v>56</v>
      </c>
      <c r="W176" s="14" cm="1">
        <f t="array" ref="W176">SUM(_xlfn.XLOOKUP(TablaSeleccionControladores[[#Headers],[M4-CGE04060-0]:[M4-XPM18000-0]],TablaControladores[[REFERENCIA]:[REFERENCIA]],TablaControladores[SA])*$AA176:$AJ176)</f>
        <v>2</v>
      </c>
      <c r="X176" s="14" cm="1">
        <f t="array" ref="X176">SUM(_xlfn.XLOOKUP(TablaSeleccionControladores[[#Headers],[M4-CGE04060-0]:[M4-XPM18000-0]],TablaControladores[[REFERENCIA]:[REFERENCIA]],TablaControladores[SC])*$AA176:$AJ176)</f>
        <v>4</v>
      </c>
      <c r="Y176" s="14" cm="1">
        <f t="array" ref="Y176">SUM(_xlfn.XLOOKUP(TablaSeleccionControladores[[#Headers],[M4-CGE04060-0]:[M4-XPM18000-0]],TablaControladores[[REFERENCIA]:[REFERENCIA]],TablaControladores[SD])*$AA176:$AJ176)</f>
        <v>3</v>
      </c>
      <c r="Z176" s="14">
        <f>SUM(TablaSeleccionControladores[[#This Row],[EA]:[SD]])</f>
        <v>72</v>
      </c>
      <c r="AB176" s="14">
        <v>1</v>
      </c>
      <c r="AH176" s="14">
        <v>0</v>
      </c>
      <c r="AI176" s="14">
        <v>0</v>
      </c>
      <c r="AJ176" s="14">
        <v>3</v>
      </c>
    </row>
    <row r="177" spans="17:36" x14ac:dyDescent="0.25">
      <c r="Q177">
        <f t="shared" si="5"/>
        <v>67</v>
      </c>
      <c r="R177" t="s">
        <v>828</v>
      </c>
      <c r="S177">
        <f>SUM(TablaSeleccionControladores[[#This Row],[M4-CGE04060-0]:[M4-CGM09090-0H]])</f>
        <v>1</v>
      </c>
      <c r="T177" s="14" cm="1">
        <f t="array" ref="T177">SUM(_xlfn.XLOOKUP(TablaSeleccionControladores[[#Headers],[M4-CGE04060-0]:[M4-XPM18000-0]],TablaControladores[[REFERENCIA]:[REFERENCIA]],TablaControladores[EA])*$AA177:$AJ177)</f>
        <v>0</v>
      </c>
      <c r="U177" s="14" cm="1">
        <f t="array" ref="U177">SUM(_xlfn.XLOOKUP(TablaSeleccionControladores[[#Headers],[M4-CGE04060-0]:[M4-XPM18000-0]],TablaControladores[[REFERENCIA]:[REFERENCIA]],TablaControladores[EU])*$AA177:$AJ177)</f>
        <v>7</v>
      </c>
      <c r="V177" s="14" cm="1">
        <f t="array" ref="V177">SUM(_xlfn.XLOOKUP(TablaSeleccionControladores[[#Headers],[M4-CGE04060-0]:[M4-XPM18000-0]],TablaControladores[[REFERENCIA]:[REFERENCIA]],TablaControladores[ED])*$AA177:$AJ177)</f>
        <v>74</v>
      </c>
      <c r="W177" s="14" cm="1">
        <f t="array" ref="W177">SUM(_xlfn.XLOOKUP(TablaSeleccionControladores[[#Headers],[M4-CGE04060-0]:[M4-XPM18000-0]],TablaControladores[[REFERENCIA]:[REFERENCIA]],TablaControladores[SA])*$AA177:$AJ177)</f>
        <v>2</v>
      </c>
      <c r="X177" s="14" cm="1">
        <f t="array" ref="X177">SUM(_xlfn.XLOOKUP(TablaSeleccionControladores[[#Headers],[M4-CGE04060-0]:[M4-XPM18000-0]],TablaControladores[[REFERENCIA]:[REFERENCIA]],TablaControladores[SC])*$AA177:$AJ177)</f>
        <v>4</v>
      </c>
      <c r="Y177" s="14" cm="1">
        <f t="array" ref="Y177">SUM(_xlfn.XLOOKUP(TablaSeleccionControladores[[#Headers],[M4-CGE04060-0]:[M4-XPM18000-0]],TablaControladores[[REFERENCIA]:[REFERENCIA]],TablaControladores[SD])*$AA177:$AJ177)</f>
        <v>3</v>
      </c>
      <c r="Z177" s="14">
        <f>SUM(TablaSeleccionControladores[[#This Row],[EA]:[SD]])</f>
        <v>90</v>
      </c>
      <c r="AB177" s="14">
        <v>1</v>
      </c>
      <c r="AH177" s="14">
        <v>0</v>
      </c>
      <c r="AI177" s="14">
        <v>0</v>
      </c>
      <c r="AJ177" s="14">
        <v>4</v>
      </c>
    </row>
    <row r="178" spans="17:36" x14ac:dyDescent="0.25">
      <c r="Q178">
        <f t="shared" si="5"/>
        <v>68</v>
      </c>
      <c r="R178" t="s">
        <v>828</v>
      </c>
      <c r="S178">
        <f>SUM(TablaSeleccionControladores[[#This Row],[M4-CGE04060-0]:[M4-CGM09090-0H]])</f>
        <v>1</v>
      </c>
      <c r="T178" s="14" cm="1">
        <f t="array" ref="T178">SUM(_xlfn.XLOOKUP(TablaSeleccionControladores[[#Headers],[M4-CGE04060-0]:[M4-XPM18000-0]],TablaControladores[[REFERENCIA]:[REFERENCIA]],TablaControladores[EA])*$AA178:$AJ178)</f>
        <v>0</v>
      </c>
      <c r="U178" s="14" cm="1">
        <f t="array" ref="U178">SUM(_xlfn.XLOOKUP(TablaSeleccionControladores[[#Headers],[M4-CGE04060-0]:[M4-XPM18000-0]],TablaControladores[[REFERENCIA]:[REFERENCIA]],TablaControladores[EU])*$AA178:$AJ178)</f>
        <v>7</v>
      </c>
      <c r="V178" s="14" cm="1">
        <f t="array" ref="V178">SUM(_xlfn.XLOOKUP(TablaSeleccionControladores[[#Headers],[M4-CGE04060-0]:[M4-XPM18000-0]],TablaControladores[[REFERENCIA]:[REFERENCIA]],TablaControladores[ED])*$AA178:$AJ178)</f>
        <v>92</v>
      </c>
      <c r="W178" s="14" cm="1">
        <f t="array" ref="W178">SUM(_xlfn.XLOOKUP(TablaSeleccionControladores[[#Headers],[M4-CGE04060-0]:[M4-XPM18000-0]],TablaControladores[[REFERENCIA]:[REFERENCIA]],TablaControladores[SA])*$AA178:$AJ178)</f>
        <v>2</v>
      </c>
      <c r="X178" s="14" cm="1">
        <f t="array" ref="X178">SUM(_xlfn.XLOOKUP(TablaSeleccionControladores[[#Headers],[M4-CGE04060-0]:[M4-XPM18000-0]],TablaControladores[[REFERENCIA]:[REFERENCIA]],TablaControladores[SC])*$AA178:$AJ178)</f>
        <v>4</v>
      </c>
      <c r="Y178" s="14" cm="1">
        <f t="array" ref="Y178">SUM(_xlfn.XLOOKUP(TablaSeleccionControladores[[#Headers],[M4-CGE04060-0]:[M4-XPM18000-0]],TablaControladores[[REFERENCIA]:[REFERENCIA]],TablaControladores[SD])*$AA178:$AJ178)</f>
        <v>3</v>
      </c>
      <c r="Z178" s="14">
        <f>SUM(TablaSeleccionControladores[[#This Row],[EA]:[SD]])</f>
        <v>108</v>
      </c>
      <c r="AB178" s="14">
        <v>1</v>
      </c>
      <c r="AH178" s="14">
        <v>0</v>
      </c>
      <c r="AI178" s="14">
        <v>0</v>
      </c>
      <c r="AJ178" s="14">
        <v>5</v>
      </c>
    </row>
    <row r="179" spans="17:36" x14ac:dyDescent="0.25">
      <c r="Q179">
        <f t="shared" si="5"/>
        <v>69</v>
      </c>
      <c r="R179" t="s">
        <v>828</v>
      </c>
      <c r="S179">
        <f>SUM(TablaSeleccionControladores[[#This Row],[M4-CGE04060-0]:[M4-CGM09090-0H]])</f>
        <v>1</v>
      </c>
      <c r="T179" s="14" cm="1">
        <f t="array" ref="T179">SUM(_xlfn.XLOOKUP(TablaSeleccionControladores[[#Headers],[M4-CGE04060-0]:[M4-XPM18000-0]],TablaControladores[[REFERENCIA]:[REFERENCIA]],TablaControladores[EA])*$AA179:$AJ179)</f>
        <v>0</v>
      </c>
      <c r="U179" s="14" cm="1">
        <f t="array" ref="U179">SUM(_xlfn.XLOOKUP(TablaSeleccionControladores[[#Headers],[M4-CGE04060-0]:[M4-XPM18000-0]],TablaControladores[[REFERENCIA]:[REFERENCIA]],TablaControladores[EU])*$AA179:$AJ179)</f>
        <v>7</v>
      </c>
      <c r="V179" s="14" cm="1">
        <f t="array" ref="V179">SUM(_xlfn.XLOOKUP(TablaSeleccionControladores[[#Headers],[M4-CGE04060-0]:[M4-XPM18000-0]],TablaControladores[[REFERENCIA]:[REFERENCIA]],TablaControladores[ED])*$AA179:$AJ179)</f>
        <v>110</v>
      </c>
      <c r="W179" s="14" cm="1">
        <f t="array" ref="W179">SUM(_xlfn.XLOOKUP(TablaSeleccionControladores[[#Headers],[M4-CGE04060-0]:[M4-XPM18000-0]],TablaControladores[[REFERENCIA]:[REFERENCIA]],TablaControladores[SA])*$AA179:$AJ179)</f>
        <v>2</v>
      </c>
      <c r="X179" s="14" cm="1">
        <f t="array" ref="X179">SUM(_xlfn.XLOOKUP(TablaSeleccionControladores[[#Headers],[M4-CGE04060-0]:[M4-XPM18000-0]],TablaControladores[[REFERENCIA]:[REFERENCIA]],TablaControladores[SC])*$AA179:$AJ179)</f>
        <v>4</v>
      </c>
      <c r="Y179" s="14" cm="1">
        <f t="array" ref="Y179">SUM(_xlfn.XLOOKUP(TablaSeleccionControladores[[#Headers],[M4-CGE04060-0]:[M4-XPM18000-0]],TablaControladores[[REFERENCIA]:[REFERENCIA]],TablaControladores[SD])*$AA179:$AJ179)</f>
        <v>3</v>
      </c>
      <c r="Z179" s="14">
        <f>SUM(TablaSeleccionControladores[[#This Row],[EA]:[SD]])</f>
        <v>126</v>
      </c>
      <c r="AB179" s="14">
        <v>1</v>
      </c>
      <c r="AH179" s="14">
        <v>0</v>
      </c>
      <c r="AI179" s="14">
        <v>0</v>
      </c>
      <c r="AJ179" s="14">
        <v>6</v>
      </c>
    </row>
    <row r="180" spans="17:36" x14ac:dyDescent="0.25">
      <c r="Q180">
        <f t="shared" si="5"/>
        <v>70</v>
      </c>
      <c r="R180" t="s">
        <v>828</v>
      </c>
      <c r="S180">
        <f>SUM(TablaSeleccionControladores[[#This Row],[M4-CGE04060-0]:[M4-CGM09090-0H]])</f>
        <v>1</v>
      </c>
      <c r="T180" s="14" cm="1">
        <f t="array" ref="T180">SUM(_xlfn.XLOOKUP(TablaSeleccionControladores[[#Headers],[M4-CGE04060-0]:[M4-XPM18000-0]],TablaControladores[[REFERENCIA]:[REFERENCIA]],TablaControladores[EA])*$AA180:$AJ180)</f>
        <v>0</v>
      </c>
      <c r="U180" s="14" cm="1">
        <f t="array" ref="U180">SUM(_xlfn.XLOOKUP(TablaSeleccionControladores[[#Headers],[M4-CGE04060-0]:[M4-XPM18000-0]],TablaControladores[[REFERENCIA]:[REFERENCIA]],TablaControladores[EU])*$AA180:$AJ180)</f>
        <v>14</v>
      </c>
      <c r="V180" s="14" cm="1">
        <f t="array" ref="V180">SUM(_xlfn.XLOOKUP(TablaSeleccionControladores[[#Headers],[M4-CGE04060-0]:[M4-XPM18000-0]],TablaControladores[[REFERENCIA]:[REFERENCIA]],TablaControladores[ED])*$AA180:$AJ180)</f>
        <v>4</v>
      </c>
      <c r="W180" s="14" cm="1">
        <f t="array" ref="W180">SUM(_xlfn.XLOOKUP(TablaSeleccionControladores[[#Headers],[M4-CGE04060-0]:[M4-XPM18000-0]],TablaControladores[[REFERENCIA]:[REFERENCIA]],TablaControladores[SA])*$AA180:$AJ180)</f>
        <v>4</v>
      </c>
      <c r="X180" s="14" cm="1">
        <f t="array" ref="X180">SUM(_xlfn.XLOOKUP(TablaSeleccionControladores[[#Headers],[M4-CGE04060-0]:[M4-XPM18000-0]],TablaControladores[[REFERENCIA]:[REFERENCIA]],TablaControladores[SC])*$AA180:$AJ180)</f>
        <v>8</v>
      </c>
      <c r="Y180" s="14" cm="1">
        <f t="array" ref="Y180">SUM(_xlfn.XLOOKUP(TablaSeleccionControladores[[#Headers],[M4-CGE04060-0]:[M4-XPM18000-0]],TablaControladores[[REFERENCIA]:[REFERENCIA]],TablaControladores[SD])*$AA180:$AJ180)</f>
        <v>6</v>
      </c>
      <c r="Z180" s="14">
        <f>SUM(TablaSeleccionControladores[[#This Row],[EA]:[SD]])</f>
        <v>36</v>
      </c>
      <c r="AB180" s="14">
        <v>1</v>
      </c>
      <c r="AH180" s="14">
        <v>0</v>
      </c>
      <c r="AI180" s="14">
        <v>1</v>
      </c>
      <c r="AJ180" s="14">
        <v>0</v>
      </c>
    </row>
    <row r="181" spans="17:36" x14ac:dyDescent="0.25">
      <c r="Q181">
        <f t="shared" si="5"/>
        <v>71</v>
      </c>
      <c r="R181" t="s">
        <v>828</v>
      </c>
      <c r="S181">
        <f>SUM(TablaSeleccionControladores[[#This Row],[M4-CGE04060-0]:[M4-CGM09090-0H]])</f>
        <v>1</v>
      </c>
      <c r="T181" s="14" cm="1">
        <f t="array" ref="T181">SUM(_xlfn.XLOOKUP(TablaSeleccionControladores[[#Headers],[M4-CGE04060-0]:[M4-XPM18000-0]],TablaControladores[[REFERENCIA]:[REFERENCIA]],TablaControladores[EA])*$AA181:$AJ181)</f>
        <v>0</v>
      </c>
      <c r="U181" s="14" cm="1">
        <f t="array" ref="U181">SUM(_xlfn.XLOOKUP(TablaSeleccionControladores[[#Headers],[M4-CGE04060-0]:[M4-XPM18000-0]],TablaControladores[[REFERENCIA]:[REFERENCIA]],TablaControladores[EU])*$AA181:$AJ181)</f>
        <v>14</v>
      </c>
      <c r="V181" s="14" cm="1">
        <f t="array" ref="V181">SUM(_xlfn.XLOOKUP(TablaSeleccionControladores[[#Headers],[M4-CGE04060-0]:[M4-XPM18000-0]],TablaControladores[[REFERENCIA]:[REFERENCIA]],TablaControladores[ED])*$AA181:$AJ181)</f>
        <v>22</v>
      </c>
      <c r="W181" s="14" cm="1">
        <f t="array" ref="W181">SUM(_xlfn.XLOOKUP(TablaSeleccionControladores[[#Headers],[M4-CGE04060-0]:[M4-XPM18000-0]],TablaControladores[[REFERENCIA]:[REFERENCIA]],TablaControladores[SA])*$AA181:$AJ181)</f>
        <v>4</v>
      </c>
      <c r="X181" s="14" cm="1">
        <f t="array" ref="X181">SUM(_xlfn.XLOOKUP(TablaSeleccionControladores[[#Headers],[M4-CGE04060-0]:[M4-XPM18000-0]],TablaControladores[[REFERENCIA]:[REFERENCIA]],TablaControladores[SC])*$AA181:$AJ181)</f>
        <v>8</v>
      </c>
      <c r="Y181" s="14" cm="1">
        <f t="array" ref="Y181">SUM(_xlfn.XLOOKUP(TablaSeleccionControladores[[#Headers],[M4-CGE04060-0]:[M4-XPM18000-0]],TablaControladores[[REFERENCIA]:[REFERENCIA]],TablaControladores[SD])*$AA181:$AJ181)</f>
        <v>6</v>
      </c>
      <c r="Z181" s="14">
        <f>SUM(TablaSeleccionControladores[[#This Row],[EA]:[SD]])</f>
        <v>54</v>
      </c>
      <c r="AB181" s="14">
        <v>1</v>
      </c>
      <c r="AH181" s="14">
        <v>0</v>
      </c>
      <c r="AI181" s="14">
        <v>1</v>
      </c>
      <c r="AJ181" s="14">
        <v>1</v>
      </c>
    </row>
    <row r="182" spans="17:36" x14ac:dyDescent="0.25">
      <c r="Q182">
        <f t="shared" si="5"/>
        <v>72</v>
      </c>
      <c r="R182" t="s">
        <v>828</v>
      </c>
      <c r="S182">
        <f>SUM(TablaSeleccionControladores[[#This Row],[M4-CGE04060-0]:[M4-CGM09090-0H]])</f>
        <v>1</v>
      </c>
      <c r="T182" s="14" cm="1">
        <f t="array" ref="T182">SUM(_xlfn.XLOOKUP(TablaSeleccionControladores[[#Headers],[M4-CGE04060-0]:[M4-XPM18000-0]],TablaControladores[[REFERENCIA]:[REFERENCIA]],TablaControladores[EA])*$AA182:$AJ182)</f>
        <v>0</v>
      </c>
      <c r="U182" s="14" cm="1">
        <f t="array" ref="U182">SUM(_xlfn.XLOOKUP(TablaSeleccionControladores[[#Headers],[M4-CGE04060-0]:[M4-XPM18000-0]],TablaControladores[[REFERENCIA]:[REFERENCIA]],TablaControladores[EU])*$AA182:$AJ182)</f>
        <v>14</v>
      </c>
      <c r="V182" s="14" cm="1">
        <f t="array" ref="V182">SUM(_xlfn.XLOOKUP(TablaSeleccionControladores[[#Headers],[M4-CGE04060-0]:[M4-XPM18000-0]],TablaControladores[[REFERENCIA]:[REFERENCIA]],TablaControladores[ED])*$AA182:$AJ182)</f>
        <v>40</v>
      </c>
      <c r="W182" s="14" cm="1">
        <f t="array" ref="W182">SUM(_xlfn.XLOOKUP(TablaSeleccionControladores[[#Headers],[M4-CGE04060-0]:[M4-XPM18000-0]],TablaControladores[[REFERENCIA]:[REFERENCIA]],TablaControladores[SA])*$AA182:$AJ182)</f>
        <v>4</v>
      </c>
      <c r="X182" s="14" cm="1">
        <f t="array" ref="X182">SUM(_xlfn.XLOOKUP(TablaSeleccionControladores[[#Headers],[M4-CGE04060-0]:[M4-XPM18000-0]],TablaControladores[[REFERENCIA]:[REFERENCIA]],TablaControladores[SC])*$AA182:$AJ182)</f>
        <v>8</v>
      </c>
      <c r="Y182" s="14" cm="1">
        <f t="array" ref="Y182">SUM(_xlfn.XLOOKUP(TablaSeleccionControladores[[#Headers],[M4-CGE04060-0]:[M4-XPM18000-0]],TablaControladores[[REFERENCIA]:[REFERENCIA]],TablaControladores[SD])*$AA182:$AJ182)</f>
        <v>6</v>
      </c>
      <c r="Z182" s="14">
        <f>SUM(TablaSeleccionControladores[[#This Row],[EA]:[SD]])</f>
        <v>72</v>
      </c>
      <c r="AB182" s="14">
        <v>1</v>
      </c>
      <c r="AH182" s="14">
        <v>0</v>
      </c>
      <c r="AI182" s="14">
        <v>1</v>
      </c>
      <c r="AJ182" s="14">
        <v>2</v>
      </c>
    </row>
    <row r="183" spans="17:36" x14ac:dyDescent="0.25">
      <c r="Q183">
        <f t="shared" si="5"/>
        <v>73</v>
      </c>
      <c r="R183" t="s">
        <v>828</v>
      </c>
      <c r="S183">
        <f>SUM(TablaSeleccionControladores[[#This Row],[M4-CGE04060-0]:[M4-CGM09090-0H]])</f>
        <v>1</v>
      </c>
      <c r="T183" s="14" cm="1">
        <f t="array" ref="T183">SUM(_xlfn.XLOOKUP(TablaSeleccionControladores[[#Headers],[M4-CGE04060-0]:[M4-XPM18000-0]],TablaControladores[[REFERENCIA]:[REFERENCIA]],TablaControladores[EA])*$AA183:$AJ183)</f>
        <v>0</v>
      </c>
      <c r="U183" s="14" cm="1">
        <f t="array" ref="U183">SUM(_xlfn.XLOOKUP(TablaSeleccionControladores[[#Headers],[M4-CGE04060-0]:[M4-XPM18000-0]],TablaControladores[[REFERENCIA]:[REFERENCIA]],TablaControladores[EU])*$AA183:$AJ183)</f>
        <v>14</v>
      </c>
      <c r="V183" s="14" cm="1">
        <f t="array" ref="V183">SUM(_xlfn.XLOOKUP(TablaSeleccionControladores[[#Headers],[M4-CGE04060-0]:[M4-XPM18000-0]],TablaControladores[[REFERENCIA]:[REFERENCIA]],TablaControladores[ED])*$AA183:$AJ183)</f>
        <v>58</v>
      </c>
      <c r="W183" s="14" cm="1">
        <f t="array" ref="W183">SUM(_xlfn.XLOOKUP(TablaSeleccionControladores[[#Headers],[M4-CGE04060-0]:[M4-XPM18000-0]],TablaControladores[[REFERENCIA]:[REFERENCIA]],TablaControladores[SA])*$AA183:$AJ183)</f>
        <v>4</v>
      </c>
      <c r="X183" s="14" cm="1">
        <f t="array" ref="X183">SUM(_xlfn.XLOOKUP(TablaSeleccionControladores[[#Headers],[M4-CGE04060-0]:[M4-XPM18000-0]],TablaControladores[[REFERENCIA]:[REFERENCIA]],TablaControladores[SC])*$AA183:$AJ183)</f>
        <v>8</v>
      </c>
      <c r="Y183" s="14" cm="1">
        <f t="array" ref="Y183">SUM(_xlfn.XLOOKUP(TablaSeleccionControladores[[#Headers],[M4-CGE04060-0]:[M4-XPM18000-0]],TablaControladores[[REFERENCIA]:[REFERENCIA]],TablaControladores[SD])*$AA183:$AJ183)</f>
        <v>6</v>
      </c>
      <c r="Z183" s="14">
        <f>SUM(TablaSeleccionControladores[[#This Row],[EA]:[SD]])</f>
        <v>90</v>
      </c>
      <c r="AB183" s="14">
        <v>1</v>
      </c>
      <c r="AH183" s="14">
        <v>0</v>
      </c>
      <c r="AI183" s="14">
        <v>1</v>
      </c>
      <c r="AJ183" s="14">
        <v>3</v>
      </c>
    </row>
    <row r="184" spans="17:36" x14ac:dyDescent="0.25">
      <c r="Q184">
        <f t="shared" si="5"/>
        <v>74</v>
      </c>
      <c r="R184" t="s">
        <v>828</v>
      </c>
      <c r="S184">
        <f>SUM(TablaSeleccionControladores[[#This Row],[M4-CGE04060-0]:[M4-CGM09090-0H]])</f>
        <v>1</v>
      </c>
      <c r="T184" s="14" cm="1">
        <f t="array" ref="T184">SUM(_xlfn.XLOOKUP(TablaSeleccionControladores[[#Headers],[M4-CGE04060-0]:[M4-XPM18000-0]],TablaControladores[[REFERENCIA]:[REFERENCIA]],TablaControladores[EA])*$AA184:$AJ184)</f>
        <v>0</v>
      </c>
      <c r="U184" s="14" cm="1">
        <f t="array" ref="U184">SUM(_xlfn.XLOOKUP(TablaSeleccionControladores[[#Headers],[M4-CGE04060-0]:[M4-XPM18000-0]],TablaControladores[[REFERENCIA]:[REFERENCIA]],TablaControladores[EU])*$AA184:$AJ184)</f>
        <v>14</v>
      </c>
      <c r="V184" s="14" cm="1">
        <f t="array" ref="V184">SUM(_xlfn.XLOOKUP(TablaSeleccionControladores[[#Headers],[M4-CGE04060-0]:[M4-XPM18000-0]],TablaControladores[[REFERENCIA]:[REFERENCIA]],TablaControladores[ED])*$AA184:$AJ184)</f>
        <v>76</v>
      </c>
      <c r="W184" s="14" cm="1">
        <f t="array" ref="W184">SUM(_xlfn.XLOOKUP(TablaSeleccionControladores[[#Headers],[M4-CGE04060-0]:[M4-XPM18000-0]],TablaControladores[[REFERENCIA]:[REFERENCIA]],TablaControladores[SA])*$AA184:$AJ184)</f>
        <v>4</v>
      </c>
      <c r="X184" s="14" cm="1">
        <f t="array" ref="X184">SUM(_xlfn.XLOOKUP(TablaSeleccionControladores[[#Headers],[M4-CGE04060-0]:[M4-XPM18000-0]],TablaControladores[[REFERENCIA]:[REFERENCIA]],TablaControladores[SC])*$AA184:$AJ184)</f>
        <v>8</v>
      </c>
      <c r="Y184" s="14" cm="1">
        <f t="array" ref="Y184">SUM(_xlfn.XLOOKUP(TablaSeleccionControladores[[#Headers],[M4-CGE04060-0]:[M4-XPM18000-0]],TablaControladores[[REFERENCIA]:[REFERENCIA]],TablaControladores[SD])*$AA184:$AJ184)</f>
        <v>6</v>
      </c>
      <c r="Z184" s="14">
        <f>SUM(TablaSeleccionControladores[[#This Row],[EA]:[SD]])</f>
        <v>108</v>
      </c>
      <c r="AB184" s="14">
        <v>1</v>
      </c>
      <c r="AH184" s="14">
        <v>0</v>
      </c>
      <c r="AI184" s="14">
        <v>1</v>
      </c>
      <c r="AJ184" s="14">
        <v>4</v>
      </c>
    </row>
    <row r="185" spans="17:36" x14ac:dyDescent="0.25">
      <c r="Q185">
        <f t="shared" si="5"/>
        <v>75</v>
      </c>
      <c r="R185" t="s">
        <v>828</v>
      </c>
      <c r="S185">
        <f>SUM(TablaSeleccionControladores[[#This Row],[M4-CGE04060-0]:[M4-CGM09090-0H]])</f>
        <v>1</v>
      </c>
      <c r="T185" s="14" cm="1">
        <f t="array" ref="T185">SUM(_xlfn.XLOOKUP(TablaSeleccionControladores[[#Headers],[M4-CGE04060-0]:[M4-XPM18000-0]],TablaControladores[[REFERENCIA]:[REFERENCIA]],TablaControladores[EA])*$AA185:$AJ185)</f>
        <v>0</v>
      </c>
      <c r="U185" s="14" cm="1">
        <f t="array" ref="U185">SUM(_xlfn.XLOOKUP(TablaSeleccionControladores[[#Headers],[M4-CGE04060-0]:[M4-XPM18000-0]],TablaControladores[[REFERENCIA]:[REFERENCIA]],TablaControladores[EU])*$AA185:$AJ185)</f>
        <v>14</v>
      </c>
      <c r="V185" s="14" cm="1">
        <f t="array" ref="V185">SUM(_xlfn.XLOOKUP(TablaSeleccionControladores[[#Headers],[M4-CGE04060-0]:[M4-XPM18000-0]],TablaControladores[[REFERENCIA]:[REFERENCIA]],TablaControladores[ED])*$AA185:$AJ185)</f>
        <v>94</v>
      </c>
      <c r="W185" s="14" cm="1">
        <f t="array" ref="W185">SUM(_xlfn.XLOOKUP(TablaSeleccionControladores[[#Headers],[M4-CGE04060-0]:[M4-XPM18000-0]],TablaControladores[[REFERENCIA]:[REFERENCIA]],TablaControladores[SA])*$AA185:$AJ185)</f>
        <v>4</v>
      </c>
      <c r="X185" s="14" cm="1">
        <f t="array" ref="X185">SUM(_xlfn.XLOOKUP(TablaSeleccionControladores[[#Headers],[M4-CGE04060-0]:[M4-XPM18000-0]],TablaControladores[[REFERENCIA]:[REFERENCIA]],TablaControladores[SC])*$AA185:$AJ185)</f>
        <v>8</v>
      </c>
      <c r="Y185" s="14" cm="1">
        <f t="array" ref="Y185">SUM(_xlfn.XLOOKUP(TablaSeleccionControladores[[#Headers],[M4-CGE04060-0]:[M4-XPM18000-0]],TablaControladores[[REFERENCIA]:[REFERENCIA]],TablaControladores[SD])*$AA185:$AJ185)</f>
        <v>6</v>
      </c>
      <c r="Z185" s="14">
        <f>SUM(TablaSeleccionControladores[[#This Row],[EA]:[SD]])</f>
        <v>126</v>
      </c>
      <c r="AB185" s="14">
        <v>1</v>
      </c>
      <c r="AH185" s="14">
        <v>0</v>
      </c>
      <c r="AI185" s="14">
        <v>1</v>
      </c>
      <c r="AJ185" s="14">
        <v>5</v>
      </c>
    </row>
    <row r="186" spans="17:36" x14ac:dyDescent="0.25">
      <c r="Q186">
        <f t="shared" si="5"/>
        <v>76</v>
      </c>
      <c r="R186" t="s">
        <v>828</v>
      </c>
      <c r="S186">
        <f>SUM(TablaSeleccionControladores[[#This Row],[M4-CGE04060-0]:[M4-CGM09090-0H]])</f>
        <v>1</v>
      </c>
      <c r="T186" s="14" cm="1">
        <f t="array" ref="T186">SUM(_xlfn.XLOOKUP(TablaSeleccionControladores[[#Headers],[M4-CGE04060-0]:[M4-XPM18000-0]],TablaControladores[[REFERENCIA]:[REFERENCIA]],TablaControladores[EA])*$AA186:$AJ186)</f>
        <v>0</v>
      </c>
      <c r="U186" s="14" cm="1">
        <f t="array" ref="U186">SUM(_xlfn.XLOOKUP(TablaSeleccionControladores[[#Headers],[M4-CGE04060-0]:[M4-XPM18000-0]],TablaControladores[[REFERENCIA]:[REFERENCIA]],TablaControladores[EU])*$AA186:$AJ186)</f>
        <v>21</v>
      </c>
      <c r="V186" s="14" cm="1">
        <f t="array" ref="V186">SUM(_xlfn.XLOOKUP(TablaSeleccionControladores[[#Headers],[M4-CGE04060-0]:[M4-XPM18000-0]],TablaControladores[[REFERENCIA]:[REFERENCIA]],TablaControladores[ED])*$AA186:$AJ186)</f>
        <v>6</v>
      </c>
      <c r="W186" s="14" cm="1">
        <f t="array" ref="W186">SUM(_xlfn.XLOOKUP(TablaSeleccionControladores[[#Headers],[M4-CGE04060-0]:[M4-XPM18000-0]],TablaControladores[[REFERENCIA]:[REFERENCIA]],TablaControladores[SA])*$AA186:$AJ186)</f>
        <v>6</v>
      </c>
      <c r="X186" s="14" cm="1">
        <f t="array" ref="X186">SUM(_xlfn.XLOOKUP(TablaSeleccionControladores[[#Headers],[M4-CGE04060-0]:[M4-XPM18000-0]],TablaControladores[[REFERENCIA]:[REFERENCIA]],TablaControladores[SC])*$AA186:$AJ186)</f>
        <v>12</v>
      </c>
      <c r="Y186" s="14" cm="1">
        <f t="array" ref="Y186">SUM(_xlfn.XLOOKUP(TablaSeleccionControladores[[#Headers],[M4-CGE04060-0]:[M4-XPM18000-0]],TablaControladores[[REFERENCIA]:[REFERENCIA]],TablaControladores[SD])*$AA186:$AJ186)</f>
        <v>9</v>
      </c>
      <c r="Z186" s="14">
        <f>SUM(TablaSeleccionControladores[[#This Row],[EA]:[SD]])</f>
        <v>54</v>
      </c>
      <c r="AB186" s="14">
        <v>1</v>
      </c>
      <c r="AH186" s="14">
        <v>0</v>
      </c>
      <c r="AI186" s="14">
        <v>2</v>
      </c>
      <c r="AJ186" s="14">
        <v>0</v>
      </c>
    </row>
    <row r="187" spans="17:36" x14ac:dyDescent="0.25">
      <c r="Q187">
        <f t="shared" si="5"/>
        <v>77</v>
      </c>
      <c r="R187" t="s">
        <v>828</v>
      </c>
      <c r="S187">
        <f>SUM(TablaSeleccionControladores[[#This Row],[M4-CGE04060-0]:[M4-CGM09090-0H]])</f>
        <v>1</v>
      </c>
      <c r="T187" s="14" cm="1">
        <f t="array" ref="T187">SUM(_xlfn.XLOOKUP(TablaSeleccionControladores[[#Headers],[M4-CGE04060-0]:[M4-XPM18000-0]],TablaControladores[[REFERENCIA]:[REFERENCIA]],TablaControladores[EA])*$AA187:$AJ187)</f>
        <v>0</v>
      </c>
      <c r="U187" s="14" cm="1">
        <f t="array" ref="U187">SUM(_xlfn.XLOOKUP(TablaSeleccionControladores[[#Headers],[M4-CGE04060-0]:[M4-XPM18000-0]],TablaControladores[[REFERENCIA]:[REFERENCIA]],TablaControladores[EU])*$AA187:$AJ187)</f>
        <v>21</v>
      </c>
      <c r="V187" s="14" cm="1">
        <f t="array" ref="V187">SUM(_xlfn.XLOOKUP(TablaSeleccionControladores[[#Headers],[M4-CGE04060-0]:[M4-XPM18000-0]],TablaControladores[[REFERENCIA]:[REFERENCIA]],TablaControladores[ED])*$AA187:$AJ187)</f>
        <v>24</v>
      </c>
      <c r="W187" s="14" cm="1">
        <f t="array" ref="W187">SUM(_xlfn.XLOOKUP(TablaSeleccionControladores[[#Headers],[M4-CGE04060-0]:[M4-XPM18000-0]],TablaControladores[[REFERENCIA]:[REFERENCIA]],TablaControladores[SA])*$AA187:$AJ187)</f>
        <v>6</v>
      </c>
      <c r="X187" s="14" cm="1">
        <f t="array" ref="X187">SUM(_xlfn.XLOOKUP(TablaSeleccionControladores[[#Headers],[M4-CGE04060-0]:[M4-XPM18000-0]],TablaControladores[[REFERENCIA]:[REFERENCIA]],TablaControladores[SC])*$AA187:$AJ187)</f>
        <v>12</v>
      </c>
      <c r="Y187" s="14" cm="1">
        <f t="array" ref="Y187">SUM(_xlfn.XLOOKUP(TablaSeleccionControladores[[#Headers],[M4-CGE04060-0]:[M4-XPM18000-0]],TablaControladores[[REFERENCIA]:[REFERENCIA]],TablaControladores[SD])*$AA187:$AJ187)</f>
        <v>9</v>
      </c>
      <c r="Z187" s="14">
        <f>SUM(TablaSeleccionControladores[[#This Row],[EA]:[SD]])</f>
        <v>72</v>
      </c>
      <c r="AB187" s="14">
        <v>1</v>
      </c>
      <c r="AH187" s="14">
        <v>0</v>
      </c>
      <c r="AI187" s="14">
        <v>2</v>
      </c>
      <c r="AJ187" s="14">
        <v>1</v>
      </c>
    </row>
    <row r="188" spans="17:36" x14ac:dyDescent="0.25">
      <c r="Q188">
        <f t="shared" si="5"/>
        <v>78</v>
      </c>
      <c r="R188" t="s">
        <v>828</v>
      </c>
      <c r="S188">
        <f>SUM(TablaSeleccionControladores[[#This Row],[M4-CGE04060-0]:[M4-CGM09090-0H]])</f>
        <v>1</v>
      </c>
      <c r="T188" s="14" cm="1">
        <f t="array" ref="T188">SUM(_xlfn.XLOOKUP(TablaSeleccionControladores[[#Headers],[M4-CGE04060-0]:[M4-XPM18000-0]],TablaControladores[[REFERENCIA]:[REFERENCIA]],TablaControladores[EA])*$AA188:$AJ188)</f>
        <v>0</v>
      </c>
      <c r="U188" s="14" cm="1">
        <f t="array" ref="U188">SUM(_xlfn.XLOOKUP(TablaSeleccionControladores[[#Headers],[M4-CGE04060-0]:[M4-XPM18000-0]],TablaControladores[[REFERENCIA]:[REFERENCIA]],TablaControladores[EU])*$AA188:$AJ188)</f>
        <v>21</v>
      </c>
      <c r="V188" s="14" cm="1">
        <f t="array" ref="V188">SUM(_xlfn.XLOOKUP(TablaSeleccionControladores[[#Headers],[M4-CGE04060-0]:[M4-XPM18000-0]],TablaControladores[[REFERENCIA]:[REFERENCIA]],TablaControladores[ED])*$AA188:$AJ188)</f>
        <v>42</v>
      </c>
      <c r="W188" s="14" cm="1">
        <f t="array" ref="W188">SUM(_xlfn.XLOOKUP(TablaSeleccionControladores[[#Headers],[M4-CGE04060-0]:[M4-XPM18000-0]],TablaControladores[[REFERENCIA]:[REFERENCIA]],TablaControladores[SA])*$AA188:$AJ188)</f>
        <v>6</v>
      </c>
      <c r="X188" s="14" cm="1">
        <f t="array" ref="X188">SUM(_xlfn.XLOOKUP(TablaSeleccionControladores[[#Headers],[M4-CGE04060-0]:[M4-XPM18000-0]],TablaControladores[[REFERENCIA]:[REFERENCIA]],TablaControladores[SC])*$AA188:$AJ188)</f>
        <v>12</v>
      </c>
      <c r="Y188" s="14" cm="1">
        <f t="array" ref="Y188">SUM(_xlfn.XLOOKUP(TablaSeleccionControladores[[#Headers],[M4-CGE04060-0]:[M4-XPM18000-0]],TablaControladores[[REFERENCIA]:[REFERENCIA]],TablaControladores[SD])*$AA188:$AJ188)</f>
        <v>9</v>
      </c>
      <c r="Z188" s="14">
        <f>SUM(TablaSeleccionControladores[[#This Row],[EA]:[SD]])</f>
        <v>90</v>
      </c>
      <c r="AB188" s="14">
        <v>1</v>
      </c>
      <c r="AH188" s="14">
        <v>0</v>
      </c>
      <c r="AI188" s="14">
        <v>2</v>
      </c>
      <c r="AJ188" s="14">
        <v>2</v>
      </c>
    </row>
    <row r="189" spans="17:36" x14ac:dyDescent="0.25">
      <c r="Q189">
        <f t="shared" si="5"/>
        <v>79</v>
      </c>
      <c r="R189" t="s">
        <v>828</v>
      </c>
      <c r="S189">
        <f>SUM(TablaSeleccionControladores[[#This Row],[M4-CGE04060-0]:[M4-CGM09090-0H]])</f>
        <v>1</v>
      </c>
      <c r="T189" s="14" cm="1">
        <f t="array" ref="T189">SUM(_xlfn.XLOOKUP(TablaSeleccionControladores[[#Headers],[M4-CGE04060-0]:[M4-XPM18000-0]],TablaControladores[[REFERENCIA]:[REFERENCIA]],TablaControladores[EA])*$AA189:$AJ189)</f>
        <v>0</v>
      </c>
      <c r="U189" s="14" cm="1">
        <f t="array" ref="U189">SUM(_xlfn.XLOOKUP(TablaSeleccionControladores[[#Headers],[M4-CGE04060-0]:[M4-XPM18000-0]],TablaControladores[[REFERENCIA]:[REFERENCIA]],TablaControladores[EU])*$AA189:$AJ189)</f>
        <v>21</v>
      </c>
      <c r="V189" s="14" cm="1">
        <f t="array" ref="V189">SUM(_xlfn.XLOOKUP(TablaSeleccionControladores[[#Headers],[M4-CGE04060-0]:[M4-XPM18000-0]],TablaControladores[[REFERENCIA]:[REFERENCIA]],TablaControladores[ED])*$AA189:$AJ189)</f>
        <v>60</v>
      </c>
      <c r="W189" s="14" cm="1">
        <f t="array" ref="W189">SUM(_xlfn.XLOOKUP(TablaSeleccionControladores[[#Headers],[M4-CGE04060-0]:[M4-XPM18000-0]],TablaControladores[[REFERENCIA]:[REFERENCIA]],TablaControladores[SA])*$AA189:$AJ189)</f>
        <v>6</v>
      </c>
      <c r="X189" s="14" cm="1">
        <f t="array" ref="X189">SUM(_xlfn.XLOOKUP(TablaSeleccionControladores[[#Headers],[M4-CGE04060-0]:[M4-XPM18000-0]],TablaControladores[[REFERENCIA]:[REFERENCIA]],TablaControladores[SC])*$AA189:$AJ189)</f>
        <v>12</v>
      </c>
      <c r="Y189" s="14" cm="1">
        <f t="array" ref="Y189">SUM(_xlfn.XLOOKUP(TablaSeleccionControladores[[#Headers],[M4-CGE04060-0]:[M4-XPM18000-0]],TablaControladores[[REFERENCIA]:[REFERENCIA]],TablaControladores[SD])*$AA189:$AJ189)</f>
        <v>9</v>
      </c>
      <c r="Z189" s="14">
        <f>SUM(TablaSeleccionControladores[[#This Row],[EA]:[SD]])</f>
        <v>108</v>
      </c>
      <c r="AB189" s="14">
        <v>1</v>
      </c>
      <c r="AH189" s="14">
        <v>0</v>
      </c>
      <c r="AI189" s="14">
        <v>2</v>
      </c>
      <c r="AJ189" s="14">
        <v>3</v>
      </c>
    </row>
    <row r="190" spans="17:36" x14ac:dyDescent="0.25">
      <c r="Q190">
        <f t="shared" si="5"/>
        <v>80</v>
      </c>
      <c r="R190" t="s">
        <v>828</v>
      </c>
      <c r="S190">
        <f>SUM(TablaSeleccionControladores[[#This Row],[M4-CGE04060-0]:[M4-CGM09090-0H]])</f>
        <v>1</v>
      </c>
      <c r="T190" s="14" cm="1">
        <f t="array" ref="T190">SUM(_xlfn.XLOOKUP(TablaSeleccionControladores[[#Headers],[M4-CGE04060-0]:[M4-XPM18000-0]],TablaControladores[[REFERENCIA]:[REFERENCIA]],TablaControladores[EA])*$AA190:$AJ190)</f>
        <v>0</v>
      </c>
      <c r="U190" s="14" cm="1">
        <f t="array" ref="U190">SUM(_xlfn.XLOOKUP(TablaSeleccionControladores[[#Headers],[M4-CGE04060-0]:[M4-XPM18000-0]],TablaControladores[[REFERENCIA]:[REFERENCIA]],TablaControladores[EU])*$AA190:$AJ190)</f>
        <v>21</v>
      </c>
      <c r="V190" s="14" cm="1">
        <f t="array" ref="V190">SUM(_xlfn.XLOOKUP(TablaSeleccionControladores[[#Headers],[M4-CGE04060-0]:[M4-XPM18000-0]],TablaControladores[[REFERENCIA]:[REFERENCIA]],TablaControladores[ED])*$AA190:$AJ190)</f>
        <v>78</v>
      </c>
      <c r="W190" s="14" cm="1">
        <f t="array" ref="W190">SUM(_xlfn.XLOOKUP(TablaSeleccionControladores[[#Headers],[M4-CGE04060-0]:[M4-XPM18000-0]],TablaControladores[[REFERENCIA]:[REFERENCIA]],TablaControladores[SA])*$AA190:$AJ190)</f>
        <v>6</v>
      </c>
      <c r="X190" s="14" cm="1">
        <f t="array" ref="X190">SUM(_xlfn.XLOOKUP(TablaSeleccionControladores[[#Headers],[M4-CGE04060-0]:[M4-XPM18000-0]],TablaControladores[[REFERENCIA]:[REFERENCIA]],TablaControladores[SC])*$AA190:$AJ190)</f>
        <v>12</v>
      </c>
      <c r="Y190" s="14" cm="1">
        <f t="array" ref="Y190">SUM(_xlfn.XLOOKUP(TablaSeleccionControladores[[#Headers],[M4-CGE04060-0]:[M4-XPM18000-0]],TablaControladores[[REFERENCIA]:[REFERENCIA]],TablaControladores[SD])*$AA190:$AJ190)</f>
        <v>9</v>
      </c>
      <c r="Z190" s="14">
        <f>SUM(TablaSeleccionControladores[[#This Row],[EA]:[SD]])</f>
        <v>126</v>
      </c>
      <c r="AB190" s="14">
        <v>1</v>
      </c>
      <c r="AH190" s="14">
        <v>0</v>
      </c>
      <c r="AI190" s="14">
        <v>2</v>
      </c>
      <c r="AJ190" s="14">
        <v>4</v>
      </c>
    </row>
    <row r="191" spans="17:36" x14ac:dyDescent="0.25">
      <c r="Q191">
        <f t="shared" si="5"/>
        <v>81</v>
      </c>
      <c r="R191" t="s">
        <v>828</v>
      </c>
      <c r="S191">
        <f>SUM(TablaSeleccionControladores[[#This Row],[M4-CGE04060-0]:[M4-CGM09090-0H]])</f>
        <v>1</v>
      </c>
      <c r="T191" s="14" cm="1">
        <f t="array" ref="T191">SUM(_xlfn.XLOOKUP(TablaSeleccionControladores[[#Headers],[M4-CGE04060-0]:[M4-XPM18000-0]],TablaControladores[[REFERENCIA]:[REFERENCIA]],TablaControladores[EA])*$AA191:$AJ191)</f>
        <v>0</v>
      </c>
      <c r="U191" s="14" cm="1">
        <f t="array" ref="U191">SUM(_xlfn.XLOOKUP(TablaSeleccionControladores[[#Headers],[M4-CGE04060-0]:[M4-XPM18000-0]],TablaControladores[[REFERENCIA]:[REFERENCIA]],TablaControladores[EU])*$AA191:$AJ191)</f>
        <v>28</v>
      </c>
      <c r="V191" s="14" cm="1">
        <f t="array" ref="V191">SUM(_xlfn.XLOOKUP(TablaSeleccionControladores[[#Headers],[M4-CGE04060-0]:[M4-XPM18000-0]],TablaControladores[[REFERENCIA]:[REFERENCIA]],TablaControladores[ED])*$AA191:$AJ191)</f>
        <v>8</v>
      </c>
      <c r="W191" s="14" cm="1">
        <f t="array" ref="W191">SUM(_xlfn.XLOOKUP(TablaSeleccionControladores[[#Headers],[M4-CGE04060-0]:[M4-XPM18000-0]],TablaControladores[[REFERENCIA]:[REFERENCIA]],TablaControladores[SA])*$AA191:$AJ191)</f>
        <v>8</v>
      </c>
      <c r="X191" s="14" cm="1">
        <f t="array" ref="X191">SUM(_xlfn.XLOOKUP(TablaSeleccionControladores[[#Headers],[M4-CGE04060-0]:[M4-XPM18000-0]],TablaControladores[[REFERENCIA]:[REFERENCIA]],TablaControladores[SC])*$AA191:$AJ191)</f>
        <v>16</v>
      </c>
      <c r="Y191" s="14" cm="1">
        <f t="array" ref="Y191">SUM(_xlfn.XLOOKUP(TablaSeleccionControladores[[#Headers],[M4-CGE04060-0]:[M4-XPM18000-0]],TablaControladores[[REFERENCIA]:[REFERENCIA]],TablaControladores[SD])*$AA191:$AJ191)</f>
        <v>12</v>
      </c>
      <c r="Z191" s="14">
        <f>SUM(TablaSeleccionControladores[[#This Row],[EA]:[SD]])</f>
        <v>72</v>
      </c>
      <c r="AB191" s="14">
        <v>1</v>
      </c>
      <c r="AH191" s="14">
        <v>0</v>
      </c>
      <c r="AI191" s="14">
        <v>3</v>
      </c>
      <c r="AJ191" s="14">
        <v>0</v>
      </c>
    </row>
    <row r="192" spans="17:36" x14ac:dyDescent="0.25">
      <c r="Q192">
        <f t="shared" si="5"/>
        <v>82</v>
      </c>
      <c r="R192" t="s">
        <v>828</v>
      </c>
      <c r="S192">
        <f>SUM(TablaSeleccionControladores[[#This Row],[M4-CGE04060-0]:[M4-CGM09090-0H]])</f>
        <v>1</v>
      </c>
      <c r="T192" s="14" cm="1">
        <f t="array" ref="T192">SUM(_xlfn.XLOOKUP(TablaSeleccionControladores[[#Headers],[M4-CGE04060-0]:[M4-XPM18000-0]],TablaControladores[[REFERENCIA]:[REFERENCIA]],TablaControladores[EA])*$AA192:$AJ192)</f>
        <v>0</v>
      </c>
      <c r="U192" s="14" cm="1">
        <f t="array" ref="U192">SUM(_xlfn.XLOOKUP(TablaSeleccionControladores[[#Headers],[M4-CGE04060-0]:[M4-XPM18000-0]],TablaControladores[[REFERENCIA]:[REFERENCIA]],TablaControladores[EU])*$AA192:$AJ192)</f>
        <v>28</v>
      </c>
      <c r="V192" s="14" cm="1">
        <f t="array" ref="V192">SUM(_xlfn.XLOOKUP(TablaSeleccionControladores[[#Headers],[M4-CGE04060-0]:[M4-XPM18000-0]],TablaControladores[[REFERENCIA]:[REFERENCIA]],TablaControladores[ED])*$AA192:$AJ192)</f>
        <v>26</v>
      </c>
      <c r="W192" s="14" cm="1">
        <f t="array" ref="W192">SUM(_xlfn.XLOOKUP(TablaSeleccionControladores[[#Headers],[M4-CGE04060-0]:[M4-XPM18000-0]],TablaControladores[[REFERENCIA]:[REFERENCIA]],TablaControladores[SA])*$AA192:$AJ192)</f>
        <v>8</v>
      </c>
      <c r="X192" s="14" cm="1">
        <f t="array" ref="X192">SUM(_xlfn.XLOOKUP(TablaSeleccionControladores[[#Headers],[M4-CGE04060-0]:[M4-XPM18000-0]],TablaControladores[[REFERENCIA]:[REFERENCIA]],TablaControladores[SC])*$AA192:$AJ192)</f>
        <v>16</v>
      </c>
      <c r="Y192" s="14" cm="1">
        <f t="array" ref="Y192">SUM(_xlfn.XLOOKUP(TablaSeleccionControladores[[#Headers],[M4-CGE04060-0]:[M4-XPM18000-0]],TablaControladores[[REFERENCIA]:[REFERENCIA]],TablaControladores[SD])*$AA192:$AJ192)</f>
        <v>12</v>
      </c>
      <c r="Z192" s="14">
        <f>SUM(TablaSeleccionControladores[[#This Row],[EA]:[SD]])</f>
        <v>90</v>
      </c>
      <c r="AB192" s="14">
        <v>1</v>
      </c>
      <c r="AH192" s="14">
        <v>0</v>
      </c>
      <c r="AI192" s="14">
        <v>3</v>
      </c>
      <c r="AJ192" s="14">
        <v>1</v>
      </c>
    </row>
    <row r="193" spans="17:36" x14ac:dyDescent="0.25">
      <c r="Q193">
        <f t="shared" si="5"/>
        <v>83</v>
      </c>
      <c r="R193" t="s">
        <v>828</v>
      </c>
      <c r="S193">
        <f>SUM(TablaSeleccionControladores[[#This Row],[M4-CGE04060-0]:[M4-CGM09090-0H]])</f>
        <v>1</v>
      </c>
      <c r="T193" s="14" cm="1">
        <f t="array" ref="T193">SUM(_xlfn.XLOOKUP(TablaSeleccionControladores[[#Headers],[M4-CGE04060-0]:[M4-XPM18000-0]],TablaControladores[[REFERENCIA]:[REFERENCIA]],TablaControladores[EA])*$AA193:$AJ193)</f>
        <v>0</v>
      </c>
      <c r="U193" s="14" cm="1">
        <f t="array" ref="U193">SUM(_xlfn.XLOOKUP(TablaSeleccionControladores[[#Headers],[M4-CGE04060-0]:[M4-XPM18000-0]],TablaControladores[[REFERENCIA]:[REFERENCIA]],TablaControladores[EU])*$AA193:$AJ193)</f>
        <v>28</v>
      </c>
      <c r="V193" s="14" cm="1">
        <f t="array" ref="V193">SUM(_xlfn.XLOOKUP(TablaSeleccionControladores[[#Headers],[M4-CGE04060-0]:[M4-XPM18000-0]],TablaControladores[[REFERENCIA]:[REFERENCIA]],TablaControladores[ED])*$AA193:$AJ193)</f>
        <v>44</v>
      </c>
      <c r="W193" s="14" cm="1">
        <f t="array" ref="W193">SUM(_xlfn.XLOOKUP(TablaSeleccionControladores[[#Headers],[M4-CGE04060-0]:[M4-XPM18000-0]],TablaControladores[[REFERENCIA]:[REFERENCIA]],TablaControladores[SA])*$AA193:$AJ193)</f>
        <v>8</v>
      </c>
      <c r="X193" s="14" cm="1">
        <f t="array" ref="X193">SUM(_xlfn.XLOOKUP(TablaSeleccionControladores[[#Headers],[M4-CGE04060-0]:[M4-XPM18000-0]],TablaControladores[[REFERENCIA]:[REFERENCIA]],TablaControladores[SC])*$AA193:$AJ193)</f>
        <v>16</v>
      </c>
      <c r="Y193" s="14" cm="1">
        <f t="array" ref="Y193">SUM(_xlfn.XLOOKUP(TablaSeleccionControladores[[#Headers],[M4-CGE04060-0]:[M4-XPM18000-0]],TablaControladores[[REFERENCIA]:[REFERENCIA]],TablaControladores[SD])*$AA193:$AJ193)</f>
        <v>12</v>
      </c>
      <c r="Z193" s="14">
        <f>SUM(TablaSeleccionControladores[[#This Row],[EA]:[SD]])</f>
        <v>108</v>
      </c>
      <c r="AB193" s="14">
        <v>1</v>
      </c>
      <c r="AH193" s="14">
        <v>0</v>
      </c>
      <c r="AI193" s="14">
        <v>3</v>
      </c>
      <c r="AJ193" s="14">
        <v>2</v>
      </c>
    </row>
    <row r="194" spans="17:36" x14ac:dyDescent="0.25">
      <c r="Q194">
        <f t="shared" si="5"/>
        <v>84</v>
      </c>
      <c r="R194" t="s">
        <v>828</v>
      </c>
      <c r="S194">
        <f>SUM(TablaSeleccionControladores[[#This Row],[M4-CGE04060-0]:[M4-CGM09090-0H]])</f>
        <v>1</v>
      </c>
      <c r="T194" s="14" cm="1">
        <f t="array" ref="T194">SUM(_xlfn.XLOOKUP(TablaSeleccionControladores[[#Headers],[M4-CGE04060-0]:[M4-XPM18000-0]],TablaControladores[[REFERENCIA]:[REFERENCIA]],TablaControladores[EA])*$AA194:$AJ194)</f>
        <v>0</v>
      </c>
      <c r="U194" s="14" cm="1">
        <f t="array" ref="U194">SUM(_xlfn.XLOOKUP(TablaSeleccionControladores[[#Headers],[M4-CGE04060-0]:[M4-XPM18000-0]],TablaControladores[[REFERENCIA]:[REFERENCIA]],TablaControladores[EU])*$AA194:$AJ194)</f>
        <v>28</v>
      </c>
      <c r="V194" s="14" cm="1">
        <f t="array" ref="V194">SUM(_xlfn.XLOOKUP(TablaSeleccionControladores[[#Headers],[M4-CGE04060-0]:[M4-XPM18000-0]],TablaControladores[[REFERENCIA]:[REFERENCIA]],TablaControladores[ED])*$AA194:$AJ194)</f>
        <v>62</v>
      </c>
      <c r="W194" s="14" cm="1">
        <f t="array" ref="W194">SUM(_xlfn.XLOOKUP(TablaSeleccionControladores[[#Headers],[M4-CGE04060-0]:[M4-XPM18000-0]],TablaControladores[[REFERENCIA]:[REFERENCIA]],TablaControladores[SA])*$AA194:$AJ194)</f>
        <v>8</v>
      </c>
      <c r="X194" s="14" cm="1">
        <f t="array" ref="X194">SUM(_xlfn.XLOOKUP(TablaSeleccionControladores[[#Headers],[M4-CGE04060-0]:[M4-XPM18000-0]],TablaControladores[[REFERENCIA]:[REFERENCIA]],TablaControladores[SC])*$AA194:$AJ194)</f>
        <v>16</v>
      </c>
      <c r="Y194" s="14" cm="1">
        <f t="array" ref="Y194">SUM(_xlfn.XLOOKUP(TablaSeleccionControladores[[#Headers],[M4-CGE04060-0]:[M4-XPM18000-0]],TablaControladores[[REFERENCIA]:[REFERENCIA]],TablaControladores[SD])*$AA194:$AJ194)</f>
        <v>12</v>
      </c>
      <c r="Z194" s="14">
        <f>SUM(TablaSeleccionControladores[[#This Row],[EA]:[SD]])</f>
        <v>126</v>
      </c>
      <c r="AB194" s="14">
        <v>1</v>
      </c>
      <c r="AH194" s="14">
        <v>0</v>
      </c>
      <c r="AI194" s="14">
        <v>3</v>
      </c>
      <c r="AJ194" s="14">
        <v>3</v>
      </c>
    </row>
    <row r="195" spans="17:36" x14ac:dyDescent="0.25">
      <c r="Q195">
        <f t="shared" si="5"/>
        <v>85</v>
      </c>
      <c r="R195" t="s">
        <v>828</v>
      </c>
      <c r="S195">
        <f>SUM(TablaSeleccionControladores[[#This Row],[M4-CGE04060-0]:[M4-CGM09090-0H]])</f>
        <v>1</v>
      </c>
      <c r="T195" s="14" cm="1">
        <f t="array" ref="T195">SUM(_xlfn.XLOOKUP(TablaSeleccionControladores[[#Headers],[M4-CGE04060-0]:[M4-XPM18000-0]],TablaControladores[[REFERENCIA]:[REFERENCIA]],TablaControladores[EA])*$AA195:$AJ195)</f>
        <v>0</v>
      </c>
      <c r="U195" s="14" cm="1">
        <f t="array" ref="U195">SUM(_xlfn.XLOOKUP(TablaSeleccionControladores[[#Headers],[M4-CGE04060-0]:[M4-XPM18000-0]],TablaControladores[[REFERENCIA]:[REFERENCIA]],TablaControladores[EU])*$AA195:$AJ195)</f>
        <v>35</v>
      </c>
      <c r="V195" s="14" cm="1">
        <f t="array" ref="V195">SUM(_xlfn.XLOOKUP(TablaSeleccionControladores[[#Headers],[M4-CGE04060-0]:[M4-XPM18000-0]],TablaControladores[[REFERENCIA]:[REFERENCIA]],TablaControladores[ED])*$AA195:$AJ195)</f>
        <v>10</v>
      </c>
      <c r="W195" s="14" cm="1">
        <f t="array" ref="W195">SUM(_xlfn.XLOOKUP(TablaSeleccionControladores[[#Headers],[M4-CGE04060-0]:[M4-XPM18000-0]],TablaControladores[[REFERENCIA]:[REFERENCIA]],TablaControladores[SA])*$AA195:$AJ195)</f>
        <v>10</v>
      </c>
      <c r="X195" s="14" cm="1">
        <f t="array" ref="X195">SUM(_xlfn.XLOOKUP(TablaSeleccionControladores[[#Headers],[M4-CGE04060-0]:[M4-XPM18000-0]],TablaControladores[[REFERENCIA]:[REFERENCIA]],TablaControladores[SC])*$AA195:$AJ195)</f>
        <v>20</v>
      </c>
      <c r="Y195" s="14" cm="1">
        <f t="array" ref="Y195">SUM(_xlfn.XLOOKUP(TablaSeleccionControladores[[#Headers],[M4-CGE04060-0]:[M4-XPM18000-0]],TablaControladores[[REFERENCIA]:[REFERENCIA]],TablaControladores[SD])*$AA195:$AJ195)</f>
        <v>15</v>
      </c>
      <c r="Z195" s="14">
        <f>SUM(TablaSeleccionControladores[[#This Row],[EA]:[SD]])</f>
        <v>90</v>
      </c>
      <c r="AB195" s="14">
        <v>1</v>
      </c>
      <c r="AH195" s="14">
        <v>0</v>
      </c>
      <c r="AI195" s="14">
        <v>4</v>
      </c>
      <c r="AJ195" s="14">
        <v>0</v>
      </c>
    </row>
    <row r="196" spans="17:36" x14ac:dyDescent="0.25">
      <c r="Q196">
        <f t="shared" si="5"/>
        <v>86</v>
      </c>
      <c r="R196" t="s">
        <v>828</v>
      </c>
      <c r="S196">
        <f>SUM(TablaSeleccionControladores[[#This Row],[M4-CGE04060-0]:[M4-CGM09090-0H]])</f>
        <v>1</v>
      </c>
      <c r="T196" s="14" cm="1">
        <f t="array" ref="T196">SUM(_xlfn.XLOOKUP(TablaSeleccionControladores[[#Headers],[M4-CGE04060-0]:[M4-XPM18000-0]],TablaControladores[[REFERENCIA]:[REFERENCIA]],TablaControladores[EA])*$AA196:$AJ196)</f>
        <v>0</v>
      </c>
      <c r="U196" s="14" cm="1">
        <f t="array" ref="U196">SUM(_xlfn.XLOOKUP(TablaSeleccionControladores[[#Headers],[M4-CGE04060-0]:[M4-XPM18000-0]],TablaControladores[[REFERENCIA]:[REFERENCIA]],TablaControladores[EU])*$AA196:$AJ196)</f>
        <v>35</v>
      </c>
      <c r="V196" s="14" cm="1">
        <f t="array" ref="V196">SUM(_xlfn.XLOOKUP(TablaSeleccionControladores[[#Headers],[M4-CGE04060-0]:[M4-XPM18000-0]],TablaControladores[[REFERENCIA]:[REFERENCIA]],TablaControladores[ED])*$AA196:$AJ196)</f>
        <v>28</v>
      </c>
      <c r="W196" s="14" cm="1">
        <f t="array" ref="W196">SUM(_xlfn.XLOOKUP(TablaSeleccionControladores[[#Headers],[M4-CGE04060-0]:[M4-XPM18000-0]],TablaControladores[[REFERENCIA]:[REFERENCIA]],TablaControladores[SA])*$AA196:$AJ196)</f>
        <v>10</v>
      </c>
      <c r="X196" s="14" cm="1">
        <f t="array" ref="X196">SUM(_xlfn.XLOOKUP(TablaSeleccionControladores[[#Headers],[M4-CGE04060-0]:[M4-XPM18000-0]],TablaControladores[[REFERENCIA]:[REFERENCIA]],TablaControladores[SC])*$AA196:$AJ196)</f>
        <v>20</v>
      </c>
      <c r="Y196" s="14" cm="1">
        <f t="array" ref="Y196">SUM(_xlfn.XLOOKUP(TablaSeleccionControladores[[#Headers],[M4-CGE04060-0]:[M4-XPM18000-0]],TablaControladores[[REFERENCIA]:[REFERENCIA]],TablaControladores[SD])*$AA196:$AJ196)</f>
        <v>15</v>
      </c>
      <c r="Z196" s="14">
        <f>SUM(TablaSeleccionControladores[[#This Row],[EA]:[SD]])</f>
        <v>108</v>
      </c>
      <c r="AB196" s="14">
        <v>1</v>
      </c>
      <c r="AH196" s="14">
        <v>0</v>
      </c>
      <c r="AI196" s="14">
        <v>4</v>
      </c>
      <c r="AJ196" s="14">
        <v>1</v>
      </c>
    </row>
    <row r="197" spans="17:36" x14ac:dyDescent="0.25">
      <c r="Q197">
        <f t="shared" si="5"/>
        <v>87</v>
      </c>
      <c r="R197" t="s">
        <v>828</v>
      </c>
      <c r="S197">
        <f>SUM(TablaSeleccionControladores[[#This Row],[M4-CGE04060-0]:[M4-CGM09090-0H]])</f>
        <v>1</v>
      </c>
      <c r="T197" s="14" cm="1">
        <f t="array" ref="T197">SUM(_xlfn.XLOOKUP(TablaSeleccionControladores[[#Headers],[M4-CGE04060-0]:[M4-XPM18000-0]],TablaControladores[[REFERENCIA]:[REFERENCIA]],TablaControladores[EA])*$AA197:$AJ197)</f>
        <v>0</v>
      </c>
      <c r="U197" s="14" cm="1">
        <f t="array" ref="U197">SUM(_xlfn.XLOOKUP(TablaSeleccionControladores[[#Headers],[M4-CGE04060-0]:[M4-XPM18000-0]],TablaControladores[[REFERENCIA]:[REFERENCIA]],TablaControladores[EU])*$AA197:$AJ197)</f>
        <v>35</v>
      </c>
      <c r="V197" s="14" cm="1">
        <f t="array" ref="V197">SUM(_xlfn.XLOOKUP(TablaSeleccionControladores[[#Headers],[M4-CGE04060-0]:[M4-XPM18000-0]],TablaControladores[[REFERENCIA]:[REFERENCIA]],TablaControladores[ED])*$AA197:$AJ197)</f>
        <v>46</v>
      </c>
      <c r="W197" s="14" cm="1">
        <f t="array" ref="W197">SUM(_xlfn.XLOOKUP(TablaSeleccionControladores[[#Headers],[M4-CGE04060-0]:[M4-XPM18000-0]],TablaControladores[[REFERENCIA]:[REFERENCIA]],TablaControladores[SA])*$AA197:$AJ197)</f>
        <v>10</v>
      </c>
      <c r="X197" s="14" cm="1">
        <f t="array" ref="X197">SUM(_xlfn.XLOOKUP(TablaSeleccionControladores[[#Headers],[M4-CGE04060-0]:[M4-XPM18000-0]],TablaControladores[[REFERENCIA]:[REFERENCIA]],TablaControladores[SC])*$AA197:$AJ197)</f>
        <v>20</v>
      </c>
      <c r="Y197" s="14" cm="1">
        <f t="array" ref="Y197">SUM(_xlfn.XLOOKUP(TablaSeleccionControladores[[#Headers],[M4-CGE04060-0]:[M4-XPM18000-0]],TablaControladores[[REFERENCIA]:[REFERENCIA]],TablaControladores[SD])*$AA197:$AJ197)</f>
        <v>15</v>
      </c>
      <c r="Z197" s="14">
        <f>SUM(TablaSeleccionControladores[[#This Row],[EA]:[SD]])</f>
        <v>126</v>
      </c>
      <c r="AB197" s="14">
        <v>1</v>
      </c>
      <c r="AH197" s="14">
        <v>0</v>
      </c>
      <c r="AI197" s="14">
        <v>4</v>
      </c>
      <c r="AJ197" s="14">
        <v>2</v>
      </c>
    </row>
    <row r="198" spans="17:36" x14ac:dyDescent="0.25">
      <c r="Q198">
        <f t="shared" si="5"/>
        <v>88</v>
      </c>
      <c r="R198" t="s">
        <v>828</v>
      </c>
      <c r="S198">
        <f>SUM(TablaSeleccionControladores[[#This Row],[M4-CGE04060-0]:[M4-CGM09090-0H]])</f>
        <v>1</v>
      </c>
      <c r="T198" s="14" cm="1">
        <f t="array" ref="T198">SUM(_xlfn.XLOOKUP(TablaSeleccionControladores[[#Headers],[M4-CGE04060-0]:[M4-XPM18000-0]],TablaControladores[[REFERENCIA]:[REFERENCIA]],TablaControladores[EA])*$AA198:$AJ198)</f>
        <v>0</v>
      </c>
      <c r="U198" s="14" cm="1">
        <f t="array" ref="U198">SUM(_xlfn.XLOOKUP(TablaSeleccionControladores[[#Headers],[M4-CGE04060-0]:[M4-XPM18000-0]],TablaControladores[[REFERENCIA]:[REFERENCIA]],TablaControladores[EU])*$AA198:$AJ198)</f>
        <v>42</v>
      </c>
      <c r="V198" s="14" cm="1">
        <f t="array" ref="V198">SUM(_xlfn.XLOOKUP(TablaSeleccionControladores[[#Headers],[M4-CGE04060-0]:[M4-XPM18000-0]],TablaControladores[[REFERENCIA]:[REFERENCIA]],TablaControladores[ED])*$AA198:$AJ198)</f>
        <v>12</v>
      </c>
      <c r="W198" s="14" cm="1">
        <f t="array" ref="W198">SUM(_xlfn.XLOOKUP(TablaSeleccionControladores[[#Headers],[M4-CGE04060-0]:[M4-XPM18000-0]],TablaControladores[[REFERENCIA]:[REFERENCIA]],TablaControladores[SA])*$AA198:$AJ198)</f>
        <v>12</v>
      </c>
      <c r="X198" s="14" cm="1">
        <f t="array" ref="X198">SUM(_xlfn.XLOOKUP(TablaSeleccionControladores[[#Headers],[M4-CGE04060-0]:[M4-XPM18000-0]],TablaControladores[[REFERENCIA]:[REFERENCIA]],TablaControladores[SC])*$AA198:$AJ198)</f>
        <v>24</v>
      </c>
      <c r="Y198" s="14" cm="1">
        <f t="array" ref="Y198">SUM(_xlfn.XLOOKUP(TablaSeleccionControladores[[#Headers],[M4-CGE04060-0]:[M4-XPM18000-0]],TablaControladores[[REFERENCIA]:[REFERENCIA]],TablaControladores[SD])*$AA198:$AJ198)</f>
        <v>18</v>
      </c>
      <c r="Z198" s="14">
        <f>SUM(TablaSeleccionControladores[[#This Row],[EA]:[SD]])</f>
        <v>108</v>
      </c>
      <c r="AB198" s="14">
        <v>1</v>
      </c>
      <c r="AH198" s="14">
        <v>0</v>
      </c>
      <c r="AI198" s="14">
        <v>5</v>
      </c>
      <c r="AJ198" s="14">
        <v>0</v>
      </c>
    </row>
    <row r="199" spans="17:36" x14ac:dyDescent="0.25">
      <c r="Q199">
        <f t="shared" si="5"/>
        <v>89</v>
      </c>
      <c r="R199" t="s">
        <v>828</v>
      </c>
      <c r="S199">
        <f>SUM(TablaSeleccionControladores[[#This Row],[M4-CGE04060-0]:[M4-CGM09090-0H]])</f>
        <v>1</v>
      </c>
      <c r="T199" s="14" cm="1">
        <f t="array" ref="T199">SUM(_xlfn.XLOOKUP(TablaSeleccionControladores[[#Headers],[M4-CGE04060-0]:[M4-XPM18000-0]],TablaControladores[[REFERENCIA]:[REFERENCIA]],TablaControladores[EA])*$AA199:$AJ199)</f>
        <v>0</v>
      </c>
      <c r="U199" s="14" cm="1">
        <f t="array" ref="U199">SUM(_xlfn.XLOOKUP(TablaSeleccionControladores[[#Headers],[M4-CGE04060-0]:[M4-XPM18000-0]],TablaControladores[[REFERENCIA]:[REFERENCIA]],TablaControladores[EU])*$AA199:$AJ199)</f>
        <v>42</v>
      </c>
      <c r="V199" s="14" cm="1">
        <f t="array" ref="V199">SUM(_xlfn.XLOOKUP(TablaSeleccionControladores[[#Headers],[M4-CGE04060-0]:[M4-XPM18000-0]],TablaControladores[[REFERENCIA]:[REFERENCIA]],TablaControladores[ED])*$AA199:$AJ199)</f>
        <v>30</v>
      </c>
      <c r="W199" s="14" cm="1">
        <f t="array" ref="W199">SUM(_xlfn.XLOOKUP(TablaSeleccionControladores[[#Headers],[M4-CGE04060-0]:[M4-XPM18000-0]],TablaControladores[[REFERENCIA]:[REFERENCIA]],TablaControladores[SA])*$AA199:$AJ199)</f>
        <v>12</v>
      </c>
      <c r="X199" s="14" cm="1">
        <f t="array" ref="X199">SUM(_xlfn.XLOOKUP(TablaSeleccionControladores[[#Headers],[M4-CGE04060-0]:[M4-XPM18000-0]],TablaControladores[[REFERENCIA]:[REFERENCIA]],TablaControladores[SC])*$AA199:$AJ199)</f>
        <v>24</v>
      </c>
      <c r="Y199" s="14" cm="1">
        <f t="array" ref="Y199">SUM(_xlfn.XLOOKUP(TablaSeleccionControladores[[#Headers],[M4-CGE04060-0]:[M4-XPM18000-0]],TablaControladores[[REFERENCIA]:[REFERENCIA]],TablaControladores[SD])*$AA199:$AJ199)</f>
        <v>18</v>
      </c>
      <c r="Z199" s="14">
        <f>SUM(TablaSeleccionControladores[[#This Row],[EA]:[SD]])</f>
        <v>126</v>
      </c>
      <c r="AB199" s="14">
        <v>1</v>
      </c>
      <c r="AH199" s="14">
        <v>0</v>
      </c>
      <c r="AI199" s="14">
        <v>5</v>
      </c>
      <c r="AJ199" s="14">
        <v>1</v>
      </c>
    </row>
    <row r="200" spans="17:36" x14ac:dyDescent="0.25">
      <c r="Q200">
        <f t="shared" si="5"/>
        <v>90</v>
      </c>
      <c r="R200" t="s">
        <v>828</v>
      </c>
      <c r="S200">
        <f>SUM(TablaSeleccionControladores[[#This Row],[M4-CGE04060-0]:[M4-CGM09090-0H]])</f>
        <v>1</v>
      </c>
      <c r="T200" s="14" cm="1">
        <f t="array" ref="T200">SUM(_xlfn.XLOOKUP(TablaSeleccionControladores[[#Headers],[M4-CGE04060-0]:[M4-XPM18000-0]],TablaControladores[[REFERENCIA]:[REFERENCIA]],TablaControladores[EA])*$AA200:$AJ200)</f>
        <v>0</v>
      </c>
      <c r="U200" s="14" cm="1">
        <f t="array" ref="U200">SUM(_xlfn.XLOOKUP(TablaSeleccionControladores[[#Headers],[M4-CGE04060-0]:[M4-XPM18000-0]],TablaControladores[[REFERENCIA]:[REFERENCIA]],TablaControladores[EU])*$AA200:$AJ200)</f>
        <v>49</v>
      </c>
      <c r="V200" s="14" cm="1">
        <f t="array" ref="V200">SUM(_xlfn.XLOOKUP(TablaSeleccionControladores[[#Headers],[M4-CGE04060-0]:[M4-XPM18000-0]],TablaControladores[[REFERENCIA]:[REFERENCIA]],TablaControladores[ED])*$AA200:$AJ200)</f>
        <v>14</v>
      </c>
      <c r="W200" s="14" cm="1">
        <f t="array" ref="W200">SUM(_xlfn.XLOOKUP(TablaSeleccionControladores[[#Headers],[M4-CGE04060-0]:[M4-XPM18000-0]],TablaControladores[[REFERENCIA]:[REFERENCIA]],TablaControladores[SA])*$AA200:$AJ200)</f>
        <v>14</v>
      </c>
      <c r="X200" s="14" cm="1">
        <f t="array" ref="X200">SUM(_xlfn.XLOOKUP(TablaSeleccionControladores[[#Headers],[M4-CGE04060-0]:[M4-XPM18000-0]],TablaControladores[[REFERENCIA]:[REFERENCIA]],TablaControladores[SC])*$AA200:$AJ200)</f>
        <v>28</v>
      </c>
      <c r="Y200" s="14" cm="1">
        <f t="array" ref="Y200">SUM(_xlfn.XLOOKUP(TablaSeleccionControladores[[#Headers],[M4-CGE04060-0]:[M4-XPM18000-0]],TablaControladores[[REFERENCIA]:[REFERENCIA]],TablaControladores[SD])*$AA200:$AJ200)</f>
        <v>21</v>
      </c>
      <c r="Z200" s="14">
        <f>SUM(TablaSeleccionControladores[[#This Row],[EA]:[SD]])</f>
        <v>126</v>
      </c>
      <c r="AB200" s="14">
        <v>1</v>
      </c>
      <c r="AH200" s="14">
        <v>0</v>
      </c>
      <c r="AI200" s="14">
        <v>6</v>
      </c>
      <c r="AJ200" s="14">
        <v>0</v>
      </c>
    </row>
    <row r="201" spans="17:36" x14ac:dyDescent="0.25">
      <c r="Q201">
        <f t="shared" si="5"/>
        <v>91</v>
      </c>
      <c r="R201" t="s">
        <v>828</v>
      </c>
      <c r="S201">
        <f>SUM(TablaSeleccionControladores[[#This Row],[M4-CGE04060-0]:[M4-CGM09090-0H]])</f>
        <v>1</v>
      </c>
      <c r="T201" s="14" cm="1">
        <f t="array" ref="T201">SUM(_xlfn.XLOOKUP(TablaSeleccionControladores[[#Headers],[M4-CGE04060-0]:[M4-XPM18000-0]],TablaControladores[[REFERENCIA]:[REFERENCIA]],TablaControladores[EA])*$AA201:$AJ201)</f>
        <v>0</v>
      </c>
      <c r="U201" s="14" cm="1">
        <f t="array" ref="U201">SUM(_xlfn.XLOOKUP(TablaSeleccionControladores[[#Headers],[M4-CGE04060-0]:[M4-XPM18000-0]],TablaControladores[[REFERENCIA]:[REFERENCIA]],TablaControladores[EU])*$AA201:$AJ201)</f>
        <v>10</v>
      </c>
      <c r="V201" s="14" cm="1">
        <f t="array" ref="V201">SUM(_xlfn.XLOOKUP(TablaSeleccionControladores[[#Headers],[M4-CGE04060-0]:[M4-XPM18000-0]],TablaControladores[[REFERENCIA]:[REFERENCIA]],TablaControladores[ED])*$AA201:$AJ201)</f>
        <v>3</v>
      </c>
      <c r="W201" s="14" cm="1">
        <f t="array" ref="W201">SUM(_xlfn.XLOOKUP(TablaSeleccionControladores[[#Headers],[M4-CGE04060-0]:[M4-XPM18000-0]],TablaControladores[[REFERENCIA]:[REFERENCIA]],TablaControladores[SA])*$AA201:$AJ201)</f>
        <v>4</v>
      </c>
      <c r="X201" s="14" cm="1">
        <f t="array" ref="X201">SUM(_xlfn.XLOOKUP(TablaSeleccionControladores[[#Headers],[M4-CGE04060-0]:[M4-XPM18000-0]],TablaControladores[[REFERENCIA]:[REFERENCIA]],TablaControladores[SC])*$AA201:$AJ201)</f>
        <v>8</v>
      </c>
      <c r="Y201" s="14" cm="1">
        <f t="array" ref="Y201">SUM(_xlfn.XLOOKUP(TablaSeleccionControladores[[#Headers],[M4-CGE04060-0]:[M4-XPM18000-0]],TablaControladores[[REFERENCIA]:[REFERENCIA]],TablaControladores[SD])*$AA201:$AJ201)</f>
        <v>6</v>
      </c>
      <c r="Z201" s="14">
        <f>SUM(TablaSeleccionControladores[[#This Row],[EA]:[SD]])</f>
        <v>31</v>
      </c>
      <c r="AB201" s="14">
        <v>1</v>
      </c>
      <c r="AH201" s="14">
        <v>1</v>
      </c>
      <c r="AI201" s="14">
        <v>0</v>
      </c>
      <c r="AJ201" s="14">
        <v>0</v>
      </c>
    </row>
    <row r="202" spans="17:36" x14ac:dyDescent="0.25">
      <c r="Q202">
        <f t="shared" si="5"/>
        <v>92</v>
      </c>
      <c r="R202" t="s">
        <v>828</v>
      </c>
      <c r="S202">
        <f>SUM(TablaSeleccionControladores[[#This Row],[M4-CGE04060-0]:[M4-CGM09090-0H]])</f>
        <v>1</v>
      </c>
      <c r="T202" s="14" cm="1">
        <f t="array" ref="T202">SUM(_xlfn.XLOOKUP(TablaSeleccionControladores[[#Headers],[M4-CGE04060-0]:[M4-XPM18000-0]],TablaControladores[[REFERENCIA]:[REFERENCIA]],TablaControladores[EA])*$AA202:$AJ202)</f>
        <v>0</v>
      </c>
      <c r="U202" s="14" cm="1">
        <f t="array" ref="U202">SUM(_xlfn.XLOOKUP(TablaSeleccionControladores[[#Headers],[M4-CGE04060-0]:[M4-XPM18000-0]],TablaControladores[[REFERENCIA]:[REFERENCIA]],TablaControladores[EU])*$AA202:$AJ202)</f>
        <v>10</v>
      </c>
      <c r="V202" s="14" cm="1">
        <f t="array" ref="V202">SUM(_xlfn.XLOOKUP(TablaSeleccionControladores[[#Headers],[M4-CGE04060-0]:[M4-XPM18000-0]],TablaControladores[[REFERENCIA]:[REFERENCIA]],TablaControladores[ED])*$AA202:$AJ202)</f>
        <v>21</v>
      </c>
      <c r="W202" s="14" cm="1">
        <f t="array" ref="W202">SUM(_xlfn.XLOOKUP(TablaSeleccionControladores[[#Headers],[M4-CGE04060-0]:[M4-XPM18000-0]],TablaControladores[[REFERENCIA]:[REFERENCIA]],TablaControladores[SA])*$AA202:$AJ202)</f>
        <v>4</v>
      </c>
      <c r="X202" s="14" cm="1">
        <f t="array" ref="X202">SUM(_xlfn.XLOOKUP(TablaSeleccionControladores[[#Headers],[M4-CGE04060-0]:[M4-XPM18000-0]],TablaControladores[[REFERENCIA]:[REFERENCIA]],TablaControladores[SC])*$AA202:$AJ202)</f>
        <v>8</v>
      </c>
      <c r="Y202" s="14" cm="1">
        <f t="array" ref="Y202">SUM(_xlfn.XLOOKUP(TablaSeleccionControladores[[#Headers],[M4-CGE04060-0]:[M4-XPM18000-0]],TablaControladores[[REFERENCIA]:[REFERENCIA]],TablaControladores[SD])*$AA202:$AJ202)</f>
        <v>6</v>
      </c>
      <c r="Z202" s="14">
        <f>SUM(TablaSeleccionControladores[[#This Row],[EA]:[SD]])</f>
        <v>49</v>
      </c>
      <c r="AB202" s="14">
        <v>1</v>
      </c>
      <c r="AH202" s="14">
        <v>1</v>
      </c>
      <c r="AI202" s="14">
        <v>0</v>
      </c>
      <c r="AJ202" s="14">
        <v>1</v>
      </c>
    </row>
    <row r="203" spans="17:36" x14ac:dyDescent="0.25">
      <c r="Q203">
        <f t="shared" si="5"/>
        <v>93</v>
      </c>
      <c r="R203" t="s">
        <v>828</v>
      </c>
      <c r="S203">
        <f>SUM(TablaSeleccionControladores[[#This Row],[M4-CGE04060-0]:[M4-CGM09090-0H]])</f>
        <v>1</v>
      </c>
      <c r="T203" s="14" cm="1">
        <f t="array" ref="T203">SUM(_xlfn.XLOOKUP(TablaSeleccionControladores[[#Headers],[M4-CGE04060-0]:[M4-XPM18000-0]],TablaControladores[[REFERENCIA]:[REFERENCIA]],TablaControladores[EA])*$AA203:$AJ203)</f>
        <v>0</v>
      </c>
      <c r="U203" s="14" cm="1">
        <f t="array" ref="U203">SUM(_xlfn.XLOOKUP(TablaSeleccionControladores[[#Headers],[M4-CGE04060-0]:[M4-XPM18000-0]],TablaControladores[[REFERENCIA]:[REFERENCIA]],TablaControladores[EU])*$AA203:$AJ203)</f>
        <v>10</v>
      </c>
      <c r="V203" s="14" cm="1">
        <f t="array" ref="V203">SUM(_xlfn.XLOOKUP(TablaSeleccionControladores[[#Headers],[M4-CGE04060-0]:[M4-XPM18000-0]],TablaControladores[[REFERENCIA]:[REFERENCIA]],TablaControladores[ED])*$AA203:$AJ203)</f>
        <v>39</v>
      </c>
      <c r="W203" s="14" cm="1">
        <f t="array" ref="W203">SUM(_xlfn.XLOOKUP(TablaSeleccionControladores[[#Headers],[M4-CGE04060-0]:[M4-XPM18000-0]],TablaControladores[[REFERENCIA]:[REFERENCIA]],TablaControladores[SA])*$AA203:$AJ203)</f>
        <v>4</v>
      </c>
      <c r="X203" s="14" cm="1">
        <f t="array" ref="X203">SUM(_xlfn.XLOOKUP(TablaSeleccionControladores[[#Headers],[M4-CGE04060-0]:[M4-XPM18000-0]],TablaControladores[[REFERENCIA]:[REFERENCIA]],TablaControladores[SC])*$AA203:$AJ203)</f>
        <v>8</v>
      </c>
      <c r="Y203" s="14" cm="1">
        <f t="array" ref="Y203">SUM(_xlfn.XLOOKUP(TablaSeleccionControladores[[#Headers],[M4-CGE04060-0]:[M4-XPM18000-0]],TablaControladores[[REFERENCIA]:[REFERENCIA]],TablaControladores[SD])*$AA203:$AJ203)</f>
        <v>6</v>
      </c>
      <c r="Z203" s="14">
        <f>SUM(TablaSeleccionControladores[[#This Row],[EA]:[SD]])</f>
        <v>67</v>
      </c>
      <c r="AB203" s="14">
        <v>1</v>
      </c>
      <c r="AH203" s="14">
        <v>1</v>
      </c>
      <c r="AI203" s="14">
        <v>0</v>
      </c>
      <c r="AJ203" s="14">
        <v>2</v>
      </c>
    </row>
    <row r="204" spans="17:36" x14ac:dyDescent="0.25">
      <c r="Q204">
        <f t="shared" si="5"/>
        <v>94</v>
      </c>
      <c r="R204" t="s">
        <v>828</v>
      </c>
      <c r="S204">
        <f>SUM(TablaSeleccionControladores[[#This Row],[M4-CGE04060-0]:[M4-CGM09090-0H]])</f>
        <v>1</v>
      </c>
      <c r="T204" s="14" cm="1">
        <f t="array" ref="T204">SUM(_xlfn.XLOOKUP(TablaSeleccionControladores[[#Headers],[M4-CGE04060-0]:[M4-XPM18000-0]],TablaControladores[[REFERENCIA]:[REFERENCIA]],TablaControladores[EA])*$AA204:$AJ204)</f>
        <v>0</v>
      </c>
      <c r="U204" s="14" cm="1">
        <f t="array" ref="U204">SUM(_xlfn.XLOOKUP(TablaSeleccionControladores[[#Headers],[M4-CGE04060-0]:[M4-XPM18000-0]],TablaControladores[[REFERENCIA]:[REFERENCIA]],TablaControladores[EU])*$AA204:$AJ204)</f>
        <v>10</v>
      </c>
      <c r="V204" s="14" cm="1">
        <f t="array" ref="V204">SUM(_xlfn.XLOOKUP(TablaSeleccionControladores[[#Headers],[M4-CGE04060-0]:[M4-XPM18000-0]],TablaControladores[[REFERENCIA]:[REFERENCIA]],TablaControladores[ED])*$AA204:$AJ204)</f>
        <v>57</v>
      </c>
      <c r="W204" s="14" cm="1">
        <f t="array" ref="W204">SUM(_xlfn.XLOOKUP(TablaSeleccionControladores[[#Headers],[M4-CGE04060-0]:[M4-XPM18000-0]],TablaControladores[[REFERENCIA]:[REFERENCIA]],TablaControladores[SA])*$AA204:$AJ204)</f>
        <v>4</v>
      </c>
      <c r="X204" s="14" cm="1">
        <f t="array" ref="X204">SUM(_xlfn.XLOOKUP(TablaSeleccionControladores[[#Headers],[M4-CGE04060-0]:[M4-XPM18000-0]],TablaControladores[[REFERENCIA]:[REFERENCIA]],TablaControladores[SC])*$AA204:$AJ204)</f>
        <v>8</v>
      </c>
      <c r="Y204" s="14" cm="1">
        <f t="array" ref="Y204">SUM(_xlfn.XLOOKUP(TablaSeleccionControladores[[#Headers],[M4-CGE04060-0]:[M4-XPM18000-0]],TablaControladores[[REFERENCIA]:[REFERENCIA]],TablaControladores[SD])*$AA204:$AJ204)</f>
        <v>6</v>
      </c>
      <c r="Z204" s="14">
        <f>SUM(TablaSeleccionControladores[[#This Row],[EA]:[SD]])</f>
        <v>85</v>
      </c>
      <c r="AB204" s="14">
        <v>1</v>
      </c>
      <c r="AH204" s="14">
        <v>1</v>
      </c>
      <c r="AI204" s="14">
        <v>0</v>
      </c>
      <c r="AJ204" s="14">
        <v>3</v>
      </c>
    </row>
    <row r="205" spans="17:36" x14ac:dyDescent="0.25">
      <c r="Q205">
        <f t="shared" si="5"/>
        <v>95</v>
      </c>
      <c r="R205" t="s">
        <v>828</v>
      </c>
      <c r="S205">
        <f>SUM(TablaSeleccionControladores[[#This Row],[M4-CGE04060-0]:[M4-CGM09090-0H]])</f>
        <v>1</v>
      </c>
      <c r="T205" s="14" cm="1">
        <f t="array" ref="T205">SUM(_xlfn.XLOOKUP(TablaSeleccionControladores[[#Headers],[M4-CGE04060-0]:[M4-XPM18000-0]],TablaControladores[[REFERENCIA]:[REFERENCIA]],TablaControladores[EA])*$AA205:$AJ205)</f>
        <v>0</v>
      </c>
      <c r="U205" s="14" cm="1">
        <f t="array" ref="U205">SUM(_xlfn.XLOOKUP(TablaSeleccionControladores[[#Headers],[M4-CGE04060-0]:[M4-XPM18000-0]],TablaControladores[[REFERENCIA]:[REFERENCIA]],TablaControladores[EU])*$AA205:$AJ205)</f>
        <v>10</v>
      </c>
      <c r="V205" s="14" cm="1">
        <f t="array" ref="V205">SUM(_xlfn.XLOOKUP(TablaSeleccionControladores[[#Headers],[M4-CGE04060-0]:[M4-XPM18000-0]],TablaControladores[[REFERENCIA]:[REFERENCIA]],TablaControladores[ED])*$AA205:$AJ205)</f>
        <v>75</v>
      </c>
      <c r="W205" s="14" cm="1">
        <f t="array" ref="W205">SUM(_xlfn.XLOOKUP(TablaSeleccionControladores[[#Headers],[M4-CGE04060-0]:[M4-XPM18000-0]],TablaControladores[[REFERENCIA]:[REFERENCIA]],TablaControladores[SA])*$AA205:$AJ205)</f>
        <v>4</v>
      </c>
      <c r="X205" s="14" cm="1">
        <f t="array" ref="X205">SUM(_xlfn.XLOOKUP(TablaSeleccionControladores[[#Headers],[M4-CGE04060-0]:[M4-XPM18000-0]],TablaControladores[[REFERENCIA]:[REFERENCIA]],TablaControladores[SC])*$AA205:$AJ205)</f>
        <v>8</v>
      </c>
      <c r="Y205" s="14" cm="1">
        <f t="array" ref="Y205">SUM(_xlfn.XLOOKUP(TablaSeleccionControladores[[#Headers],[M4-CGE04060-0]:[M4-XPM18000-0]],TablaControladores[[REFERENCIA]:[REFERENCIA]],TablaControladores[SD])*$AA205:$AJ205)</f>
        <v>6</v>
      </c>
      <c r="Z205" s="14">
        <f>SUM(TablaSeleccionControladores[[#This Row],[EA]:[SD]])</f>
        <v>103</v>
      </c>
      <c r="AB205" s="14">
        <v>1</v>
      </c>
      <c r="AH205" s="14">
        <v>1</v>
      </c>
      <c r="AI205" s="14">
        <v>0</v>
      </c>
      <c r="AJ205" s="14">
        <v>4</v>
      </c>
    </row>
    <row r="206" spans="17:36" x14ac:dyDescent="0.25">
      <c r="Q206">
        <f t="shared" si="5"/>
        <v>96</v>
      </c>
      <c r="R206" t="s">
        <v>828</v>
      </c>
      <c r="S206">
        <f>SUM(TablaSeleccionControladores[[#This Row],[M4-CGE04060-0]:[M4-CGM09090-0H]])</f>
        <v>1</v>
      </c>
      <c r="T206" s="14" cm="1">
        <f t="array" ref="T206">SUM(_xlfn.XLOOKUP(TablaSeleccionControladores[[#Headers],[M4-CGE04060-0]:[M4-XPM18000-0]],TablaControladores[[REFERENCIA]:[REFERENCIA]],TablaControladores[EA])*$AA206:$AJ206)</f>
        <v>0</v>
      </c>
      <c r="U206" s="14" cm="1">
        <f t="array" ref="U206">SUM(_xlfn.XLOOKUP(TablaSeleccionControladores[[#Headers],[M4-CGE04060-0]:[M4-XPM18000-0]],TablaControladores[[REFERENCIA]:[REFERENCIA]],TablaControladores[EU])*$AA206:$AJ206)</f>
        <v>10</v>
      </c>
      <c r="V206" s="14" cm="1">
        <f t="array" ref="V206">SUM(_xlfn.XLOOKUP(TablaSeleccionControladores[[#Headers],[M4-CGE04060-0]:[M4-XPM18000-0]],TablaControladores[[REFERENCIA]:[REFERENCIA]],TablaControladores[ED])*$AA206:$AJ206)</f>
        <v>93</v>
      </c>
      <c r="W206" s="14" cm="1">
        <f t="array" ref="W206">SUM(_xlfn.XLOOKUP(TablaSeleccionControladores[[#Headers],[M4-CGE04060-0]:[M4-XPM18000-0]],TablaControladores[[REFERENCIA]:[REFERENCIA]],TablaControladores[SA])*$AA206:$AJ206)</f>
        <v>4</v>
      </c>
      <c r="X206" s="14" cm="1">
        <f t="array" ref="X206">SUM(_xlfn.XLOOKUP(TablaSeleccionControladores[[#Headers],[M4-CGE04060-0]:[M4-XPM18000-0]],TablaControladores[[REFERENCIA]:[REFERENCIA]],TablaControladores[SC])*$AA206:$AJ206)</f>
        <v>8</v>
      </c>
      <c r="Y206" s="14" cm="1">
        <f t="array" ref="Y206">SUM(_xlfn.XLOOKUP(TablaSeleccionControladores[[#Headers],[M4-CGE04060-0]:[M4-XPM18000-0]],TablaControladores[[REFERENCIA]:[REFERENCIA]],TablaControladores[SD])*$AA206:$AJ206)</f>
        <v>6</v>
      </c>
      <c r="Z206" s="14">
        <f>SUM(TablaSeleccionControladores[[#This Row],[EA]:[SD]])</f>
        <v>121</v>
      </c>
      <c r="AB206" s="14">
        <v>1</v>
      </c>
      <c r="AH206" s="14">
        <v>1</v>
      </c>
      <c r="AI206" s="14">
        <v>0</v>
      </c>
      <c r="AJ206" s="14">
        <v>5</v>
      </c>
    </row>
    <row r="207" spans="17:36" x14ac:dyDescent="0.25">
      <c r="Q207">
        <f t="shared" si="5"/>
        <v>97</v>
      </c>
      <c r="R207" t="s">
        <v>828</v>
      </c>
      <c r="S207">
        <f>SUM(TablaSeleccionControladores[[#This Row],[M4-CGE04060-0]:[M4-CGM09090-0H]])</f>
        <v>1</v>
      </c>
      <c r="T207" s="14" cm="1">
        <f t="array" ref="T207">SUM(_xlfn.XLOOKUP(TablaSeleccionControladores[[#Headers],[M4-CGE04060-0]:[M4-XPM18000-0]],TablaControladores[[REFERENCIA]:[REFERENCIA]],TablaControladores[EA])*$AA207:$AJ207)</f>
        <v>0</v>
      </c>
      <c r="U207" s="14" cm="1">
        <f t="array" ref="U207">SUM(_xlfn.XLOOKUP(TablaSeleccionControladores[[#Headers],[M4-CGE04060-0]:[M4-XPM18000-0]],TablaControladores[[REFERENCIA]:[REFERENCIA]],TablaControladores[EU])*$AA207:$AJ207)</f>
        <v>17</v>
      </c>
      <c r="V207" s="14" cm="1">
        <f t="array" ref="V207">SUM(_xlfn.XLOOKUP(TablaSeleccionControladores[[#Headers],[M4-CGE04060-0]:[M4-XPM18000-0]],TablaControladores[[REFERENCIA]:[REFERENCIA]],TablaControladores[ED])*$AA207:$AJ207)</f>
        <v>5</v>
      </c>
      <c r="W207" s="14" cm="1">
        <f t="array" ref="W207">SUM(_xlfn.XLOOKUP(TablaSeleccionControladores[[#Headers],[M4-CGE04060-0]:[M4-XPM18000-0]],TablaControladores[[REFERENCIA]:[REFERENCIA]],TablaControladores[SA])*$AA207:$AJ207)</f>
        <v>6</v>
      </c>
      <c r="X207" s="14" cm="1">
        <f t="array" ref="X207">SUM(_xlfn.XLOOKUP(TablaSeleccionControladores[[#Headers],[M4-CGE04060-0]:[M4-XPM18000-0]],TablaControladores[[REFERENCIA]:[REFERENCIA]],TablaControladores[SC])*$AA207:$AJ207)</f>
        <v>12</v>
      </c>
      <c r="Y207" s="14" cm="1">
        <f t="array" ref="Y207">SUM(_xlfn.XLOOKUP(TablaSeleccionControladores[[#Headers],[M4-CGE04060-0]:[M4-XPM18000-0]],TablaControladores[[REFERENCIA]:[REFERENCIA]],TablaControladores[SD])*$AA207:$AJ207)</f>
        <v>9</v>
      </c>
      <c r="Z207" s="14">
        <f>SUM(TablaSeleccionControladores[[#This Row],[EA]:[SD]])</f>
        <v>49</v>
      </c>
      <c r="AB207" s="14">
        <v>1</v>
      </c>
      <c r="AH207" s="14">
        <v>1</v>
      </c>
      <c r="AI207" s="14">
        <v>1</v>
      </c>
      <c r="AJ207" s="14">
        <v>0</v>
      </c>
    </row>
    <row r="208" spans="17:36" x14ac:dyDescent="0.25">
      <c r="Q208">
        <f t="shared" si="5"/>
        <v>98</v>
      </c>
      <c r="R208" t="s">
        <v>828</v>
      </c>
      <c r="S208">
        <f>SUM(TablaSeleccionControladores[[#This Row],[M4-CGE04060-0]:[M4-CGM09090-0H]])</f>
        <v>1</v>
      </c>
      <c r="T208" s="14" cm="1">
        <f t="array" ref="T208">SUM(_xlfn.XLOOKUP(TablaSeleccionControladores[[#Headers],[M4-CGE04060-0]:[M4-XPM18000-0]],TablaControladores[[REFERENCIA]:[REFERENCIA]],TablaControladores[EA])*$AA208:$AJ208)</f>
        <v>0</v>
      </c>
      <c r="U208" s="14" cm="1">
        <f t="array" ref="U208">SUM(_xlfn.XLOOKUP(TablaSeleccionControladores[[#Headers],[M4-CGE04060-0]:[M4-XPM18000-0]],TablaControladores[[REFERENCIA]:[REFERENCIA]],TablaControladores[EU])*$AA208:$AJ208)</f>
        <v>17</v>
      </c>
      <c r="V208" s="14" cm="1">
        <f t="array" ref="V208">SUM(_xlfn.XLOOKUP(TablaSeleccionControladores[[#Headers],[M4-CGE04060-0]:[M4-XPM18000-0]],TablaControladores[[REFERENCIA]:[REFERENCIA]],TablaControladores[ED])*$AA208:$AJ208)</f>
        <v>23</v>
      </c>
      <c r="W208" s="14" cm="1">
        <f t="array" ref="W208">SUM(_xlfn.XLOOKUP(TablaSeleccionControladores[[#Headers],[M4-CGE04060-0]:[M4-XPM18000-0]],TablaControladores[[REFERENCIA]:[REFERENCIA]],TablaControladores[SA])*$AA208:$AJ208)</f>
        <v>6</v>
      </c>
      <c r="X208" s="14" cm="1">
        <f t="array" ref="X208">SUM(_xlfn.XLOOKUP(TablaSeleccionControladores[[#Headers],[M4-CGE04060-0]:[M4-XPM18000-0]],TablaControladores[[REFERENCIA]:[REFERENCIA]],TablaControladores[SC])*$AA208:$AJ208)</f>
        <v>12</v>
      </c>
      <c r="Y208" s="14" cm="1">
        <f t="array" ref="Y208">SUM(_xlfn.XLOOKUP(TablaSeleccionControladores[[#Headers],[M4-CGE04060-0]:[M4-XPM18000-0]],TablaControladores[[REFERENCIA]:[REFERENCIA]],TablaControladores[SD])*$AA208:$AJ208)</f>
        <v>9</v>
      </c>
      <c r="Z208" s="14">
        <f>SUM(TablaSeleccionControladores[[#This Row],[EA]:[SD]])</f>
        <v>67</v>
      </c>
      <c r="AB208" s="14">
        <v>1</v>
      </c>
      <c r="AH208" s="14">
        <v>1</v>
      </c>
      <c r="AI208" s="14">
        <v>1</v>
      </c>
      <c r="AJ208" s="14">
        <v>1</v>
      </c>
    </row>
    <row r="209" spans="17:36" x14ac:dyDescent="0.25">
      <c r="Q209">
        <f t="shared" si="5"/>
        <v>99</v>
      </c>
      <c r="R209" t="s">
        <v>828</v>
      </c>
      <c r="S209">
        <f>SUM(TablaSeleccionControladores[[#This Row],[M4-CGE04060-0]:[M4-CGM09090-0H]])</f>
        <v>1</v>
      </c>
      <c r="T209" s="14" cm="1">
        <f t="array" ref="T209">SUM(_xlfn.XLOOKUP(TablaSeleccionControladores[[#Headers],[M4-CGE04060-0]:[M4-XPM18000-0]],TablaControladores[[REFERENCIA]:[REFERENCIA]],TablaControladores[EA])*$AA209:$AJ209)</f>
        <v>0</v>
      </c>
      <c r="U209" s="14" cm="1">
        <f t="array" ref="U209">SUM(_xlfn.XLOOKUP(TablaSeleccionControladores[[#Headers],[M4-CGE04060-0]:[M4-XPM18000-0]],TablaControladores[[REFERENCIA]:[REFERENCIA]],TablaControladores[EU])*$AA209:$AJ209)</f>
        <v>17</v>
      </c>
      <c r="V209" s="14" cm="1">
        <f t="array" ref="V209">SUM(_xlfn.XLOOKUP(TablaSeleccionControladores[[#Headers],[M4-CGE04060-0]:[M4-XPM18000-0]],TablaControladores[[REFERENCIA]:[REFERENCIA]],TablaControladores[ED])*$AA209:$AJ209)</f>
        <v>41</v>
      </c>
      <c r="W209" s="14" cm="1">
        <f t="array" ref="W209">SUM(_xlfn.XLOOKUP(TablaSeleccionControladores[[#Headers],[M4-CGE04060-0]:[M4-XPM18000-0]],TablaControladores[[REFERENCIA]:[REFERENCIA]],TablaControladores[SA])*$AA209:$AJ209)</f>
        <v>6</v>
      </c>
      <c r="X209" s="14" cm="1">
        <f t="array" ref="X209">SUM(_xlfn.XLOOKUP(TablaSeleccionControladores[[#Headers],[M4-CGE04060-0]:[M4-XPM18000-0]],TablaControladores[[REFERENCIA]:[REFERENCIA]],TablaControladores[SC])*$AA209:$AJ209)</f>
        <v>12</v>
      </c>
      <c r="Y209" s="14" cm="1">
        <f t="array" ref="Y209">SUM(_xlfn.XLOOKUP(TablaSeleccionControladores[[#Headers],[M4-CGE04060-0]:[M4-XPM18000-0]],TablaControladores[[REFERENCIA]:[REFERENCIA]],TablaControladores[SD])*$AA209:$AJ209)</f>
        <v>9</v>
      </c>
      <c r="Z209" s="14">
        <f>SUM(TablaSeleccionControladores[[#This Row],[EA]:[SD]])</f>
        <v>85</v>
      </c>
      <c r="AB209" s="14">
        <v>1</v>
      </c>
      <c r="AH209" s="14">
        <v>1</v>
      </c>
      <c r="AI209" s="14">
        <v>1</v>
      </c>
      <c r="AJ209" s="14">
        <v>2</v>
      </c>
    </row>
    <row r="210" spans="17:36" x14ac:dyDescent="0.25">
      <c r="Q210">
        <f t="shared" si="5"/>
        <v>100</v>
      </c>
      <c r="R210" t="s">
        <v>828</v>
      </c>
      <c r="S210">
        <f>SUM(TablaSeleccionControladores[[#This Row],[M4-CGE04060-0]:[M4-CGM09090-0H]])</f>
        <v>1</v>
      </c>
      <c r="T210" s="14" cm="1">
        <f t="array" ref="T210">SUM(_xlfn.XLOOKUP(TablaSeleccionControladores[[#Headers],[M4-CGE04060-0]:[M4-XPM18000-0]],TablaControladores[[REFERENCIA]:[REFERENCIA]],TablaControladores[EA])*$AA210:$AJ210)</f>
        <v>0</v>
      </c>
      <c r="U210" s="14" cm="1">
        <f t="array" ref="U210">SUM(_xlfn.XLOOKUP(TablaSeleccionControladores[[#Headers],[M4-CGE04060-0]:[M4-XPM18000-0]],TablaControladores[[REFERENCIA]:[REFERENCIA]],TablaControladores[EU])*$AA210:$AJ210)</f>
        <v>17</v>
      </c>
      <c r="V210" s="14" cm="1">
        <f t="array" ref="V210">SUM(_xlfn.XLOOKUP(TablaSeleccionControladores[[#Headers],[M4-CGE04060-0]:[M4-XPM18000-0]],TablaControladores[[REFERENCIA]:[REFERENCIA]],TablaControladores[ED])*$AA210:$AJ210)</f>
        <v>59</v>
      </c>
      <c r="W210" s="14" cm="1">
        <f t="array" ref="W210">SUM(_xlfn.XLOOKUP(TablaSeleccionControladores[[#Headers],[M4-CGE04060-0]:[M4-XPM18000-0]],TablaControladores[[REFERENCIA]:[REFERENCIA]],TablaControladores[SA])*$AA210:$AJ210)</f>
        <v>6</v>
      </c>
      <c r="X210" s="14" cm="1">
        <f t="array" ref="X210">SUM(_xlfn.XLOOKUP(TablaSeleccionControladores[[#Headers],[M4-CGE04060-0]:[M4-XPM18000-0]],TablaControladores[[REFERENCIA]:[REFERENCIA]],TablaControladores[SC])*$AA210:$AJ210)</f>
        <v>12</v>
      </c>
      <c r="Y210" s="14" cm="1">
        <f t="array" ref="Y210">SUM(_xlfn.XLOOKUP(TablaSeleccionControladores[[#Headers],[M4-CGE04060-0]:[M4-XPM18000-0]],TablaControladores[[REFERENCIA]:[REFERENCIA]],TablaControladores[SD])*$AA210:$AJ210)</f>
        <v>9</v>
      </c>
      <c r="Z210" s="14">
        <f>SUM(TablaSeleccionControladores[[#This Row],[EA]:[SD]])</f>
        <v>103</v>
      </c>
      <c r="AB210" s="14">
        <v>1</v>
      </c>
      <c r="AH210" s="14">
        <v>1</v>
      </c>
      <c r="AI210" s="14">
        <v>1</v>
      </c>
      <c r="AJ210" s="14">
        <v>3</v>
      </c>
    </row>
    <row r="211" spans="17:36" x14ac:dyDescent="0.25">
      <c r="Q211">
        <f t="shared" si="5"/>
        <v>101</v>
      </c>
      <c r="R211" t="s">
        <v>828</v>
      </c>
      <c r="S211">
        <f>SUM(TablaSeleccionControladores[[#This Row],[M4-CGE04060-0]:[M4-CGM09090-0H]])</f>
        <v>1</v>
      </c>
      <c r="T211" s="14" cm="1">
        <f t="array" ref="T211">SUM(_xlfn.XLOOKUP(TablaSeleccionControladores[[#Headers],[M4-CGE04060-0]:[M4-XPM18000-0]],TablaControladores[[REFERENCIA]:[REFERENCIA]],TablaControladores[EA])*$AA211:$AJ211)</f>
        <v>0</v>
      </c>
      <c r="U211" s="14" cm="1">
        <f t="array" ref="U211">SUM(_xlfn.XLOOKUP(TablaSeleccionControladores[[#Headers],[M4-CGE04060-0]:[M4-XPM18000-0]],TablaControladores[[REFERENCIA]:[REFERENCIA]],TablaControladores[EU])*$AA211:$AJ211)</f>
        <v>17</v>
      </c>
      <c r="V211" s="14" cm="1">
        <f t="array" ref="V211">SUM(_xlfn.XLOOKUP(TablaSeleccionControladores[[#Headers],[M4-CGE04060-0]:[M4-XPM18000-0]],TablaControladores[[REFERENCIA]:[REFERENCIA]],TablaControladores[ED])*$AA211:$AJ211)</f>
        <v>77</v>
      </c>
      <c r="W211" s="14" cm="1">
        <f t="array" ref="W211">SUM(_xlfn.XLOOKUP(TablaSeleccionControladores[[#Headers],[M4-CGE04060-0]:[M4-XPM18000-0]],TablaControladores[[REFERENCIA]:[REFERENCIA]],TablaControladores[SA])*$AA211:$AJ211)</f>
        <v>6</v>
      </c>
      <c r="X211" s="14" cm="1">
        <f t="array" ref="X211">SUM(_xlfn.XLOOKUP(TablaSeleccionControladores[[#Headers],[M4-CGE04060-0]:[M4-XPM18000-0]],TablaControladores[[REFERENCIA]:[REFERENCIA]],TablaControladores[SC])*$AA211:$AJ211)</f>
        <v>12</v>
      </c>
      <c r="Y211" s="14" cm="1">
        <f t="array" ref="Y211">SUM(_xlfn.XLOOKUP(TablaSeleccionControladores[[#Headers],[M4-CGE04060-0]:[M4-XPM18000-0]],TablaControladores[[REFERENCIA]:[REFERENCIA]],TablaControladores[SD])*$AA211:$AJ211)</f>
        <v>9</v>
      </c>
      <c r="Z211" s="14">
        <f>SUM(TablaSeleccionControladores[[#This Row],[EA]:[SD]])</f>
        <v>121</v>
      </c>
      <c r="AB211" s="14">
        <v>1</v>
      </c>
      <c r="AH211" s="14">
        <v>1</v>
      </c>
      <c r="AI211" s="14">
        <v>1</v>
      </c>
      <c r="AJ211" s="14">
        <v>4</v>
      </c>
    </row>
    <row r="212" spans="17:36" x14ac:dyDescent="0.25">
      <c r="Q212">
        <f t="shared" si="5"/>
        <v>102</v>
      </c>
      <c r="R212" t="s">
        <v>828</v>
      </c>
      <c r="S212">
        <f>SUM(TablaSeleccionControladores[[#This Row],[M4-CGE04060-0]:[M4-CGM09090-0H]])</f>
        <v>1</v>
      </c>
      <c r="T212" s="14" cm="1">
        <f t="array" ref="T212">SUM(_xlfn.XLOOKUP(TablaSeleccionControladores[[#Headers],[M4-CGE04060-0]:[M4-XPM18000-0]],TablaControladores[[REFERENCIA]:[REFERENCIA]],TablaControladores[EA])*$AA212:$AJ212)</f>
        <v>0</v>
      </c>
      <c r="U212" s="14" cm="1">
        <f t="array" ref="U212">SUM(_xlfn.XLOOKUP(TablaSeleccionControladores[[#Headers],[M4-CGE04060-0]:[M4-XPM18000-0]],TablaControladores[[REFERENCIA]:[REFERENCIA]],TablaControladores[EU])*$AA212:$AJ212)</f>
        <v>24</v>
      </c>
      <c r="V212" s="14" cm="1">
        <f t="array" ref="V212">SUM(_xlfn.XLOOKUP(TablaSeleccionControladores[[#Headers],[M4-CGE04060-0]:[M4-XPM18000-0]],TablaControladores[[REFERENCIA]:[REFERENCIA]],TablaControladores[ED])*$AA212:$AJ212)</f>
        <v>7</v>
      </c>
      <c r="W212" s="14" cm="1">
        <f t="array" ref="W212">SUM(_xlfn.XLOOKUP(TablaSeleccionControladores[[#Headers],[M4-CGE04060-0]:[M4-XPM18000-0]],TablaControladores[[REFERENCIA]:[REFERENCIA]],TablaControladores[SA])*$AA212:$AJ212)</f>
        <v>8</v>
      </c>
      <c r="X212" s="14" cm="1">
        <f t="array" ref="X212">SUM(_xlfn.XLOOKUP(TablaSeleccionControladores[[#Headers],[M4-CGE04060-0]:[M4-XPM18000-0]],TablaControladores[[REFERENCIA]:[REFERENCIA]],TablaControladores[SC])*$AA212:$AJ212)</f>
        <v>16</v>
      </c>
      <c r="Y212" s="14" cm="1">
        <f t="array" ref="Y212">SUM(_xlfn.XLOOKUP(TablaSeleccionControladores[[#Headers],[M4-CGE04060-0]:[M4-XPM18000-0]],TablaControladores[[REFERENCIA]:[REFERENCIA]],TablaControladores[SD])*$AA212:$AJ212)</f>
        <v>12</v>
      </c>
      <c r="Z212" s="14">
        <f>SUM(TablaSeleccionControladores[[#This Row],[EA]:[SD]])</f>
        <v>67</v>
      </c>
      <c r="AB212" s="14">
        <v>1</v>
      </c>
      <c r="AH212" s="14">
        <v>1</v>
      </c>
      <c r="AI212" s="14">
        <v>2</v>
      </c>
      <c r="AJ212" s="14">
        <v>0</v>
      </c>
    </row>
    <row r="213" spans="17:36" x14ac:dyDescent="0.25">
      <c r="Q213">
        <f t="shared" si="5"/>
        <v>103</v>
      </c>
      <c r="R213" t="s">
        <v>828</v>
      </c>
      <c r="S213">
        <f>SUM(TablaSeleccionControladores[[#This Row],[M4-CGE04060-0]:[M4-CGM09090-0H]])</f>
        <v>1</v>
      </c>
      <c r="T213" s="14" cm="1">
        <f t="array" ref="T213">SUM(_xlfn.XLOOKUP(TablaSeleccionControladores[[#Headers],[M4-CGE04060-0]:[M4-XPM18000-0]],TablaControladores[[REFERENCIA]:[REFERENCIA]],TablaControladores[EA])*$AA213:$AJ213)</f>
        <v>0</v>
      </c>
      <c r="U213" s="14" cm="1">
        <f t="array" ref="U213">SUM(_xlfn.XLOOKUP(TablaSeleccionControladores[[#Headers],[M4-CGE04060-0]:[M4-XPM18000-0]],TablaControladores[[REFERENCIA]:[REFERENCIA]],TablaControladores[EU])*$AA213:$AJ213)</f>
        <v>24</v>
      </c>
      <c r="V213" s="14" cm="1">
        <f t="array" ref="V213">SUM(_xlfn.XLOOKUP(TablaSeleccionControladores[[#Headers],[M4-CGE04060-0]:[M4-XPM18000-0]],TablaControladores[[REFERENCIA]:[REFERENCIA]],TablaControladores[ED])*$AA213:$AJ213)</f>
        <v>25</v>
      </c>
      <c r="W213" s="14" cm="1">
        <f t="array" ref="W213">SUM(_xlfn.XLOOKUP(TablaSeleccionControladores[[#Headers],[M4-CGE04060-0]:[M4-XPM18000-0]],TablaControladores[[REFERENCIA]:[REFERENCIA]],TablaControladores[SA])*$AA213:$AJ213)</f>
        <v>8</v>
      </c>
      <c r="X213" s="14" cm="1">
        <f t="array" ref="X213">SUM(_xlfn.XLOOKUP(TablaSeleccionControladores[[#Headers],[M4-CGE04060-0]:[M4-XPM18000-0]],TablaControladores[[REFERENCIA]:[REFERENCIA]],TablaControladores[SC])*$AA213:$AJ213)</f>
        <v>16</v>
      </c>
      <c r="Y213" s="14" cm="1">
        <f t="array" ref="Y213">SUM(_xlfn.XLOOKUP(TablaSeleccionControladores[[#Headers],[M4-CGE04060-0]:[M4-XPM18000-0]],TablaControladores[[REFERENCIA]:[REFERENCIA]],TablaControladores[SD])*$AA213:$AJ213)</f>
        <v>12</v>
      </c>
      <c r="Z213" s="14">
        <f>SUM(TablaSeleccionControladores[[#This Row],[EA]:[SD]])</f>
        <v>85</v>
      </c>
      <c r="AB213" s="14">
        <v>1</v>
      </c>
      <c r="AH213" s="14">
        <v>1</v>
      </c>
      <c r="AI213" s="14">
        <v>2</v>
      </c>
      <c r="AJ213" s="14">
        <v>1</v>
      </c>
    </row>
    <row r="214" spans="17:36" x14ac:dyDescent="0.25">
      <c r="Q214">
        <f t="shared" si="5"/>
        <v>104</v>
      </c>
      <c r="R214" t="s">
        <v>828</v>
      </c>
      <c r="S214">
        <f>SUM(TablaSeleccionControladores[[#This Row],[M4-CGE04060-0]:[M4-CGM09090-0H]])</f>
        <v>1</v>
      </c>
      <c r="T214" s="14" cm="1">
        <f t="array" ref="T214">SUM(_xlfn.XLOOKUP(TablaSeleccionControladores[[#Headers],[M4-CGE04060-0]:[M4-XPM18000-0]],TablaControladores[[REFERENCIA]:[REFERENCIA]],TablaControladores[EA])*$AA214:$AJ214)</f>
        <v>0</v>
      </c>
      <c r="U214" s="14" cm="1">
        <f t="array" ref="U214">SUM(_xlfn.XLOOKUP(TablaSeleccionControladores[[#Headers],[M4-CGE04060-0]:[M4-XPM18000-0]],TablaControladores[[REFERENCIA]:[REFERENCIA]],TablaControladores[EU])*$AA214:$AJ214)</f>
        <v>24</v>
      </c>
      <c r="V214" s="14" cm="1">
        <f t="array" ref="V214">SUM(_xlfn.XLOOKUP(TablaSeleccionControladores[[#Headers],[M4-CGE04060-0]:[M4-XPM18000-0]],TablaControladores[[REFERENCIA]:[REFERENCIA]],TablaControladores[ED])*$AA214:$AJ214)</f>
        <v>43</v>
      </c>
      <c r="W214" s="14" cm="1">
        <f t="array" ref="W214">SUM(_xlfn.XLOOKUP(TablaSeleccionControladores[[#Headers],[M4-CGE04060-0]:[M4-XPM18000-0]],TablaControladores[[REFERENCIA]:[REFERENCIA]],TablaControladores[SA])*$AA214:$AJ214)</f>
        <v>8</v>
      </c>
      <c r="X214" s="14" cm="1">
        <f t="array" ref="X214">SUM(_xlfn.XLOOKUP(TablaSeleccionControladores[[#Headers],[M4-CGE04060-0]:[M4-XPM18000-0]],TablaControladores[[REFERENCIA]:[REFERENCIA]],TablaControladores[SC])*$AA214:$AJ214)</f>
        <v>16</v>
      </c>
      <c r="Y214" s="14" cm="1">
        <f t="array" ref="Y214">SUM(_xlfn.XLOOKUP(TablaSeleccionControladores[[#Headers],[M4-CGE04060-0]:[M4-XPM18000-0]],TablaControladores[[REFERENCIA]:[REFERENCIA]],TablaControladores[SD])*$AA214:$AJ214)</f>
        <v>12</v>
      </c>
      <c r="Z214" s="14">
        <f>SUM(TablaSeleccionControladores[[#This Row],[EA]:[SD]])</f>
        <v>103</v>
      </c>
      <c r="AB214" s="14">
        <v>1</v>
      </c>
      <c r="AH214" s="14">
        <v>1</v>
      </c>
      <c r="AI214" s="14">
        <v>2</v>
      </c>
      <c r="AJ214" s="14">
        <v>2</v>
      </c>
    </row>
    <row r="215" spans="17:36" x14ac:dyDescent="0.25">
      <c r="Q215">
        <f t="shared" si="5"/>
        <v>105</v>
      </c>
      <c r="R215" t="s">
        <v>828</v>
      </c>
      <c r="S215">
        <f>SUM(TablaSeleccionControladores[[#This Row],[M4-CGE04060-0]:[M4-CGM09090-0H]])</f>
        <v>1</v>
      </c>
      <c r="T215" s="14" cm="1">
        <f t="array" ref="T215">SUM(_xlfn.XLOOKUP(TablaSeleccionControladores[[#Headers],[M4-CGE04060-0]:[M4-XPM18000-0]],TablaControladores[[REFERENCIA]:[REFERENCIA]],TablaControladores[EA])*$AA215:$AJ215)</f>
        <v>0</v>
      </c>
      <c r="U215" s="14" cm="1">
        <f t="array" ref="U215">SUM(_xlfn.XLOOKUP(TablaSeleccionControladores[[#Headers],[M4-CGE04060-0]:[M4-XPM18000-0]],TablaControladores[[REFERENCIA]:[REFERENCIA]],TablaControladores[EU])*$AA215:$AJ215)</f>
        <v>24</v>
      </c>
      <c r="V215" s="14" cm="1">
        <f t="array" ref="V215">SUM(_xlfn.XLOOKUP(TablaSeleccionControladores[[#Headers],[M4-CGE04060-0]:[M4-XPM18000-0]],TablaControladores[[REFERENCIA]:[REFERENCIA]],TablaControladores[ED])*$AA215:$AJ215)</f>
        <v>61</v>
      </c>
      <c r="W215" s="14" cm="1">
        <f t="array" ref="W215">SUM(_xlfn.XLOOKUP(TablaSeleccionControladores[[#Headers],[M4-CGE04060-0]:[M4-XPM18000-0]],TablaControladores[[REFERENCIA]:[REFERENCIA]],TablaControladores[SA])*$AA215:$AJ215)</f>
        <v>8</v>
      </c>
      <c r="X215" s="14" cm="1">
        <f t="array" ref="X215">SUM(_xlfn.XLOOKUP(TablaSeleccionControladores[[#Headers],[M4-CGE04060-0]:[M4-XPM18000-0]],TablaControladores[[REFERENCIA]:[REFERENCIA]],TablaControladores[SC])*$AA215:$AJ215)</f>
        <v>16</v>
      </c>
      <c r="Y215" s="14" cm="1">
        <f t="array" ref="Y215">SUM(_xlfn.XLOOKUP(TablaSeleccionControladores[[#Headers],[M4-CGE04060-0]:[M4-XPM18000-0]],TablaControladores[[REFERENCIA]:[REFERENCIA]],TablaControladores[SD])*$AA215:$AJ215)</f>
        <v>12</v>
      </c>
      <c r="Z215" s="14">
        <f>SUM(TablaSeleccionControladores[[#This Row],[EA]:[SD]])</f>
        <v>121</v>
      </c>
      <c r="AB215" s="14">
        <v>1</v>
      </c>
      <c r="AH215" s="14">
        <v>1</v>
      </c>
      <c r="AI215" s="14">
        <v>2</v>
      </c>
      <c r="AJ215" s="14">
        <v>3</v>
      </c>
    </row>
    <row r="216" spans="17:36" x14ac:dyDescent="0.25">
      <c r="Q216">
        <f t="shared" si="5"/>
        <v>106</v>
      </c>
      <c r="R216" t="s">
        <v>828</v>
      </c>
      <c r="S216">
        <f>SUM(TablaSeleccionControladores[[#This Row],[M4-CGE04060-0]:[M4-CGM09090-0H]])</f>
        <v>1</v>
      </c>
      <c r="T216" s="14" cm="1">
        <f t="array" ref="T216">SUM(_xlfn.XLOOKUP(TablaSeleccionControladores[[#Headers],[M4-CGE04060-0]:[M4-XPM18000-0]],TablaControladores[[REFERENCIA]:[REFERENCIA]],TablaControladores[EA])*$AA216:$AJ216)</f>
        <v>0</v>
      </c>
      <c r="U216" s="14" cm="1">
        <f t="array" ref="U216">SUM(_xlfn.XLOOKUP(TablaSeleccionControladores[[#Headers],[M4-CGE04060-0]:[M4-XPM18000-0]],TablaControladores[[REFERENCIA]:[REFERENCIA]],TablaControladores[EU])*$AA216:$AJ216)</f>
        <v>31</v>
      </c>
      <c r="V216" s="14" cm="1">
        <f t="array" ref="V216">SUM(_xlfn.XLOOKUP(TablaSeleccionControladores[[#Headers],[M4-CGE04060-0]:[M4-XPM18000-0]],TablaControladores[[REFERENCIA]:[REFERENCIA]],TablaControladores[ED])*$AA216:$AJ216)</f>
        <v>9</v>
      </c>
      <c r="W216" s="14" cm="1">
        <f t="array" ref="W216">SUM(_xlfn.XLOOKUP(TablaSeleccionControladores[[#Headers],[M4-CGE04060-0]:[M4-XPM18000-0]],TablaControladores[[REFERENCIA]:[REFERENCIA]],TablaControladores[SA])*$AA216:$AJ216)</f>
        <v>10</v>
      </c>
      <c r="X216" s="14" cm="1">
        <f t="array" ref="X216">SUM(_xlfn.XLOOKUP(TablaSeleccionControladores[[#Headers],[M4-CGE04060-0]:[M4-XPM18000-0]],TablaControladores[[REFERENCIA]:[REFERENCIA]],TablaControladores[SC])*$AA216:$AJ216)</f>
        <v>20</v>
      </c>
      <c r="Y216" s="14" cm="1">
        <f t="array" ref="Y216">SUM(_xlfn.XLOOKUP(TablaSeleccionControladores[[#Headers],[M4-CGE04060-0]:[M4-XPM18000-0]],TablaControladores[[REFERENCIA]:[REFERENCIA]],TablaControladores[SD])*$AA216:$AJ216)</f>
        <v>15</v>
      </c>
      <c r="Z216" s="14">
        <f>SUM(TablaSeleccionControladores[[#This Row],[EA]:[SD]])</f>
        <v>85</v>
      </c>
      <c r="AB216" s="14">
        <v>1</v>
      </c>
      <c r="AH216" s="14">
        <v>1</v>
      </c>
      <c r="AI216" s="14">
        <v>3</v>
      </c>
      <c r="AJ216" s="14">
        <v>0</v>
      </c>
    </row>
    <row r="217" spans="17:36" x14ac:dyDescent="0.25">
      <c r="Q217">
        <f t="shared" si="5"/>
        <v>107</v>
      </c>
      <c r="R217" t="s">
        <v>828</v>
      </c>
      <c r="S217">
        <f>SUM(TablaSeleccionControladores[[#This Row],[M4-CGE04060-0]:[M4-CGM09090-0H]])</f>
        <v>1</v>
      </c>
      <c r="T217" s="14" cm="1">
        <f t="array" ref="T217">SUM(_xlfn.XLOOKUP(TablaSeleccionControladores[[#Headers],[M4-CGE04060-0]:[M4-XPM18000-0]],TablaControladores[[REFERENCIA]:[REFERENCIA]],TablaControladores[EA])*$AA217:$AJ217)</f>
        <v>0</v>
      </c>
      <c r="U217" s="14" cm="1">
        <f t="array" ref="U217">SUM(_xlfn.XLOOKUP(TablaSeleccionControladores[[#Headers],[M4-CGE04060-0]:[M4-XPM18000-0]],TablaControladores[[REFERENCIA]:[REFERENCIA]],TablaControladores[EU])*$AA217:$AJ217)</f>
        <v>31</v>
      </c>
      <c r="V217" s="14" cm="1">
        <f t="array" ref="V217">SUM(_xlfn.XLOOKUP(TablaSeleccionControladores[[#Headers],[M4-CGE04060-0]:[M4-XPM18000-0]],TablaControladores[[REFERENCIA]:[REFERENCIA]],TablaControladores[ED])*$AA217:$AJ217)</f>
        <v>27</v>
      </c>
      <c r="W217" s="14" cm="1">
        <f t="array" ref="W217">SUM(_xlfn.XLOOKUP(TablaSeleccionControladores[[#Headers],[M4-CGE04060-0]:[M4-XPM18000-0]],TablaControladores[[REFERENCIA]:[REFERENCIA]],TablaControladores[SA])*$AA217:$AJ217)</f>
        <v>10</v>
      </c>
      <c r="X217" s="14" cm="1">
        <f t="array" ref="X217">SUM(_xlfn.XLOOKUP(TablaSeleccionControladores[[#Headers],[M4-CGE04060-0]:[M4-XPM18000-0]],TablaControladores[[REFERENCIA]:[REFERENCIA]],TablaControladores[SC])*$AA217:$AJ217)</f>
        <v>20</v>
      </c>
      <c r="Y217" s="14" cm="1">
        <f t="array" ref="Y217">SUM(_xlfn.XLOOKUP(TablaSeleccionControladores[[#Headers],[M4-CGE04060-0]:[M4-XPM18000-0]],TablaControladores[[REFERENCIA]:[REFERENCIA]],TablaControladores[SD])*$AA217:$AJ217)</f>
        <v>15</v>
      </c>
      <c r="Z217" s="14">
        <f>SUM(TablaSeleccionControladores[[#This Row],[EA]:[SD]])</f>
        <v>103</v>
      </c>
      <c r="AB217" s="14">
        <v>1</v>
      </c>
      <c r="AH217" s="14">
        <v>1</v>
      </c>
      <c r="AI217" s="14">
        <v>3</v>
      </c>
      <c r="AJ217" s="14">
        <v>1</v>
      </c>
    </row>
    <row r="218" spans="17:36" x14ac:dyDescent="0.25">
      <c r="Q218">
        <f t="shared" si="5"/>
        <v>108</v>
      </c>
      <c r="R218" t="s">
        <v>828</v>
      </c>
      <c r="S218">
        <f>SUM(TablaSeleccionControladores[[#This Row],[M4-CGE04060-0]:[M4-CGM09090-0H]])</f>
        <v>1</v>
      </c>
      <c r="T218" s="14" cm="1">
        <f t="array" ref="T218">SUM(_xlfn.XLOOKUP(TablaSeleccionControladores[[#Headers],[M4-CGE04060-0]:[M4-XPM18000-0]],TablaControladores[[REFERENCIA]:[REFERENCIA]],TablaControladores[EA])*$AA218:$AJ218)</f>
        <v>0</v>
      </c>
      <c r="U218" s="14" cm="1">
        <f t="array" ref="U218">SUM(_xlfn.XLOOKUP(TablaSeleccionControladores[[#Headers],[M4-CGE04060-0]:[M4-XPM18000-0]],TablaControladores[[REFERENCIA]:[REFERENCIA]],TablaControladores[EU])*$AA218:$AJ218)</f>
        <v>31</v>
      </c>
      <c r="V218" s="14" cm="1">
        <f t="array" ref="V218">SUM(_xlfn.XLOOKUP(TablaSeleccionControladores[[#Headers],[M4-CGE04060-0]:[M4-XPM18000-0]],TablaControladores[[REFERENCIA]:[REFERENCIA]],TablaControladores[ED])*$AA218:$AJ218)</f>
        <v>45</v>
      </c>
      <c r="W218" s="14" cm="1">
        <f t="array" ref="W218">SUM(_xlfn.XLOOKUP(TablaSeleccionControladores[[#Headers],[M4-CGE04060-0]:[M4-XPM18000-0]],TablaControladores[[REFERENCIA]:[REFERENCIA]],TablaControladores[SA])*$AA218:$AJ218)</f>
        <v>10</v>
      </c>
      <c r="X218" s="14" cm="1">
        <f t="array" ref="X218">SUM(_xlfn.XLOOKUP(TablaSeleccionControladores[[#Headers],[M4-CGE04060-0]:[M4-XPM18000-0]],TablaControladores[[REFERENCIA]:[REFERENCIA]],TablaControladores[SC])*$AA218:$AJ218)</f>
        <v>20</v>
      </c>
      <c r="Y218" s="14" cm="1">
        <f t="array" ref="Y218">SUM(_xlfn.XLOOKUP(TablaSeleccionControladores[[#Headers],[M4-CGE04060-0]:[M4-XPM18000-0]],TablaControladores[[REFERENCIA]:[REFERENCIA]],TablaControladores[SD])*$AA218:$AJ218)</f>
        <v>15</v>
      </c>
      <c r="Z218" s="14">
        <f>SUM(TablaSeleccionControladores[[#This Row],[EA]:[SD]])</f>
        <v>121</v>
      </c>
      <c r="AB218" s="14">
        <v>1</v>
      </c>
      <c r="AH218" s="14">
        <v>1</v>
      </c>
      <c r="AI218" s="14">
        <v>3</v>
      </c>
      <c r="AJ218" s="14">
        <v>2</v>
      </c>
    </row>
    <row r="219" spans="17:36" x14ac:dyDescent="0.25">
      <c r="Q219">
        <f t="shared" si="5"/>
        <v>109</v>
      </c>
      <c r="R219" t="s">
        <v>828</v>
      </c>
      <c r="S219">
        <f>SUM(TablaSeleccionControladores[[#This Row],[M4-CGE04060-0]:[M4-CGM09090-0H]])</f>
        <v>1</v>
      </c>
      <c r="T219" s="14" cm="1">
        <f t="array" ref="T219">SUM(_xlfn.XLOOKUP(TablaSeleccionControladores[[#Headers],[M4-CGE04060-0]:[M4-XPM18000-0]],TablaControladores[[REFERENCIA]:[REFERENCIA]],TablaControladores[EA])*$AA219:$AJ219)</f>
        <v>0</v>
      </c>
      <c r="U219" s="14" cm="1">
        <f t="array" ref="U219">SUM(_xlfn.XLOOKUP(TablaSeleccionControladores[[#Headers],[M4-CGE04060-0]:[M4-XPM18000-0]],TablaControladores[[REFERENCIA]:[REFERENCIA]],TablaControladores[EU])*$AA219:$AJ219)</f>
        <v>38</v>
      </c>
      <c r="V219" s="14" cm="1">
        <f t="array" ref="V219">SUM(_xlfn.XLOOKUP(TablaSeleccionControladores[[#Headers],[M4-CGE04060-0]:[M4-XPM18000-0]],TablaControladores[[REFERENCIA]:[REFERENCIA]],TablaControladores[ED])*$AA219:$AJ219)</f>
        <v>11</v>
      </c>
      <c r="W219" s="14" cm="1">
        <f t="array" ref="W219">SUM(_xlfn.XLOOKUP(TablaSeleccionControladores[[#Headers],[M4-CGE04060-0]:[M4-XPM18000-0]],TablaControladores[[REFERENCIA]:[REFERENCIA]],TablaControladores[SA])*$AA219:$AJ219)</f>
        <v>12</v>
      </c>
      <c r="X219" s="14" cm="1">
        <f t="array" ref="X219">SUM(_xlfn.XLOOKUP(TablaSeleccionControladores[[#Headers],[M4-CGE04060-0]:[M4-XPM18000-0]],TablaControladores[[REFERENCIA]:[REFERENCIA]],TablaControladores[SC])*$AA219:$AJ219)</f>
        <v>24</v>
      </c>
      <c r="Y219" s="14" cm="1">
        <f t="array" ref="Y219">SUM(_xlfn.XLOOKUP(TablaSeleccionControladores[[#Headers],[M4-CGE04060-0]:[M4-XPM18000-0]],TablaControladores[[REFERENCIA]:[REFERENCIA]],TablaControladores[SD])*$AA219:$AJ219)</f>
        <v>18</v>
      </c>
      <c r="Z219" s="14">
        <f>SUM(TablaSeleccionControladores[[#This Row],[EA]:[SD]])</f>
        <v>103</v>
      </c>
      <c r="AB219" s="14">
        <v>1</v>
      </c>
      <c r="AH219" s="14">
        <v>1</v>
      </c>
      <c r="AI219" s="14">
        <v>4</v>
      </c>
      <c r="AJ219" s="14">
        <v>0</v>
      </c>
    </row>
    <row r="220" spans="17:36" x14ac:dyDescent="0.25">
      <c r="Q220">
        <f t="shared" si="5"/>
        <v>110</v>
      </c>
      <c r="R220" t="s">
        <v>828</v>
      </c>
      <c r="S220">
        <f>SUM(TablaSeleccionControladores[[#This Row],[M4-CGE04060-0]:[M4-CGM09090-0H]])</f>
        <v>1</v>
      </c>
      <c r="T220" s="14" cm="1">
        <f t="array" ref="T220">SUM(_xlfn.XLOOKUP(TablaSeleccionControladores[[#Headers],[M4-CGE04060-0]:[M4-XPM18000-0]],TablaControladores[[REFERENCIA]:[REFERENCIA]],TablaControladores[EA])*$AA220:$AJ220)</f>
        <v>0</v>
      </c>
      <c r="U220" s="14" cm="1">
        <f t="array" ref="U220">SUM(_xlfn.XLOOKUP(TablaSeleccionControladores[[#Headers],[M4-CGE04060-0]:[M4-XPM18000-0]],TablaControladores[[REFERENCIA]:[REFERENCIA]],TablaControladores[EU])*$AA220:$AJ220)</f>
        <v>38</v>
      </c>
      <c r="V220" s="14" cm="1">
        <f t="array" ref="V220">SUM(_xlfn.XLOOKUP(TablaSeleccionControladores[[#Headers],[M4-CGE04060-0]:[M4-XPM18000-0]],TablaControladores[[REFERENCIA]:[REFERENCIA]],TablaControladores[ED])*$AA220:$AJ220)</f>
        <v>29</v>
      </c>
      <c r="W220" s="14" cm="1">
        <f t="array" ref="W220">SUM(_xlfn.XLOOKUP(TablaSeleccionControladores[[#Headers],[M4-CGE04060-0]:[M4-XPM18000-0]],TablaControladores[[REFERENCIA]:[REFERENCIA]],TablaControladores[SA])*$AA220:$AJ220)</f>
        <v>12</v>
      </c>
      <c r="X220" s="14" cm="1">
        <f t="array" ref="X220">SUM(_xlfn.XLOOKUP(TablaSeleccionControladores[[#Headers],[M4-CGE04060-0]:[M4-XPM18000-0]],TablaControladores[[REFERENCIA]:[REFERENCIA]],TablaControladores[SC])*$AA220:$AJ220)</f>
        <v>24</v>
      </c>
      <c r="Y220" s="14" cm="1">
        <f t="array" ref="Y220">SUM(_xlfn.XLOOKUP(TablaSeleccionControladores[[#Headers],[M4-CGE04060-0]:[M4-XPM18000-0]],TablaControladores[[REFERENCIA]:[REFERENCIA]],TablaControladores[SD])*$AA220:$AJ220)</f>
        <v>18</v>
      </c>
      <c r="Z220" s="14">
        <f>SUM(TablaSeleccionControladores[[#This Row],[EA]:[SD]])</f>
        <v>121</v>
      </c>
      <c r="AB220" s="14">
        <v>1</v>
      </c>
      <c r="AH220" s="14">
        <v>1</v>
      </c>
      <c r="AI220" s="14">
        <v>4</v>
      </c>
      <c r="AJ220" s="14">
        <v>1</v>
      </c>
    </row>
    <row r="221" spans="17:36" x14ac:dyDescent="0.25">
      <c r="Q221">
        <f t="shared" si="5"/>
        <v>111</v>
      </c>
      <c r="R221" t="s">
        <v>828</v>
      </c>
      <c r="S221">
        <f>SUM(TablaSeleccionControladores[[#This Row],[M4-CGE04060-0]:[M4-CGM09090-0H]])</f>
        <v>1</v>
      </c>
      <c r="T221" s="14" cm="1">
        <f t="array" ref="T221">SUM(_xlfn.XLOOKUP(TablaSeleccionControladores[[#Headers],[M4-CGE04060-0]:[M4-XPM18000-0]],TablaControladores[[REFERENCIA]:[REFERENCIA]],TablaControladores[EA])*$AA221:$AJ221)</f>
        <v>0</v>
      </c>
      <c r="U221" s="14" cm="1">
        <f t="array" ref="U221">SUM(_xlfn.XLOOKUP(TablaSeleccionControladores[[#Headers],[M4-CGE04060-0]:[M4-XPM18000-0]],TablaControladores[[REFERENCIA]:[REFERENCIA]],TablaControladores[EU])*$AA221:$AJ221)</f>
        <v>13</v>
      </c>
      <c r="V221" s="14" cm="1">
        <f t="array" ref="V221">SUM(_xlfn.XLOOKUP(TablaSeleccionControladores[[#Headers],[M4-CGE04060-0]:[M4-XPM18000-0]],TablaControladores[[REFERENCIA]:[REFERENCIA]],TablaControladores[ED])*$AA221:$AJ221)</f>
        <v>4</v>
      </c>
      <c r="W221" s="14" cm="1">
        <f t="array" ref="W221">SUM(_xlfn.XLOOKUP(TablaSeleccionControladores[[#Headers],[M4-CGE04060-0]:[M4-XPM18000-0]],TablaControladores[[REFERENCIA]:[REFERENCIA]],TablaControladores[SA])*$AA221:$AJ221)</f>
        <v>6</v>
      </c>
      <c r="X221" s="14" cm="1">
        <f t="array" ref="X221">SUM(_xlfn.XLOOKUP(TablaSeleccionControladores[[#Headers],[M4-CGE04060-0]:[M4-XPM18000-0]],TablaControladores[[REFERENCIA]:[REFERENCIA]],TablaControladores[SC])*$AA221:$AJ221)</f>
        <v>12</v>
      </c>
      <c r="Y221" s="14" cm="1">
        <f t="array" ref="Y221">SUM(_xlfn.XLOOKUP(TablaSeleccionControladores[[#Headers],[M4-CGE04060-0]:[M4-XPM18000-0]],TablaControladores[[REFERENCIA]:[REFERENCIA]],TablaControladores[SD])*$AA221:$AJ221)</f>
        <v>9</v>
      </c>
      <c r="Z221" s="14">
        <f>SUM(TablaSeleccionControladores[[#This Row],[EA]:[SD]])</f>
        <v>44</v>
      </c>
      <c r="AB221" s="14">
        <v>1</v>
      </c>
      <c r="AH221" s="14">
        <v>2</v>
      </c>
      <c r="AI221" s="14">
        <v>0</v>
      </c>
      <c r="AJ221" s="14">
        <v>0</v>
      </c>
    </row>
    <row r="222" spans="17:36" x14ac:dyDescent="0.25">
      <c r="Q222">
        <f t="shared" si="5"/>
        <v>112</v>
      </c>
      <c r="R222" t="s">
        <v>828</v>
      </c>
      <c r="S222">
        <f>SUM(TablaSeleccionControladores[[#This Row],[M4-CGE04060-0]:[M4-CGM09090-0H]])</f>
        <v>1</v>
      </c>
      <c r="T222" s="14" cm="1">
        <f t="array" ref="T222">SUM(_xlfn.XLOOKUP(TablaSeleccionControladores[[#Headers],[M4-CGE04060-0]:[M4-XPM18000-0]],TablaControladores[[REFERENCIA]:[REFERENCIA]],TablaControladores[EA])*$AA222:$AJ222)</f>
        <v>0</v>
      </c>
      <c r="U222" s="14" cm="1">
        <f t="array" ref="U222">SUM(_xlfn.XLOOKUP(TablaSeleccionControladores[[#Headers],[M4-CGE04060-0]:[M4-XPM18000-0]],TablaControladores[[REFERENCIA]:[REFERENCIA]],TablaControladores[EU])*$AA222:$AJ222)</f>
        <v>13</v>
      </c>
      <c r="V222" s="14" cm="1">
        <f t="array" ref="V222">SUM(_xlfn.XLOOKUP(TablaSeleccionControladores[[#Headers],[M4-CGE04060-0]:[M4-XPM18000-0]],TablaControladores[[REFERENCIA]:[REFERENCIA]],TablaControladores[ED])*$AA222:$AJ222)</f>
        <v>22</v>
      </c>
      <c r="W222" s="14" cm="1">
        <f t="array" ref="W222">SUM(_xlfn.XLOOKUP(TablaSeleccionControladores[[#Headers],[M4-CGE04060-0]:[M4-XPM18000-0]],TablaControladores[[REFERENCIA]:[REFERENCIA]],TablaControladores[SA])*$AA222:$AJ222)</f>
        <v>6</v>
      </c>
      <c r="X222" s="14" cm="1">
        <f t="array" ref="X222">SUM(_xlfn.XLOOKUP(TablaSeleccionControladores[[#Headers],[M4-CGE04060-0]:[M4-XPM18000-0]],TablaControladores[[REFERENCIA]:[REFERENCIA]],TablaControladores[SC])*$AA222:$AJ222)</f>
        <v>12</v>
      </c>
      <c r="Y222" s="14" cm="1">
        <f t="array" ref="Y222">SUM(_xlfn.XLOOKUP(TablaSeleccionControladores[[#Headers],[M4-CGE04060-0]:[M4-XPM18000-0]],TablaControladores[[REFERENCIA]:[REFERENCIA]],TablaControladores[SD])*$AA222:$AJ222)</f>
        <v>9</v>
      </c>
      <c r="Z222" s="14">
        <f>SUM(TablaSeleccionControladores[[#This Row],[EA]:[SD]])</f>
        <v>62</v>
      </c>
      <c r="AB222" s="14">
        <v>1</v>
      </c>
      <c r="AH222" s="14">
        <v>2</v>
      </c>
      <c r="AI222" s="14">
        <v>0</v>
      </c>
      <c r="AJ222" s="14">
        <v>1</v>
      </c>
    </row>
    <row r="223" spans="17:36" x14ac:dyDescent="0.25">
      <c r="Q223">
        <f t="shared" si="5"/>
        <v>113</v>
      </c>
      <c r="R223" t="s">
        <v>828</v>
      </c>
      <c r="S223">
        <f>SUM(TablaSeleccionControladores[[#This Row],[M4-CGE04060-0]:[M4-CGM09090-0H]])</f>
        <v>1</v>
      </c>
      <c r="T223" s="14" cm="1">
        <f t="array" ref="T223">SUM(_xlfn.XLOOKUP(TablaSeleccionControladores[[#Headers],[M4-CGE04060-0]:[M4-XPM18000-0]],TablaControladores[[REFERENCIA]:[REFERENCIA]],TablaControladores[EA])*$AA223:$AJ223)</f>
        <v>0</v>
      </c>
      <c r="U223" s="14" cm="1">
        <f t="array" ref="U223">SUM(_xlfn.XLOOKUP(TablaSeleccionControladores[[#Headers],[M4-CGE04060-0]:[M4-XPM18000-0]],TablaControladores[[REFERENCIA]:[REFERENCIA]],TablaControladores[EU])*$AA223:$AJ223)</f>
        <v>13</v>
      </c>
      <c r="V223" s="14" cm="1">
        <f t="array" ref="V223">SUM(_xlfn.XLOOKUP(TablaSeleccionControladores[[#Headers],[M4-CGE04060-0]:[M4-XPM18000-0]],TablaControladores[[REFERENCIA]:[REFERENCIA]],TablaControladores[ED])*$AA223:$AJ223)</f>
        <v>40</v>
      </c>
      <c r="W223" s="14" cm="1">
        <f t="array" ref="W223">SUM(_xlfn.XLOOKUP(TablaSeleccionControladores[[#Headers],[M4-CGE04060-0]:[M4-XPM18000-0]],TablaControladores[[REFERENCIA]:[REFERENCIA]],TablaControladores[SA])*$AA223:$AJ223)</f>
        <v>6</v>
      </c>
      <c r="X223" s="14" cm="1">
        <f t="array" ref="X223">SUM(_xlfn.XLOOKUP(TablaSeleccionControladores[[#Headers],[M4-CGE04060-0]:[M4-XPM18000-0]],TablaControladores[[REFERENCIA]:[REFERENCIA]],TablaControladores[SC])*$AA223:$AJ223)</f>
        <v>12</v>
      </c>
      <c r="Y223" s="14" cm="1">
        <f t="array" ref="Y223">SUM(_xlfn.XLOOKUP(TablaSeleccionControladores[[#Headers],[M4-CGE04060-0]:[M4-XPM18000-0]],TablaControladores[[REFERENCIA]:[REFERENCIA]],TablaControladores[SD])*$AA223:$AJ223)</f>
        <v>9</v>
      </c>
      <c r="Z223" s="14">
        <f>SUM(TablaSeleccionControladores[[#This Row],[EA]:[SD]])</f>
        <v>80</v>
      </c>
      <c r="AB223" s="14">
        <v>1</v>
      </c>
      <c r="AH223" s="14">
        <v>2</v>
      </c>
      <c r="AI223" s="14">
        <v>0</v>
      </c>
      <c r="AJ223" s="14">
        <v>2</v>
      </c>
    </row>
    <row r="224" spans="17:36" x14ac:dyDescent="0.25">
      <c r="Q224">
        <f t="shared" si="5"/>
        <v>114</v>
      </c>
      <c r="R224" t="s">
        <v>828</v>
      </c>
      <c r="S224">
        <f>SUM(TablaSeleccionControladores[[#This Row],[M4-CGE04060-0]:[M4-CGM09090-0H]])</f>
        <v>1</v>
      </c>
      <c r="T224" s="14" cm="1">
        <f t="array" ref="T224">SUM(_xlfn.XLOOKUP(TablaSeleccionControladores[[#Headers],[M4-CGE04060-0]:[M4-XPM18000-0]],TablaControladores[[REFERENCIA]:[REFERENCIA]],TablaControladores[EA])*$AA224:$AJ224)</f>
        <v>0</v>
      </c>
      <c r="U224" s="14" cm="1">
        <f t="array" ref="U224">SUM(_xlfn.XLOOKUP(TablaSeleccionControladores[[#Headers],[M4-CGE04060-0]:[M4-XPM18000-0]],TablaControladores[[REFERENCIA]:[REFERENCIA]],TablaControladores[EU])*$AA224:$AJ224)</f>
        <v>13</v>
      </c>
      <c r="V224" s="14" cm="1">
        <f t="array" ref="V224">SUM(_xlfn.XLOOKUP(TablaSeleccionControladores[[#Headers],[M4-CGE04060-0]:[M4-XPM18000-0]],TablaControladores[[REFERENCIA]:[REFERENCIA]],TablaControladores[ED])*$AA224:$AJ224)</f>
        <v>58</v>
      </c>
      <c r="W224" s="14" cm="1">
        <f t="array" ref="W224">SUM(_xlfn.XLOOKUP(TablaSeleccionControladores[[#Headers],[M4-CGE04060-0]:[M4-XPM18000-0]],TablaControladores[[REFERENCIA]:[REFERENCIA]],TablaControladores[SA])*$AA224:$AJ224)</f>
        <v>6</v>
      </c>
      <c r="X224" s="14" cm="1">
        <f t="array" ref="X224">SUM(_xlfn.XLOOKUP(TablaSeleccionControladores[[#Headers],[M4-CGE04060-0]:[M4-XPM18000-0]],TablaControladores[[REFERENCIA]:[REFERENCIA]],TablaControladores[SC])*$AA224:$AJ224)</f>
        <v>12</v>
      </c>
      <c r="Y224" s="14" cm="1">
        <f t="array" ref="Y224">SUM(_xlfn.XLOOKUP(TablaSeleccionControladores[[#Headers],[M4-CGE04060-0]:[M4-XPM18000-0]],TablaControladores[[REFERENCIA]:[REFERENCIA]],TablaControladores[SD])*$AA224:$AJ224)</f>
        <v>9</v>
      </c>
      <c r="Z224" s="14">
        <f>SUM(TablaSeleccionControladores[[#This Row],[EA]:[SD]])</f>
        <v>98</v>
      </c>
      <c r="AB224" s="14">
        <v>1</v>
      </c>
      <c r="AH224" s="14">
        <v>2</v>
      </c>
      <c r="AI224" s="14">
        <v>0</v>
      </c>
      <c r="AJ224" s="14">
        <v>3</v>
      </c>
    </row>
    <row r="225" spans="17:36" x14ac:dyDescent="0.25">
      <c r="Q225">
        <f t="shared" si="5"/>
        <v>115</v>
      </c>
      <c r="R225" t="s">
        <v>828</v>
      </c>
      <c r="S225">
        <f>SUM(TablaSeleccionControladores[[#This Row],[M4-CGE04060-0]:[M4-CGM09090-0H]])</f>
        <v>1</v>
      </c>
      <c r="T225" s="14" cm="1">
        <f t="array" ref="T225">SUM(_xlfn.XLOOKUP(TablaSeleccionControladores[[#Headers],[M4-CGE04060-0]:[M4-XPM18000-0]],TablaControladores[[REFERENCIA]:[REFERENCIA]],TablaControladores[EA])*$AA225:$AJ225)</f>
        <v>0</v>
      </c>
      <c r="U225" s="14" cm="1">
        <f t="array" ref="U225">SUM(_xlfn.XLOOKUP(TablaSeleccionControladores[[#Headers],[M4-CGE04060-0]:[M4-XPM18000-0]],TablaControladores[[REFERENCIA]:[REFERENCIA]],TablaControladores[EU])*$AA225:$AJ225)</f>
        <v>13</v>
      </c>
      <c r="V225" s="14" cm="1">
        <f t="array" ref="V225">SUM(_xlfn.XLOOKUP(TablaSeleccionControladores[[#Headers],[M4-CGE04060-0]:[M4-XPM18000-0]],TablaControladores[[REFERENCIA]:[REFERENCIA]],TablaControladores[ED])*$AA225:$AJ225)</f>
        <v>76</v>
      </c>
      <c r="W225" s="14" cm="1">
        <f t="array" ref="W225">SUM(_xlfn.XLOOKUP(TablaSeleccionControladores[[#Headers],[M4-CGE04060-0]:[M4-XPM18000-0]],TablaControladores[[REFERENCIA]:[REFERENCIA]],TablaControladores[SA])*$AA225:$AJ225)</f>
        <v>6</v>
      </c>
      <c r="X225" s="14" cm="1">
        <f t="array" ref="X225">SUM(_xlfn.XLOOKUP(TablaSeleccionControladores[[#Headers],[M4-CGE04060-0]:[M4-XPM18000-0]],TablaControladores[[REFERENCIA]:[REFERENCIA]],TablaControladores[SC])*$AA225:$AJ225)</f>
        <v>12</v>
      </c>
      <c r="Y225" s="14" cm="1">
        <f t="array" ref="Y225">SUM(_xlfn.XLOOKUP(TablaSeleccionControladores[[#Headers],[M4-CGE04060-0]:[M4-XPM18000-0]],TablaControladores[[REFERENCIA]:[REFERENCIA]],TablaControladores[SD])*$AA225:$AJ225)</f>
        <v>9</v>
      </c>
      <c r="Z225" s="14">
        <f>SUM(TablaSeleccionControladores[[#This Row],[EA]:[SD]])</f>
        <v>116</v>
      </c>
      <c r="AB225" s="14">
        <v>1</v>
      </c>
      <c r="AH225" s="14">
        <v>2</v>
      </c>
      <c r="AI225" s="14">
        <v>0</v>
      </c>
      <c r="AJ225" s="14">
        <v>4</v>
      </c>
    </row>
    <row r="226" spans="17:36" x14ac:dyDescent="0.25">
      <c r="Q226">
        <f t="shared" si="5"/>
        <v>116</v>
      </c>
      <c r="R226" t="s">
        <v>828</v>
      </c>
      <c r="S226">
        <f>SUM(TablaSeleccionControladores[[#This Row],[M4-CGE04060-0]:[M4-CGM09090-0H]])</f>
        <v>1</v>
      </c>
      <c r="T226" s="14" cm="1">
        <f t="array" ref="T226">SUM(_xlfn.XLOOKUP(TablaSeleccionControladores[[#Headers],[M4-CGE04060-0]:[M4-XPM18000-0]],TablaControladores[[REFERENCIA]:[REFERENCIA]],TablaControladores[EA])*$AA226:$AJ226)</f>
        <v>0</v>
      </c>
      <c r="U226" s="14" cm="1">
        <f t="array" ref="U226">SUM(_xlfn.XLOOKUP(TablaSeleccionControladores[[#Headers],[M4-CGE04060-0]:[M4-XPM18000-0]],TablaControladores[[REFERENCIA]:[REFERENCIA]],TablaControladores[EU])*$AA226:$AJ226)</f>
        <v>20</v>
      </c>
      <c r="V226" s="14" cm="1">
        <f t="array" ref="V226">SUM(_xlfn.XLOOKUP(TablaSeleccionControladores[[#Headers],[M4-CGE04060-0]:[M4-XPM18000-0]],TablaControladores[[REFERENCIA]:[REFERENCIA]],TablaControladores[ED])*$AA226:$AJ226)</f>
        <v>6</v>
      </c>
      <c r="W226" s="14" cm="1">
        <f t="array" ref="W226">SUM(_xlfn.XLOOKUP(TablaSeleccionControladores[[#Headers],[M4-CGE04060-0]:[M4-XPM18000-0]],TablaControladores[[REFERENCIA]:[REFERENCIA]],TablaControladores[SA])*$AA226:$AJ226)</f>
        <v>8</v>
      </c>
      <c r="X226" s="14" cm="1">
        <f t="array" ref="X226">SUM(_xlfn.XLOOKUP(TablaSeleccionControladores[[#Headers],[M4-CGE04060-0]:[M4-XPM18000-0]],TablaControladores[[REFERENCIA]:[REFERENCIA]],TablaControladores[SC])*$AA226:$AJ226)</f>
        <v>16</v>
      </c>
      <c r="Y226" s="14" cm="1">
        <f t="array" ref="Y226">SUM(_xlfn.XLOOKUP(TablaSeleccionControladores[[#Headers],[M4-CGE04060-0]:[M4-XPM18000-0]],TablaControladores[[REFERENCIA]:[REFERENCIA]],TablaControladores[SD])*$AA226:$AJ226)</f>
        <v>12</v>
      </c>
      <c r="Z226" s="14">
        <f>SUM(TablaSeleccionControladores[[#This Row],[EA]:[SD]])</f>
        <v>62</v>
      </c>
      <c r="AB226" s="14">
        <v>1</v>
      </c>
      <c r="AH226" s="14">
        <v>2</v>
      </c>
      <c r="AI226" s="14">
        <v>1</v>
      </c>
      <c r="AJ226" s="14">
        <v>0</v>
      </c>
    </row>
    <row r="227" spans="17:36" x14ac:dyDescent="0.25">
      <c r="Q227">
        <f t="shared" si="5"/>
        <v>117</v>
      </c>
      <c r="R227" t="s">
        <v>828</v>
      </c>
      <c r="S227">
        <f>SUM(TablaSeleccionControladores[[#This Row],[M4-CGE04060-0]:[M4-CGM09090-0H]])</f>
        <v>1</v>
      </c>
      <c r="T227" s="14" cm="1">
        <f t="array" ref="T227">SUM(_xlfn.XLOOKUP(TablaSeleccionControladores[[#Headers],[M4-CGE04060-0]:[M4-XPM18000-0]],TablaControladores[[REFERENCIA]:[REFERENCIA]],TablaControladores[EA])*$AA227:$AJ227)</f>
        <v>0</v>
      </c>
      <c r="U227" s="14" cm="1">
        <f t="array" ref="U227">SUM(_xlfn.XLOOKUP(TablaSeleccionControladores[[#Headers],[M4-CGE04060-0]:[M4-XPM18000-0]],TablaControladores[[REFERENCIA]:[REFERENCIA]],TablaControladores[EU])*$AA227:$AJ227)</f>
        <v>20</v>
      </c>
      <c r="V227" s="14" cm="1">
        <f t="array" ref="V227">SUM(_xlfn.XLOOKUP(TablaSeleccionControladores[[#Headers],[M4-CGE04060-0]:[M4-XPM18000-0]],TablaControladores[[REFERENCIA]:[REFERENCIA]],TablaControladores[ED])*$AA227:$AJ227)</f>
        <v>24</v>
      </c>
      <c r="W227" s="14" cm="1">
        <f t="array" ref="W227">SUM(_xlfn.XLOOKUP(TablaSeleccionControladores[[#Headers],[M4-CGE04060-0]:[M4-XPM18000-0]],TablaControladores[[REFERENCIA]:[REFERENCIA]],TablaControladores[SA])*$AA227:$AJ227)</f>
        <v>8</v>
      </c>
      <c r="X227" s="14" cm="1">
        <f t="array" ref="X227">SUM(_xlfn.XLOOKUP(TablaSeleccionControladores[[#Headers],[M4-CGE04060-0]:[M4-XPM18000-0]],TablaControladores[[REFERENCIA]:[REFERENCIA]],TablaControladores[SC])*$AA227:$AJ227)</f>
        <v>16</v>
      </c>
      <c r="Y227" s="14" cm="1">
        <f t="array" ref="Y227">SUM(_xlfn.XLOOKUP(TablaSeleccionControladores[[#Headers],[M4-CGE04060-0]:[M4-XPM18000-0]],TablaControladores[[REFERENCIA]:[REFERENCIA]],TablaControladores[SD])*$AA227:$AJ227)</f>
        <v>12</v>
      </c>
      <c r="Z227" s="14">
        <f>SUM(TablaSeleccionControladores[[#This Row],[EA]:[SD]])</f>
        <v>80</v>
      </c>
      <c r="AB227" s="14">
        <v>1</v>
      </c>
      <c r="AH227" s="14">
        <v>2</v>
      </c>
      <c r="AI227" s="14">
        <v>1</v>
      </c>
      <c r="AJ227" s="14">
        <v>1</v>
      </c>
    </row>
    <row r="228" spans="17:36" x14ac:dyDescent="0.25">
      <c r="Q228">
        <f t="shared" si="5"/>
        <v>118</v>
      </c>
      <c r="R228" t="s">
        <v>828</v>
      </c>
      <c r="S228">
        <f>SUM(TablaSeleccionControladores[[#This Row],[M4-CGE04060-0]:[M4-CGM09090-0H]])</f>
        <v>1</v>
      </c>
      <c r="T228" s="14" cm="1">
        <f t="array" ref="T228">SUM(_xlfn.XLOOKUP(TablaSeleccionControladores[[#Headers],[M4-CGE04060-0]:[M4-XPM18000-0]],TablaControladores[[REFERENCIA]:[REFERENCIA]],TablaControladores[EA])*$AA228:$AJ228)</f>
        <v>0</v>
      </c>
      <c r="U228" s="14" cm="1">
        <f t="array" ref="U228">SUM(_xlfn.XLOOKUP(TablaSeleccionControladores[[#Headers],[M4-CGE04060-0]:[M4-XPM18000-0]],TablaControladores[[REFERENCIA]:[REFERENCIA]],TablaControladores[EU])*$AA228:$AJ228)</f>
        <v>20</v>
      </c>
      <c r="V228" s="14" cm="1">
        <f t="array" ref="V228">SUM(_xlfn.XLOOKUP(TablaSeleccionControladores[[#Headers],[M4-CGE04060-0]:[M4-XPM18000-0]],TablaControladores[[REFERENCIA]:[REFERENCIA]],TablaControladores[ED])*$AA228:$AJ228)</f>
        <v>42</v>
      </c>
      <c r="W228" s="14" cm="1">
        <f t="array" ref="W228">SUM(_xlfn.XLOOKUP(TablaSeleccionControladores[[#Headers],[M4-CGE04060-0]:[M4-XPM18000-0]],TablaControladores[[REFERENCIA]:[REFERENCIA]],TablaControladores[SA])*$AA228:$AJ228)</f>
        <v>8</v>
      </c>
      <c r="X228" s="14" cm="1">
        <f t="array" ref="X228">SUM(_xlfn.XLOOKUP(TablaSeleccionControladores[[#Headers],[M4-CGE04060-0]:[M4-XPM18000-0]],TablaControladores[[REFERENCIA]:[REFERENCIA]],TablaControladores[SC])*$AA228:$AJ228)</f>
        <v>16</v>
      </c>
      <c r="Y228" s="14" cm="1">
        <f t="array" ref="Y228">SUM(_xlfn.XLOOKUP(TablaSeleccionControladores[[#Headers],[M4-CGE04060-0]:[M4-XPM18000-0]],TablaControladores[[REFERENCIA]:[REFERENCIA]],TablaControladores[SD])*$AA228:$AJ228)</f>
        <v>12</v>
      </c>
      <c r="Z228" s="14">
        <f>SUM(TablaSeleccionControladores[[#This Row],[EA]:[SD]])</f>
        <v>98</v>
      </c>
      <c r="AB228" s="14">
        <v>1</v>
      </c>
      <c r="AH228" s="14">
        <v>2</v>
      </c>
      <c r="AI228" s="14">
        <v>1</v>
      </c>
      <c r="AJ228" s="14">
        <v>2</v>
      </c>
    </row>
    <row r="229" spans="17:36" x14ac:dyDescent="0.25">
      <c r="Q229">
        <f t="shared" si="5"/>
        <v>119</v>
      </c>
      <c r="R229" t="s">
        <v>828</v>
      </c>
      <c r="S229">
        <f>SUM(TablaSeleccionControladores[[#This Row],[M4-CGE04060-0]:[M4-CGM09090-0H]])</f>
        <v>1</v>
      </c>
      <c r="T229" s="14" cm="1">
        <f t="array" ref="T229">SUM(_xlfn.XLOOKUP(TablaSeleccionControladores[[#Headers],[M4-CGE04060-0]:[M4-XPM18000-0]],TablaControladores[[REFERENCIA]:[REFERENCIA]],TablaControladores[EA])*$AA229:$AJ229)</f>
        <v>0</v>
      </c>
      <c r="U229" s="14" cm="1">
        <f t="array" ref="U229">SUM(_xlfn.XLOOKUP(TablaSeleccionControladores[[#Headers],[M4-CGE04060-0]:[M4-XPM18000-0]],TablaControladores[[REFERENCIA]:[REFERENCIA]],TablaControladores[EU])*$AA229:$AJ229)</f>
        <v>20</v>
      </c>
      <c r="V229" s="14" cm="1">
        <f t="array" ref="V229">SUM(_xlfn.XLOOKUP(TablaSeleccionControladores[[#Headers],[M4-CGE04060-0]:[M4-XPM18000-0]],TablaControladores[[REFERENCIA]:[REFERENCIA]],TablaControladores[ED])*$AA229:$AJ229)</f>
        <v>60</v>
      </c>
      <c r="W229" s="14" cm="1">
        <f t="array" ref="W229">SUM(_xlfn.XLOOKUP(TablaSeleccionControladores[[#Headers],[M4-CGE04060-0]:[M4-XPM18000-0]],TablaControladores[[REFERENCIA]:[REFERENCIA]],TablaControladores[SA])*$AA229:$AJ229)</f>
        <v>8</v>
      </c>
      <c r="X229" s="14" cm="1">
        <f t="array" ref="X229">SUM(_xlfn.XLOOKUP(TablaSeleccionControladores[[#Headers],[M4-CGE04060-0]:[M4-XPM18000-0]],TablaControladores[[REFERENCIA]:[REFERENCIA]],TablaControladores[SC])*$AA229:$AJ229)</f>
        <v>16</v>
      </c>
      <c r="Y229" s="14" cm="1">
        <f t="array" ref="Y229">SUM(_xlfn.XLOOKUP(TablaSeleccionControladores[[#Headers],[M4-CGE04060-0]:[M4-XPM18000-0]],TablaControladores[[REFERENCIA]:[REFERENCIA]],TablaControladores[SD])*$AA229:$AJ229)</f>
        <v>12</v>
      </c>
      <c r="Z229" s="14">
        <f>SUM(TablaSeleccionControladores[[#This Row],[EA]:[SD]])</f>
        <v>116</v>
      </c>
      <c r="AB229" s="14">
        <v>1</v>
      </c>
      <c r="AH229" s="14">
        <v>2</v>
      </c>
      <c r="AI229" s="14">
        <v>1</v>
      </c>
      <c r="AJ229" s="14">
        <v>3</v>
      </c>
    </row>
    <row r="230" spans="17:36" x14ac:dyDescent="0.25">
      <c r="Q230">
        <f t="shared" si="5"/>
        <v>120</v>
      </c>
      <c r="R230" t="s">
        <v>828</v>
      </c>
      <c r="S230">
        <f>SUM(TablaSeleccionControladores[[#This Row],[M4-CGE04060-0]:[M4-CGM09090-0H]])</f>
        <v>1</v>
      </c>
      <c r="T230" s="14" cm="1">
        <f t="array" ref="T230">SUM(_xlfn.XLOOKUP(TablaSeleccionControladores[[#Headers],[M4-CGE04060-0]:[M4-XPM18000-0]],TablaControladores[[REFERENCIA]:[REFERENCIA]],TablaControladores[EA])*$AA230:$AJ230)</f>
        <v>0</v>
      </c>
      <c r="U230" s="14" cm="1">
        <f t="array" ref="U230">SUM(_xlfn.XLOOKUP(TablaSeleccionControladores[[#Headers],[M4-CGE04060-0]:[M4-XPM18000-0]],TablaControladores[[REFERENCIA]:[REFERENCIA]],TablaControladores[EU])*$AA230:$AJ230)</f>
        <v>27</v>
      </c>
      <c r="V230" s="14" cm="1">
        <f t="array" ref="V230">SUM(_xlfn.XLOOKUP(TablaSeleccionControladores[[#Headers],[M4-CGE04060-0]:[M4-XPM18000-0]],TablaControladores[[REFERENCIA]:[REFERENCIA]],TablaControladores[ED])*$AA230:$AJ230)</f>
        <v>8</v>
      </c>
      <c r="W230" s="14" cm="1">
        <f t="array" ref="W230">SUM(_xlfn.XLOOKUP(TablaSeleccionControladores[[#Headers],[M4-CGE04060-0]:[M4-XPM18000-0]],TablaControladores[[REFERENCIA]:[REFERENCIA]],TablaControladores[SA])*$AA230:$AJ230)</f>
        <v>10</v>
      </c>
      <c r="X230" s="14" cm="1">
        <f t="array" ref="X230">SUM(_xlfn.XLOOKUP(TablaSeleccionControladores[[#Headers],[M4-CGE04060-0]:[M4-XPM18000-0]],TablaControladores[[REFERENCIA]:[REFERENCIA]],TablaControladores[SC])*$AA230:$AJ230)</f>
        <v>20</v>
      </c>
      <c r="Y230" s="14" cm="1">
        <f t="array" ref="Y230">SUM(_xlfn.XLOOKUP(TablaSeleccionControladores[[#Headers],[M4-CGE04060-0]:[M4-XPM18000-0]],TablaControladores[[REFERENCIA]:[REFERENCIA]],TablaControladores[SD])*$AA230:$AJ230)</f>
        <v>15</v>
      </c>
      <c r="Z230" s="14">
        <f>SUM(TablaSeleccionControladores[[#This Row],[EA]:[SD]])</f>
        <v>80</v>
      </c>
      <c r="AB230" s="14">
        <v>1</v>
      </c>
      <c r="AH230" s="14">
        <v>2</v>
      </c>
      <c r="AI230" s="14">
        <v>2</v>
      </c>
      <c r="AJ230" s="14">
        <v>0</v>
      </c>
    </row>
    <row r="231" spans="17:36" x14ac:dyDescent="0.25">
      <c r="Q231">
        <f t="shared" si="5"/>
        <v>121</v>
      </c>
      <c r="R231" t="s">
        <v>828</v>
      </c>
      <c r="S231">
        <f>SUM(TablaSeleccionControladores[[#This Row],[M4-CGE04060-0]:[M4-CGM09090-0H]])</f>
        <v>1</v>
      </c>
      <c r="T231" s="14" cm="1">
        <f t="array" ref="T231">SUM(_xlfn.XLOOKUP(TablaSeleccionControladores[[#Headers],[M4-CGE04060-0]:[M4-XPM18000-0]],TablaControladores[[REFERENCIA]:[REFERENCIA]],TablaControladores[EA])*$AA231:$AJ231)</f>
        <v>0</v>
      </c>
      <c r="U231" s="14" cm="1">
        <f t="array" ref="U231">SUM(_xlfn.XLOOKUP(TablaSeleccionControladores[[#Headers],[M4-CGE04060-0]:[M4-XPM18000-0]],TablaControladores[[REFERENCIA]:[REFERENCIA]],TablaControladores[EU])*$AA231:$AJ231)</f>
        <v>27</v>
      </c>
      <c r="V231" s="14" cm="1">
        <f t="array" ref="V231">SUM(_xlfn.XLOOKUP(TablaSeleccionControladores[[#Headers],[M4-CGE04060-0]:[M4-XPM18000-0]],TablaControladores[[REFERENCIA]:[REFERENCIA]],TablaControladores[ED])*$AA231:$AJ231)</f>
        <v>26</v>
      </c>
      <c r="W231" s="14" cm="1">
        <f t="array" ref="W231">SUM(_xlfn.XLOOKUP(TablaSeleccionControladores[[#Headers],[M4-CGE04060-0]:[M4-XPM18000-0]],TablaControladores[[REFERENCIA]:[REFERENCIA]],TablaControladores[SA])*$AA231:$AJ231)</f>
        <v>10</v>
      </c>
      <c r="X231" s="14" cm="1">
        <f t="array" ref="X231">SUM(_xlfn.XLOOKUP(TablaSeleccionControladores[[#Headers],[M4-CGE04060-0]:[M4-XPM18000-0]],TablaControladores[[REFERENCIA]:[REFERENCIA]],TablaControladores[SC])*$AA231:$AJ231)</f>
        <v>20</v>
      </c>
      <c r="Y231" s="14" cm="1">
        <f t="array" ref="Y231">SUM(_xlfn.XLOOKUP(TablaSeleccionControladores[[#Headers],[M4-CGE04060-0]:[M4-XPM18000-0]],TablaControladores[[REFERENCIA]:[REFERENCIA]],TablaControladores[SD])*$AA231:$AJ231)</f>
        <v>15</v>
      </c>
      <c r="Z231" s="14">
        <f>SUM(TablaSeleccionControladores[[#This Row],[EA]:[SD]])</f>
        <v>98</v>
      </c>
      <c r="AB231" s="14">
        <v>1</v>
      </c>
      <c r="AH231" s="14">
        <v>2</v>
      </c>
      <c r="AI231" s="14">
        <v>2</v>
      </c>
      <c r="AJ231" s="14">
        <v>1</v>
      </c>
    </row>
    <row r="232" spans="17:36" x14ac:dyDescent="0.25">
      <c r="Q232">
        <f t="shared" si="5"/>
        <v>122</v>
      </c>
      <c r="R232" t="s">
        <v>828</v>
      </c>
      <c r="S232">
        <f>SUM(TablaSeleccionControladores[[#This Row],[M4-CGE04060-0]:[M4-CGM09090-0H]])</f>
        <v>1</v>
      </c>
      <c r="T232" s="14" cm="1">
        <f t="array" ref="T232">SUM(_xlfn.XLOOKUP(TablaSeleccionControladores[[#Headers],[M4-CGE04060-0]:[M4-XPM18000-0]],TablaControladores[[REFERENCIA]:[REFERENCIA]],TablaControladores[EA])*$AA232:$AJ232)</f>
        <v>0</v>
      </c>
      <c r="U232" s="14" cm="1">
        <f t="array" ref="U232">SUM(_xlfn.XLOOKUP(TablaSeleccionControladores[[#Headers],[M4-CGE04060-0]:[M4-XPM18000-0]],TablaControladores[[REFERENCIA]:[REFERENCIA]],TablaControladores[EU])*$AA232:$AJ232)</f>
        <v>27</v>
      </c>
      <c r="V232" s="14" cm="1">
        <f t="array" ref="V232">SUM(_xlfn.XLOOKUP(TablaSeleccionControladores[[#Headers],[M4-CGE04060-0]:[M4-XPM18000-0]],TablaControladores[[REFERENCIA]:[REFERENCIA]],TablaControladores[ED])*$AA232:$AJ232)</f>
        <v>44</v>
      </c>
      <c r="W232" s="14" cm="1">
        <f t="array" ref="W232">SUM(_xlfn.XLOOKUP(TablaSeleccionControladores[[#Headers],[M4-CGE04060-0]:[M4-XPM18000-0]],TablaControladores[[REFERENCIA]:[REFERENCIA]],TablaControladores[SA])*$AA232:$AJ232)</f>
        <v>10</v>
      </c>
      <c r="X232" s="14" cm="1">
        <f t="array" ref="X232">SUM(_xlfn.XLOOKUP(TablaSeleccionControladores[[#Headers],[M4-CGE04060-0]:[M4-XPM18000-0]],TablaControladores[[REFERENCIA]:[REFERENCIA]],TablaControladores[SC])*$AA232:$AJ232)</f>
        <v>20</v>
      </c>
      <c r="Y232" s="14" cm="1">
        <f t="array" ref="Y232">SUM(_xlfn.XLOOKUP(TablaSeleccionControladores[[#Headers],[M4-CGE04060-0]:[M4-XPM18000-0]],TablaControladores[[REFERENCIA]:[REFERENCIA]],TablaControladores[SD])*$AA232:$AJ232)</f>
        <v>15</v>
      </c>
      <c r="Z232" s="14">
        <f>SUM(TablaSeleccionControladores[[#This Row],[EA]:[SD]])</f>
        <v>116</v>
      </c>
      <c r="AB232" s="14">
        <v>1</v>
      </c>
      <c r="AH232" s="14">
        <v>2</v>
      </c>
      <c r="AI232" s="14">
        <v>2</v>
      </c>
      <c r="AJ232" s="14">
        <v>2</v>
      </c>
    </row>
    <row r="233" spans="17:36" x14ac:dyDescent="0.25">
      <c r="Q233">
        <f t="shared" si="5"/>
        <v>123</v>
      </c>
      <c r="R233" t="s">
        <v>828</v>
      </c>
      <c r="S233">
        <f>SUM(TablaSeleccionControladores[[#This Row],[M4-CGE04060-0]:[M4-CGM09090-0H]])</f>
        <v>1</v>
      </c>
      <c r="T233" s="14" cm="1">
        <f t="array" ref="T233">SUM(_xlfn.XLOOKUP(TablaSeleccionControladores[[#Headers],[M4-CGE04060-0]:[M4-XPM18000-0]],TablaControladores[[REFERENCIA]:[REFERENCIA]],TablaControladores[EA])*$AA233:$AJ233)</f>
        <v>0</v>
      </c>
      <c r="U233" s="14" cm="1">
        <f t="array" ref="U233">SUM(_xlfn.XLOOKUP(TablaSeleccionControladores[[#Headers],[M4-CGE04060-0]:[M4-XPM18000-0]],TablaControladores[[REFERENCIA]:[REFERENCIA]],TablaControladores[EU])*$AA233:$AJ233)</f>
        <v>34</v>
      </c>
      <c r="V233" s="14" cm="1">
        <f t="array" ref="V233">SUM(_xlfn.XLOOKUP(TablaSeleccionControladores[[#Headers],[M4-CGE04060-0]:[M4-XPM18000-0]],TablaControladores[[REFERENCIA]:[REFERENCIA]],TablaControladores[ED])*$AA233:$AJ233)</f>
        <v>10</v>
      </c>
      <c r="W233" s="14" cm="1">
        <f t="array" ref="W233">SUM(_xlfn.XLOOKUP(TablaSeleccionControladores[[#Headers],[M4-CGE04060-0]:[M4-XPM18000-0]],TablaControladores[[REFERENCIA]:[REFERENCIA]],TablaControladores[SA])*$AA233:$AJ233)</f>
        <v>12</v>
      </c>
      <c r="X233" s="14" cm="1">
        <f t="array" ref="X233">SUM(_xlfn.XLOOKUP(TablaSeleccionControladores[[#Headers],[M4-CGE04060-0]:[M4-XPM18000-0]],TablaControladores[[REFERENCIA]:[REFERENCIA]],TablaControladores[SC])*$AA233:$AJ233)</f>
        <v>24</v>
      </c>
      <c r="Y233" s="14" cm="1">
        <f t="array" ref="Y233">SUM(_xlfn.XLOOKUP(TablaSeleccionControladores[[#Headers],[M4-CGE04060-0]:[M4-XPM18000-0]],TablaControladores[[REFERENCIA]:[REFERENCIA]],TablaControladores[SD])*$AA233:$AJ233)</f>
        <v>18</v>
      </c>
      <c r="Z233" s="14">
        <f>SUM(TablaSeleccionControladores[[#This Row],[EA]:[SD]])</f>
        <v>98</v>
      </c>
      <c r="AB233" s="14">
        <v>1</v>
      </c>
      <c r="AH233" s="14">
        <v>2</v>
      </c>
      <c r="AI233" s="14">
        <v>3</v>
      </c>
      <c r="AJ233" s="14">
        <v>0</v>
      </c>
    </row>
    <row r="234" spans="17:36" x14ac:dyDescent="0.25">
      <c r="Q234">
        <f t="shared" si="5"/>
        <v>124</v>
      </c>
      <c r="R234" t="s">
        <v>828</v>
      </c>
      <c r="S234">
        <f>SUM(TablaSeleccionControladores[[#This Row],[M4-CGE04060-0]:[M4-CGM09090-0H]])</f>
        <v>1</v>
      </c>
      <c r="T234" s="14" cm="1">
        <f t="array" ref="T234">SUM(_xlfn.XLOOKUP(TablaSeleccionControladores[[#Headers],[M4-CGE04060-0]:[M4-XPM18000-0]],TablaControladores[[REFERENCIA]:[REFERENCIA]],TablaControladores[EA])*$AA234:$AJ234)</f>
        <v>0</v>
      </c>
      <c r="U234" s="14" cm="1">
        <f t="array" ref="U234">SUM(_xlfn.XLOOKUP(TablaSeleccionControladores[[#Headers],[M4-CGE04060-0]:[M4-XPM18000-0]],TablaControladores[[REFERENCIA]:[REFERENCIA]],TablaControladores[EU])*$AA234:$AJ234)</f>
        <v>34</v>
      </c>
      <c r="V234" s="14" cm="1">
        <f t="array" ref="V234">SUM(_xlfn.XLOOKUP(TablaSeleccionControladores[[#Headers],[M4-CGE04060-0]:[M4-XPM18000-0]],TablaControladores[[REFERENCIA]:[REFERENCIA]],TablaControladores[ED])*$AA234:$AJ234)</f>
        <v>28</v>
      </c>
      <c r="W234" s="14" cm="1">
        <f t="array" ref="W234">SUM(_xlfn.XLOOKUP(TablaSeleccionControladores[[#Headers],[M4-CGE04060-0]:[M4-XPM18000-0]],TablaControladores[[REFERENCIA]:[REFERENCIA]],TablaControladores[SA])*$AA234:$AJ234)</f>
        <v>12</v>
      </c>
      <c r="X234" s="14" cm="1">
        <f t="array" ref="X234">SUM(_xlfn.XLOOKUP(TablaSeleccionControladores[[#Headers],[M4-CGE04060-0]:[M4-XPM18000-0]],TablaControladores[[REFERENCIA]:[REFERENCIA]],TablaControladores[SC])*$AA234:$AJ234)</f>
        <v>24</v>
      </c>
      <c r="Y234" s="14" cm="1">
        <f t="array" ref="Y234">SUM(_xlfn.XLOOKUP(TablaSeleccionControladores[[#Headers],[M4-CGE04060-0]:[M4-XPM18000-0]],TablaControladores[[REFERENCIA]:[REFERENCIA]],TablaControladores[SD])*$AA234:$AJ234)</f>
        <v>18</v>
      </c>
      <c r="Z234" s="14">
        <f>SUM(TablaSeleccionControladores[[#This Row],[EA]:[SD]])</f>
        <v>116</v>
      </c>
      <c r="AB234" s="14">
        <v>1</v>
      </c>
      <c r="AH234" s="14">
        <v>2</v>
      </c>
      <c r="AI234" s="14">
        <v>3</v>
      </c>
      <c r="AJ234" s="14">
        <v>1</v>
      </c>
    </row>
    <row r="235" spans="17:36" x14ac:dyDescent="0.25">
      <c r="Q235">
        <f t="shared" si="5"/>
        <v>125</v>
      </c>
      <c r="R235" t="s">
        <v>831</v>
      </c>
      <c r="S235">
        <f>SUM(TablaSeleccionControladores[[#This Row],[M4-CGE04060-0]:[M4-CGM09090-0H]])</f>
        <v>1</v>
      </c>
      <c r="T235" s="14" cm="1">
        <f t="array" ref="T235">SUM(_xlfn.XLOOKUP(TablaSeleccionControladores[[#Headers],[M4-CGE04060-0]:[M4-XPM18000-0]],TablaControladores[[REFERENCIA]:[REFERENCIA]],TablaControladores[EA])*$AA235:$AJ235)</f>
        <v>0</v>
      </c>
      <c r="U235" s="14" cm="1">
        <f t="array" ref="U235">SUM(_xlfn.XLOOKUP(TablaSeleccionControladores[[#Headers],[M4-CGE04060-0]:[M4-XPM18000-0]],TablaControladores[[REFERENCIA]:[REFERENCIA]],TablaControladores[EU])*$AA235:$AJ235)</f>
        <v>7</v>
      </c>
      <c r="V235" s="14" cm="1">
        <f t="array" ref="V235">SUM(_xlfn.XLOOKUP(TablaSeleccionControladores[[#Headers],[M4-CGE04060-0]:[M4-XPM18000-0]],TablaControladores[[REFERENCIA]:[REFERENCIA]],TablaControladores[ED])*$AA235:$AJ235)</f>
        <v>2</v>
      </c>
      <c r="W235" s="14" cm="1">
        <f t="array" ref="W235">SUM(_xlfn.XLOOKUP(TablaSeleccionControladores[[#Headers],[M4-CGE04060-0]:[M4-XPM18000-0]],TablaControladores[[REFERENCIA]:[REFERENCIA]],TablaControladores[SA])*$AA235:$AJ235)</f>
        <v>2</v>
      </c>
      <c r="X235" s="14" cm="1">
        <f t="array" ref="X235">SUM(_xlfn.XLOOKUP(TablaSeleccionControladores[[#Headers],[M4-CGE04060-0]:[M4-XPM18000-0]],TablaControladores[[REFERENCIA]:[REFERENCIA]],TablaControladores[SC])*$AA235:$AJ235)</f>
        <v>4</v>
      </c>
      <c r="Y235" s="14" cm="1">
        <f t="array" ref="Y235">SUM(_xlfn.XLOOKUP(TablaSeleccionControladores[[#Headers],[M4-CGE04060-0]:[M4-XPM18000-0]],TablaControladores[[REFERENCIA]:[REFERENCIA]],TablaControladores[SD])*$AA235:$AJ235)</f>
        <v>3</v>
      </c>
      <c r="Z235" s="14">
        <f>SUM(TablaSeleccionControladores[[#This Row],[EA]:[SD]])</f>
        <v>18</v>
      </c>
      <c r="AC235" s="14">
        <v>1</v>
      </c>
      <c r="AH235" s="14">
        <v>0</v>
      </c>
      <c r="AI235" s="14">
        <v>0</v>
      </c>
      <c r="AJ235" s="14">
        <v>0</v>
      </c>
    </row>
    <row r="236" spans="17:36" x14ac:dyDescent="0.25">
      <c r="Q236">
        <f t="shared" si="5"/>
        <v>126</v>
      </c>
      <c r="R236" t="s">
        <v>831</v>
      </c>
      <c r="S236">
        <f>SUM(TablaSeleccionControladores[[#This Row],[M4-CGE04060-0]:[M4-CGM09090-0H]])</f>
        <v>1</v>
      </c>
      <c r="T236" s="14" cm="1">
        <f t="array" ref="T236">SUM(_xlfn.XLOOKUP(TablaSeleccionControladores[[#Headers],[M4-CGE04060-0]:[M4-XPM18000-0]],TablaControladores[[REFERENCIA]:[REFERENCIA]],TablaControladores[EA])*$AA236:$AJ236)</f>
        <v>0</v>
      </c>
      <c r="U236" s="14" cm="1">
        <f t="array" ref="U236">SUM(_xlfn.XLOOKUP(TablaSeleccionControladores[[#Headers],[M4-CGE04060-0]:[M4-XPM18000-0]],TablaControladores[[REFERENCIA]:[REFERENCIA]],TablaControladores[EU])*$AA236:$AJ236)</f>
        <v>7</v>
      </c>
      <c r="V236" s="14" cm="1">
        <f t="array" ref="V236">SUM(_xlfn.XLOOKUP(TablaSeleccionControladores[[#Headers],[M4-CGE04060-0]:[M4-XPM18000-0]],TablaControladores[[REFERENCIA]:[REFERENCIA]],TablaControladores[ED])*$AA236:$AJ236)</f>
        <v>20</v>
      </c>
      <c r="W236" s="14" cm="1">
        <f t="array" ref="W236">SUM(_xlfn.XLOOKUP(TablaSeleccionControladores[[#Headers],[M4-CGE04060-0]:[M4-XPM18000-0]],TablaControladores[[REFERENCIA]:[REFERENCIA]],TablaControladores[SA])*$AA236:$AJ236)</f>
        <v>2</v>
      </c>
      <c r="X236" s="14" cm="1">
        <f t="array" ref="X236">SUM(_xlfn.XLOOKUP(TablaSeleccionControladores[[#Headers],[M4-CGE04060-0]:[M4-XPM18000-0]],TablaControladores[[REFERENCIA]:[REFERENCIA]],TablaControladores[SC])*$AA236:$AJ236)</f>
        <v>4</v>
      </c>
      <c r="Y236" s="14" cm="1">
        <f t="array" ref="Y236">SUM(_xlfn.XLOOKUP(TablaSeleccionControladores[[#Headers],[M4-CGE04060-0]:[M4-XPM18000-0]],TablaControladores[[REFERENCIA]:[REFERENCIA]],TablaControladores[SD])*$AA236:$AJ236)</f>
        <v>3</v>
      </c>
      <c r="Z236" s="14">
        <f>SUM(TablaSeleccionControladores[[#This Row],[EA]:[SD]])</f>
        <v>36</v>
      </c>
      <c r="AC236" s="14">
        <v>1</v>
      </c>
      <c r="AH236" s="14">
        <v>0</v>
      </c>
      <c r="AI236" s="14">
        <v>0</v>
      </c>
      <c r="AJ236" s="14">
        <v>1</v>
      </c>
    </row>
    <row r="237" spans="17:36" x14ac:dyDescent="0.25">
      <c r="Q237">
        <f t="shared" si="5"/>
        <v>127</v>
      </c>
      <c r="R237" t="s">
        <v>831</v>
      </c>
      <c r="S237">
        <f>SUM(TablaSeleccionControladores[[#This Row],[M4-CGE04060-0]:[M4-CGM09090-0H]])</f>
        <v>1</v>
      </c>
      <c r="T237" s="14" cm="1">
        <f t="array" ref="T237">SUM(_xlfn.XLOOKUP(TablaSeleccionControladores[[#Headers],[M4-CGE04060-0]:[M4-XPM18000-0]],TablaControladores[[REFERENCIA]:[REFERENCIA]],TablaControladores[EA])*$AA237:$AJ237)</f>
        <v>0</v>
      </c>
      <c r="U237" s="14" cm="1">
        <f t="array" ref="U237">SUM(_xlfn.XLOOKUP(TablaSeleccionControladores[[#Headers],[M4-CGE04060-0]:[M4-XPM18000-0]],TablaControladores[[REFERENCIA]:[REFERENCIA]],TablaControladores[EU])*$AA237:$AJ237)</f>
        <v>7</v>
      </c>
      <c r="V237" s="14" cm="1">
        <f t="array" ref="V237">SUM(_xlfn.XLOOKUP(TablaSeleccionControladores[[#Headers],[M4-CGE04060-0]:[M4-XPM18000-0]],TablaControladores[[REFERENCIA]:[REFERENCIA]],TablaControladores[ED])*$AA237:$AJ237)</f>
        <v>38</v>
      </c>
      <c r="W237" s="14" cm="1">
        <f t="array" ref="W237">SUM(_xlfn.XLOOKUP(TablaSeleccionControladores[[#Headers],[M4-CGE04060-0]:[M4-XPM18000-0]],TablaControladores[[REFERENCIA]:[REFERENCIA]],TablaControladores[SA])*$AA237:$AJ237)</f>
        <v>2</v>
      </c>
      <c r="X237" s="14" cm="1">
        <f t="array" ref="X237">SUM(_xlfn.XLOOKUP(TablaSeleccionControladores[[#Headers],[M4-CGE04060-0]:[M4-XPM18000-0]],TablaControladores[[REFERENCIA]:[REFERENCIA]],TablaControladores[SC])*$AA237:$AJ237)</f>
        <v>4</v>
      </c>
      <c r="Y237" s="14" cm="1">
        <f t="array" ref="Y237">SUM(_xlfn.XLOOKUP(TablaSeleccionControladores[[#Headers],[M4-CGE04060-0]:[M4-XPM18000-0]],TablaControladores[[REFERENCIA]:[REFERENCIA]],TablaControladores[SD])*$AA237:$AJ237)</f>
        <v>3</v>
      </c>
      <c r="Z237" s="14">
        <f>SUM(TablaSeleccionControladores[[#This Row],[EA]:[SD]])</f>
        <v>54</v>
      </c>
      <c r="AC237" s="14">
        <v>1</v>
      </c>
      <c r="AH237" s="14">
        <v>0</v>
      </c>
      <c r="AI237" s="14">
        <v>0</v>
      </c>
      <c r="AJ237" s="14">
        <v>2</v>
      </c>
    </row>
    <row r="238" spans="17:36" x14ac:dyDescent="0.25">
      <c r="Q238">
        <f t="shared" si="5"/>
        <v>128</v>
      </c>
      <c r="R238" t="s">
        <v>831</v>
      </c>
      <c r="S238">
        <f>SUM(TablaSeleccionControladores[[#This Row],[M4-CGE04060-0]:[M4-CGM09090-0H]])</f>
        <v>1</v>
      </c>
      <c r="T238" s="14" cm="1">
        <f t="array" ref="T238">SUM(_xlfn.XLOOKUP(TablaSeleccionControladores[[#Headers],[M4-CGE04060-0]:[M4-XPM18000-0]],TablaControladores[[REFERENCIA]:[REFERENCIA]],TablaControladores[EA])*$AA238:$AJ238)</f>
        <v>0</v>
      </c>
      <c r="U238" s="14" cm="1">
        <f t="array" ref="U238">SUM(_xlfn.XLOOKUP(TablaSeleccionControladores[[#Headers],[M4-CGE04060-0]:[M4-XPM18000-0]],TablaControladores[[REFERENCIA]:[REFERENCIA]],TablaControladores[EU])*$AA238:$AJ238)</f>
        <v>7</v>
      </c>
      <c r="V238" s="14" cm="1">
        <f t="array" ref="V238">SUM(_xlfn.XLOOKUP(TablaSeleccionControladores[[#Headers],[M4-CGE04060-0]:[M4-XPM18000-0]],TablaControladores[[REFERENCIA]:[REFERENCIA]],TablaControladores[ED])*$AA238:$AJ238)</f>
        <v>56</v>
      </c>
      <c r="W238" s="14" cm="1">
        <f t="array" ref="W238">SUM(_xlfn.XLOOKUP(TablaSeleccionControladores[[#Headers],[M4-CGE04060-0]:[M4-XPM18000-0]],TablaControladores[[REFERENCIA]:[REFERENCIA]],TablaControladores[SA])*$AA238:$AJ238)</f>
        <v>2</v>
      </c>
      <c r="X238" s="14" cm="1">
        <f t="array" ref="X238">SUM(_xlfn.XLOOKUP(TablaSeleccionControladores[[#Headers],[M4-CGE04060-0]:[M4-XPM18000-0]],TablaControladores[[REFERENCIA]:[REFERENCIA]],TablaControladores[SC])*$AA238:$AJ238)</f>
        <v>4</v>
      </c>
      <c r="Y238" s="14" cm="1">
        <f t="array" ref="Y238">SUM(_xlfn.XLOOKUP(TablaSeleccionControladores[[#Headers],[M4-CGE04060-0]:[M4-XPM18000-0]],TablaControladores[[REFERENCIA]:[REFERENCIA]],TablaControladores[SD])*$AA238:$AJ238)</f>
        <v>3</v>
      </c>
      <c r="Z238" s="14">
        <f>SUM(TablaSeleccionControladores[[#This Row],[EA]:[SD]])</f>
        <v>72</v>
      </c>
      <c r="AC238" s="14">
        <v>1</v>
      </c>
      <c r="AH238" s="14">
        <v>0</v>
      </c>
      <c r="AI238" s="14">
        <v>0</v>
      </c>
      <c r="AJ238" s="14">
        <v>3</v>
      </c>
    </row>
    <row r="239" spans="17:36" x14ac:dyDescent="0.25">
      <c r="Q239">
        <f t="shared" ref="Q239:Q302" si="6">ROW()-110</f>
        <v>129</v>
      </c>
      <c r="R239" t="s">
        <v>831</v>
      </c>
      <c r="S239">
        <f>SUM(TablaSeleccionControladores[[#This Row],[M4-CGE04060-0]:[M4-CGM09090-0H]])</f>
        <v>1</v>
      </c>
      <c r="T239" s="14" cm="1">
        <f t="array" ref="T239">SUM(_xlfn.XLOOKUP(TablaSeleccionControladores[[#Headers],[M4-CGE04060-0]:[M4-XPM18000-0]],TablaControladores[[REFERENCIA]:[REFERENCIA]],TablaControladores[EA])*$AA239:$AJ239)</f>
        <v>0</v>
      </c>
      <c r="U239" s="14" cm="1">
        <f t="array" ref="U239">SUM(_xlfn.XLOOKUP(TablaSeleccionControladores[[#Headers],[M4-CGE04060-0]:[M4-XPM18000-0]],TablaControladores[[REFERENCIA]:[REFERENCIA]],TablaControladores[EU])*$AA239:$AJ239)</f>
        <v>7</v>
      </c>
      <c r="V239" s="14" cm="1">
        <f t="array" ref="V239">SUM(_xlfn.XLOOKUP(TablaSeleccionControladores[[#Headers],[M4-CGE04060-0]:[M4-XPM18000-0]],TablaControladores[[REFERENCIA]:[REFERENCIA]],TablaControladores[ED])*$AA239:$AJ239)</f>
        <v>74</v>
      </c>
      <c r="W239" s="14" cm="1">
        <f t="array" ref="W239">SUM(_xlfn.XLOOKUP(TablaSeleccionControladores[[#Headers],[M4-CGE04060-0]:[M4-XPM18000-0]],TablaControladores[[REFERENCIA]:[REFERENCIA]],TablaControladores[SA])*$AA239:$AJ239)</f>
        <v>2</v>
      </c>
      <c r="X239" s="14" cm="1">
        <f t="array" ref="X239">SUM(_xlfn.XLOOKUP(TablaSeleccionControladores[[#Headers],[M4-CGE04060-0]:[M4-XPM18000-0]],TablaControladores[[REFERENCIA]:[REFERENCIA]],TablaControladores[SC])*$AA239:$AJ239)</f>
        <v>4</v>
      </c>
      <c r="Y239" s="14" cm="1">
        <f t="array" ref="Y239">SUM(_xlfn.XLOOKUP(TablaSeleccionControladores[[#Headers],[M4-CGE04060-0]:[M4-XPM18000-0]],TablaControladores[[REFERENCIA]:[REFERENCIA]],TablaControladores[SD])*$AA239:$AJ239)</f>
        <v>3</v>
      </c>
      <c r="Z239" s="14">
        <f>SUM(TablaSeleccionControladores[[#This Row],[EA]:[SD]])</f>
        <v>90</v>
      </c>
      <c r="AC239" s="14">
        <v>1</v>
      </c>
      <c r="AH239" s="14">
        <v>0</v>
      </c>
      <c r="AI239" s="14">
        <v>0</v>
      </c>
      <c r="AJ239" s="14">
        <v>4</v>
      </c>
    </row>
    <row r="240" spans="17:36" x14ac:dyDescent="0.25">
      <c r="Q240">
        <f t="shared" si="6"/>
        <v>130</v>
      </c>
      <c r="R240" t="s">
        <v>831</v>
      </c>
      <c r="S240">
        <f>SUM(TablaSeleccionControladores[[#This Row],[M4-CGE04060-0]:[M4-CGM09090-0H]])</f>
        <v>1</v>
      </c>
      <c r="T240" s="14" cm="1">
        <f t="array" ref="T240">SUM(_xlfn.XLOOKUP(TablaSeleccionControladores[[#Headers],[M4-CGE04060-0]:[M4-XPM18000-0]],TablaControladores[[REFERENCIA]:[REFERENCIA]],TablaControladores[EA])*$AA240:$AJ240)</f>
        <v>0</v>
      </c>
      <c r="U240" s="14" cm="1">
        <f t="array" ref="U240">SUM(_xlfn.XLOOKUP(TablaSeleccionControladores[[#Headers],[M4-CGE04060-0]:[M4-XPM18000-0]],TablaControladores[[REFERENCIA]:[REFERENCIA]],TablaControladores[EU])*$AA240:$AJ240)</f>
        <v>7</v>
      </c>
      <c r="V240" s="14" cm="1">
        <f t="array" ref="V240">SUM(_xlfn.XLOOKUP(TablaSeleccionControladores[[#Headers],[M4-CGE04060-0]:[M4-XPM18000-0]],TablaControladores[[REFERENCIA]:[REFERENCIA]],TablaControladores[ED])*$AA240:$AJ240)</f>
        <v>92</v>
      </c>
      <c r="W240" s="14" cm="1">
        <f t="array" ref="W240">SUM(_xlfn.XLOOKUP(TablaSeleccionControladores[[#Headers],[M4-CGE04060-0]:[M4-XPM18000-0]],TablaControladores[[REFERENCIA]:[REFERENCIA]],TablaControladores[SA])*$AA240:$AJ240)</f>
        <v>2</v>
      </c>
      <c r="X240" s="14" cm="1">
        <f t="array" ref="X240">SUM(_xlfn.XLOOKUP(TablaSeleccionControladores[[#Headers],[M4-CGE04060-0]:[M4-XPM18000-0]],TablaControladores[[REFERENCIA]:[REFERENCIA]],TablaControladores[SC])*$AA240:$AJ240)</f>
        <v>4</v>
      </c>
      <c r="Y240" s="14" cm="1">
        <f t="array" ref="Y240">SUM(_xlfn.XLOOKUP(TablaSeleccionControladores[[#Headers],[M4-CGE04060-0]:[M4-XPM18000-0]],TablaControladores[[REFERENCIA]:[REFERENCIA]],TablaControladores[SD])*$AA240:$AJ240)</f>
        <v>3</v>
      </c>
      <c r="Z240" s="14">
        <f>SUM(TablaSeleccionControladores[[#This Row],[EA]:[SD]])</f>
        <v>108</v>
      </c>
      <c r="AC240" s="14">
        <v>1</v>
      </c>
      <c r="AH240" s="14">
        <v>0</v>
      </c>
      <c r="AI240" s="14">
        <v>0</v>
      </c>
      <c r="AJ240" s="14">
        <v>5</v>
      </c>
    </row>
    <row r="241" spans="17:36" x14ac:dyDescent="0.25">
      <c r="Q241">
        <f t="shared" si="6"/>
        <v>131</v>
      </c>
      <c r="R241" t="s">
        <v>831</v>
      </c>
      <c r="S241">
        <f>SUM(TablaSeleccionControladores[[#This Row],[M4-CGE04060-0]:[M4-CGM09090-0H]])</f>
        <v>1</v>
      </c>
      <c r="T241" s="14" cm="1">
        <f t="array" ref="T241">SUM(_xlfn.XLOOKUP(TablaSeleccionControladores[[#Headers],[M4-CGE04060-0]:[M4-XPM18000-0]],TablaControladores[[REFERENCIA]:[REFERENCIA]],TablaControladores[EA])*$AA241:$AJ241)</f>
        <v>0</v>
      </c>
      <c r="U241" s="14" cm="1">
        <f t="array" ref="U241">SUM(_xlfn.XLOOKUP(TablaSeleccionControladores[[#Headers],[M4-CGE04060-0]:[M4-XPM18000-0]],TablaControladores[[REFERENCIA]:[REFERENCIA]],TablaControladores[EU])*$AA241:$AJ241)</f>
        <v>7</v>
      </c>
      <c r="V241" s="14" cm="1">
        <f t="array" ref="V241">SUM(_xlfn.XLOOKUP(TablaSeleccionControladores[[#Headers],[M4-CGE04060-0]:[M4-XPM18000-0]],TablaControladores[[REFERENCIA]:[REFERENCIA]],TablaControladores[ED])*$AA241:$AJ241)</f>
        <v>110</v>
      </c>
      <c r="W241" s="14" cm="1">
        <f t="array" ref="W241">SUM(_xlfn.XLOOKUP(TablaSeleccionControladores[[#Headers],[M4-CGE04060-0]:[M4-XPM18000-0]],TablaControladores[[REFERENCIA]:[REFERENCIA]],TablaControladores[SA])*$AA241:$AJ241)</f>
        <v>2</v>
      </c>
      <c r="X241" s="14" cm="1">
        <f t="array" ref="X241">SUM(_xlfn.XLOOKUP(TablaSeleccionControladores[[#Headers],[M4-CGE04060-0]:[M4-XPM18000-0]],TablaControladores[[REFERENCIA]:[REFERENCIA]],TablaControladores[SC])*$AA241:$AJ241)</f>
        <v>4</v>
      </c>
      <c r="Y241" s="14" cm="1">
        <f t="array" ref="Y241">SUM(_xlfn.XLOOKUP(TablaSeleccionControladores[[#Headers],[M4-CGE04060-0]:[M4-XPM18000-0]],TablaControladores[[REFERENCIA]:[REFERENCIA]],TablaControladores[SD])*$AA241:$AJ241)</f>
        <v>3</v>
      </c>
      <c r="Z241" s="14">
        <f>SUM(TablaSeleccionControladores[[#This Row],[EA]:[SD]])</f>
        <v>126</v>
      </c>
      <c r="AC241" s="14">
        <v>1</v>
      </c>
      <c r="AH241" s="14">
        <v>0</v>
      </c>
      <c r="AI241" s="14">
        <v>0</v>
      </c>
      <c r="AJ241" s="14">
        <v>6</v>
      </c>
    </row>
    <row r="242" spans="17:36" x14ac:dyDescent="0.25">
      <c r="Q242">
        <f t="shared" si="6"/>
        <v>132</v>
      </c>
      <c r="R242" t="s">
        <v>831</v>
      </c>
      <c r="S242">
        <f>SUM(TablaSeleccionControladores[[#This Row],[M4-CGE04060-0]:[M4-CGM09090-0H]])</f>
        <v>1</v>
      </c>
      <c r="T242" s="14" cm="1">
        <f t="array" ref="T242">SUM(_xlfn.XLOOKUP(TablaSeleccionControladores[[#Headers],[M4-CGE04060-0]:[M4-XPM18000-0]],TablaControladores[[REFERENCIA]:[REFERENCIA]],TablaControladores[EA])*$AA242:$AJ242)</f>
        <v>0</v>
      </c>
      <c r="U242" s="14" cm="1">
        <f t="array" ref="U242">SUM(_xlfn.XLOOKUP(TablaSeleccionControladores[[#Headers],[M4-CGE04060-0]:[M4-XPM18000-0]],TablaControladores[[REFERENCIA]:[REFERENCIA]],TablaControladores[EU])*$AA242:$AJ242)</f>
        <v>14</v>
      </c>
      <c r="V242" s="14" cm="1">
        <f t="array" ref="V242">SUM(_xlfn.XLOOKUP(TablaSeleccionControladores[[#Headers],[M4-CGE04060-0]:[M4-XPM18000-0]],TablaControladores[[REFERENCIA]:[REFERENCIA]],TablaControladores[ED])*$AA242:$AJ242)</f>
        <v>4</v>
      </c>
      <c r="W242" s="14" cm="1">
        <f t="array" ref="W242">SUM(_xlfn.XLOOKUP(TablaSeleccionControladores[[#Headers],[M4-CGE04060-0]:[M4-XPM18000-0]],TablaControladores[[REFERENCIA]:[REFERENCIA]],TablaControladores[SA])*$AA242:$AJ242)</f>
        <v>4</v>
      </c>
      <c r="X242" s="14" cm="1">
        <f t="array" ref="X242">SUM(_xlfn.XLOOKUP(TablaSeleccionControladores[[#Headers],[M4-CGE04060-0]:[M4-XPM18000-0]],TablaControladores[[REFERENCIA]:[REFERENCIA]],TablaControladores[SC])*$AA242:$AJ242)</f>
        <v>8</v>
      </c>
      <c r="Y242" s="14" cm="1">
        <f t="array" ref="Y242">SUM(_xlfn.XLOOKUP(TablaSeleccionControladores[[#Headers],[M4-CGE04060-0]:[M4-XPM18000-0]],TablaControladores[[REFERENCIA]:[REFERENCIA]],TablaControladores[SD])*$AA242:$AJ242)</f>
        <v>6</v>
      </c>
      <c r="Z242" s="14">
        <f>SUM(TablaSeleccionControladores[[#This Row],[EA]:[SD]])</f>
        <v>36</v>
      </c>
      <c r="AC242" s="14">
        <v>1</v>
      </c>
      <c r="AH242" s="14">
        <v>0</v>
      </c>
      <c r="AI242" s="14">
        <v>1</v>
      </c>
      <c r="AJ242" s="14">
        <v>0</v>
      </c>
    </row>
    <row r="243" spans="17:36" x14ac:dyDescent="0.25">
      <c r="Q243">
        <f t="shared" si="6"/>
        <v>133</v>
      </c>
      <c r="R243" t="s">
        <v>831</v>
      </c>
      <c r="S243">
        <f>SUM(TablaSeleccionControladores[[#This Row],[M4-CGE04060-0]:[M4-CGM09090-0H]])</f>
        <v>1</v>
      </c>
      <c r="T243" s="14" cm="1">
        <f t="array" ref="T243">SUM(_xlfn.XLOOKUP(TablaSeleccionControladores[[#Headers],[M4-CGE04060-0]:[M4-XPM18000-0]],TablaControladores[[REFERENCIA]:[REFERENCIA]],TablaControladores[EA])*$AA243:$AJ243)</f>
        <v>0</v>
      </c>
      <c r="U243" s="14" cm="1">
        <f t="array" ref="U243">SUM(_xlfn.XLOOKUP(TablaSeleccionControladores[[#Headers],[M4-CGE04060-0]:[M4-XPM18000-0]],TablaControladores[[REFERENCIA]:[REFERENCIA]],TablaControladores[EU])*$AA243:$AJ243)</f>
        <v>14</v>
      </c>
      <c r="V243" s="14" cm="1">
        <f t="array" ref="V243">SUM(_xlfn.XLOOKUP(TablaSeleccionControladores[[#Headers],[M4-CGE04060-0]:[M4-XPM18000-0]],TablaControladores[[REFERENCIA]:[REFERENCIA]],TablaControladores[ED])*$AA243:$AJ243)</f>
        <v>22</v>
      </c>
      <c r="W243" s="14" cm="1">
        <f t="array" ref="W243">SUM(_xlfn.XLOOKUP(TablaSeleccionControladores[[#Headers],[M4-CGE04060-0]:[M4-XPM18000-0]],TablaControladores[[REFERENCIA]:[REFERENCIA]],TablaControladores[SA])*$AA243:$AJ243)</f>
        <v>4</v>
      </c>
      <c r="X243" s="14" cm="1">
        <f t="array" ref="X243">SUM(_xlfn.XLOOKUP(TablaSeleccionControladores[[#Headers],[M4-CGE04060-0]:[M4-XPM18000-0]],TablaControladores[[REFERENCIA]:[REFERENCIA]],TablaControladores[SC])*$AA243:$AJ243)</f>
        <v>8</v>
      </c>
      <c r="Y243" s="14" cm="1">
        <f t="array" ref="Y243">SUM(_xlfn.XLOOKUP(TablaSeleccionControladores[[#Headers],[M4-CGE04060-0]:[M4-XPM18000-0]],TablaControladores[[REFERENCIA]:[REFERENCIA]],TablaControladores[SD])*$AA243:$AJ243)</f>
        <v>6</v>
      </c>
      <c r="Z243" s="14">
        <f>SUM(TablaSeleccionControladores[[#This Row],[EA]:[SD]])</f>
        <v>54</v>
      </c>
      <c r="AC243" s="14">
        <v>1</v>
      </c>
      <c r="AH243" s="14">
        <v>0</v>
      </c>
      <c r="AI243" s="14">
        <v>1</v>
      </c>
      <c r="AJ243" s="14">
        <v>1</v>
      </c>
    </row>
    <row r="244" spans="17:36" x14ac:dyDescent="0.25">
      <c r="Q244">
        <f t="shared" si="6"/>
        <v>134</v>
      </c>
      <c r="R244" t="s">
        <v>831</v>
      </c>
      <c r="S244">
        <f>SUM(TablaSeleccionControladores[[#This Row],[M4-CGE04060-0]:[M4-CGM09090-0H]])</f>
        <v>1</v>
      </c>
      <c r="T244" s="14" cm="1">
        <f t="array" ref="T244">SUM(_xlfn.XLOOKUP(TablaSeleccionControladores[[#Headers],[M4-CGE04060-0]:[M4-XPM18000-0]],TablaControladores[[REFERENCIA]:[REFERENCIA]],TablaControladores[EA])*$AA244:$AJ244)</f>
        <v>0</v>
      </c>
      <c r="U244" s="14" cm="1">
        <f t="array" ref="U244">SUM(_xlfn.XLOOKUP(TablaSeleccionControladores[[#Headers],[M4-CGE04060-0]:[M4-XPM18000-0]],TablaControladores[[REFERENCIA]:[REFERENCIA]],TablaControladores[EU])*$AA244:$AJ244)</f>
        <v>14</v>
      </c>
      <c r="V244" s="14" cm="1">
        <f t="array" ref="V244">SUM(_xlfn.XLOOKUP(TablaSeleccionControladores[[#Headers],[M4-CGE04060-0]:[M4-XPM18000-0]],TablaControladores[[REFERENCIA]:[REFERENCIA]],TablaControladores[ED])*$AA244:$AJ244)</f>
        <v>40</v>
      </c>
      <c r="W244" s="14" cm="1">
        <f t="array" ref="W244">SUM(_xlfn.XLOOKUP(TablaSeleccionControladores[[#Headers],[M4-CGE04060-0]:[M4-XPM18000-0]],TablaControladores[[REFERENCIA]:[REFERENCIA]],TablaControladores[SA])*$AA244:$AJ244)</f>
        <v>4</v>
      </c>
      <c r="X244" s="14" cm="1">
        <f t="array" ref="X244">SUM(_xlfn.XLOOKUP(TablaSeleccionControladores[[#Headers],[M4-CGE04060-0]:[M4-XPM18000-0]],TablaControladores[[REFERENCIA]:[REFERENCIA]],TablaControladores[SC])*$AA244:$AJ244)</f>
        <v>8</v>
      </c>
      <c r="Y244" s="14" cm="1">
        <f t="array" ref="Y244">SUM(_xlfn.XLOOKUP(TablaSeleccionControladores[[#Headers],[M4-CGE04060-0]:[M4-XPM18000-0]],TablaControladores[[REFERENCIA]:[REFERENCIA]],TablaControladores[SD])*$AA244:$AJ244)</f>
        <v>6</v>
      </c>
      <c r="Z244" s="14">
        <f>SUM(TablaSeleccionControladores[[#This Row],[EA]:[SD]])</f>
        <v>72</v>
      </c>
      <c r="AC244" s="14">
        <v>1</v>
      </c>
      <c r="AH244" s="14">
        <v>0</v>
      </c>
      <c r="AI244" s="14">
        <v>1</v>
      </c>
      <c r="AJ244" s="14">
        <v>2</v>
      </c>
    </row>
    <row r="245" spans="17:36" x14ac:dyDescent="0.25">
      <c r="Q245">
        <f t="shared" si="6"/>
        <v>135</v>
      </c>
      <c r="R245" t="s">
        <v>831</v>
      </c>
      <c r="S245">
        <f>SUM(TablaSeleccionControladores[[#This Row],[M4-CGE04060-0]:[M4-CGM09090-0H]])</f>
        <v>1</v>
      </c>
      <c r="T245" s="14" cm="1">
        <f t="array" ref="T245">SUM(_xlfn.XLOOKUP(TablaSeleccionControladores[[#Headers],[M4-CGE04060-0]:[M4-XPM18000-0]],TablaControladores[[REFERENCIA]:[REFERENCIA]],TablaControladores[EA])*$AA245:$AJ245)</f>
        <v>0</v>
      </c>
      <c r="U245" s="14" cm="1">
        <f t="array" ref="U245">SUM(_xlfn.XLOOKUP(TablaSeleccionControladores[[#Headers],[M4-CGE04060-0]:[M4-XPM18000-0]],TablaControladores[[REFERENCIA]:[REFERENCIA]],TablaControladores[EU])*$AA245:$AJ245)</f>
        <v>14</v>
      </c>
      <c r="V245" s="14" cm="1">
        <f t="array" ref="V245">SUM(_xlfn.XLOOKUP(TablaSeleccionControladores[[#Headers],[M4-CGE04060-0]:[M4-XPM18000-0]],TablaControladores[[REFERENCIA]:[REFERENCIA]],TablaControladores[ED])*$AA245:$AJ245)</f>
        <v>58</v>
      </c>
      <c r="W245" s="14" cm="1">
        <f t="array" ref="W245">SUM(_xlfn.XLOOKUP(TablaSeleccionControladores[[#Headers],[M4-CGE04060-0]:[M4-XPM18000-0]],TablaControladores[[REFERENCIA]:[REFERENCIA]],TablaControladores[SA])*$AA245:$AJ245)</f>
        <v>4</v>
      </c>
      <c r="X245" s="14" cm="1">
        <f t="array" ref="X245">SUM(_xlfn.XLOOKUP(TablaSeleccionControladores[[#Headers],[M4-CGE04060-0]:[M4-XPM18000-0]],TablaControladores[[REFERENCIA]:[REFERENCIA]],TablaControladores[SC])*$AA245:$AJ245)</f>
        <v>8</v>
      </c>
      <c r="Y245" s="14" cm="1">
        <f t="array" ref="Y245">SUM(_xlfn.XLOOKUP(TablaSeleccionControladores[[#Headers],[M4-CGE04060-0]:[M4-XPM18000-0]],TablaControladores[[REFERENCIA]:[REFERENCIA]],TablaControladores[SD])*$AA245:$AJ245)</f>
        <v>6</v>
      </c>
      <c r="Z245" s="14">
        <f>SUM(TablaSeleccionControladores[[#This Row],[EA]:[SD]])</f>
        <v>90</v>
      </c>
      <c r="AC245" s="14">
        <v>1</v>
      </c>
      <c r="AH245" s="14">
        <v>0</v>
      </c>
      <c r="AI245" s="14">
        <v>1</v>
      </c>
      <c r="AJ245" s="14">
        <v>3</v>
      </c>
    </row>
    <row r="246" spans="17:36" x14ac:dyDescent="0.25">
      <c r="Q246">
        <f t="shared" si="6"/>
        <v>136</v>
      </c>
      <c r="R246" t="s">
        <v>831</v>
      </c>
      <c r="S246">
        <f>SUM(TablaSeleccionControladores[[#This Row],[M4-CGE04060-0]:[M4-CGM09090-0H]])</f>
        <v>1</v>
      </c>
      <c r="T246" s="14" cm="1">
        <f t="array" ref="T246">SUM(_xlfn.XLOOKUP(TablaSeleccionControladores[[#Headers],[M4-CGE04060-0]:[M4-XPM18000-0]],TablaControladores[[REFERENCIA]:[REFERENCIA]],TablaControladores[EA])*$AA246:$AJ246)</f>
        <v>0</v>
      </c>
      <c r="U246" s="14" cm="1">
        <f t="array" ref="U246">SUM(_xlfn.XLOOKUP(TablaSeleccionControladores[[#Headers],[M4-CGE04060-0]:[M4-XPM18000-0]],TablaControladores[[REFERENCIA]:[REFERENCIA]],TablaControladores[EU])*$AA246:$AJ246)</f>
        <v>14</v>
      </c>
      <c r="V246" s="14" cm="1">
        <f t="array" ref="V246">SUM(_xlfn.XLOOKUP(TablaSeleccionControladores[[#Headers],[M4-CGE04060-0]:[M4-XPM18000-0]],TablaControladores[[REFERENCIA]:[REFERENCIA]],TablaControladores[ED])*$AA246:$AJ246)</f>
        <v>76</v>
      </c>
      <c r="W246" s="14" cm="1">
        <f t="array" ref="W246">SUM(_xlfn.XLOOKUP(TablaSeleccionControladores[[#Headers],[M4-CGE04060-0]:[M4-XPM18000-0]],TablaControladores[[REFERENCIA]:[REFERENCIA]],TablaControladores[SA])*$AA246:$AJ246)</f>
        <v>4</v>
      </c>
      <c r="X246" s="14" cm="1">
        <f t="array" ref="X246">SUM(_xlfn.XLOOKUP(TablaSeleccionControladores[[#Headers],[M4-CGE04060-0]:[M4-XPM18000-0]],TablaControladores[[REFERENCIA]:[REFERENCIA]],TablaControladores[SC])*$AA246:$AJ246)</f>
        <v>8</v>
      </c>
      <c r="Y246" s="14" cm="1">
        <f t="array" ref="Y246">SUM(_xlfn.XLOOKUP(TablaSeleccionControladores[[#Headers],[M4-CGE04060-0]:[M4-XPM18000-0]],TablaControladores[[REFERENCIA]:[REFERENCIA]],TablaControladores[SD])*$AA246:$AJ246)</f>
        <v>6</v>
      </c>
      <c r="Z246" s="14">
        <f>SUM(TablaSeleccionControladores[[#This Row],[EA]:[SD]])</f>
        <v>108</v>
      </c>
      <c r="AC246" s="14">
        <v>1</v>
      </c>
      <c r="AH246" s="14">
        <v>0</v>
      </c>
      <c r="AI246" s="14">
        <v>1</v>
      </c>
      <c r="AJ246" s="14">
        <v>4</v>
      </c>
    </row>
    <row r="247" spans="17:36" x14ac:dyDescent="0.25">
      <c r="Q247">
        <f t="shared" si="6"/>
        <v>137</v>
      </c>
      <c r="R247" t="s">
        <v>831</v>
      </c>
      <c r="S247">
        <f>SUM(TablaSeleccionControladores[[#This Row],[M4-CGE04060-0]:[M4-CGM09090-0H]])</f>
        <v>1</v>
      </c>
      <c r="T247" s="14" cm="1">
        <f t="array" ref="T247">SUM(_xlfn.XLOOKUP(TablaSeleccionControladores[[#Headers],[M4-CGE04060-0]:[M4-XPM18000-0]],TablaControladores[[REFERENCIA]:[REFERENCIA]],TablaControladores[EA])*$AA247:$AJ247)</f>
        <v>0</v>
      </c>
      <c r="U247" s="14" cm="1">
        <f t="array" ref="U247">SUM(_xlfn.XLOOKUP(TablaSeleccionControladores[[#Headers],[M4-CGE04060-0]:[M4-XPM18000-0]],TablaControladores[[REFERENCIA]:[REFERENCIA]],TablaControladores[EU])*$AA247:$AJ247)</f>
        <v>14</v>
      </c>
      <c r="V247" s="14" cm="1">
        <f t="array" ref="V247">SUM(_xlfn.XLOOKUP(TablaSeleccionControladores[[#Headers],[M4-CGE04060-0]:[M4-XPM18000-0]],TablaControladores[[REFERENCIA]:[REFERENCIA]],TablaControladores[ED])*$AA247:$AJ247)</f>
        <v>94</v>
      </c>
      <c r="W247" s="14" cm="1">
        <f t="array" ref="W247">SUM(_xlfn.XLOOKUP(TablaSeleccionControladores[[#Headers],[M4-CGE04060-0]:[M4-XPM18000-0]],TablaControladores[[REFERENCIA]:[REFERENCIA]],TablaControladores[SA])*$AA247:$AJ247)</f>
        <v>4</v>
      </c>
      <c r="X247" s="14" cm="1">
        <f t="array" ref="X247">SUM(_xlfn.XLOOKUP(TablaSeleccionControladores[[#Headers],[M4-CGE04060-0]:[M4-XPM18000-0]],TablaControladores[[REFERENCIA]:[REFERENCIA]],TablaControladores[SC])*$AA247:$AJ247)</f>
        <v>8</v>
      </c>
      <c r="Y247" s="14" cm="1">
        <f t="array" ref="Y247">SUM(_xlfn.XLOOKUP(TablaSeleccionControladores[[#Headers],[M4-CGE04060-0]:[M4-XPM18000-0]],TablaControladores[[REFERENCIA]:[REFERENCIA]],TablaControladores[SD])*$AA247:$AJ247)</f>
        <v>6</v>
      </c>
      <c r="Z247" s="14">
        <f>SUM(TablaSeleccionControladores[[#This Row],[EA]:[SD]])</f>
        <v>126</v>
      </c>
      <c r="AC247" s="14">
        <v>1</v>
      </c>
      <c r="AH247" s="14">
        <v>0</v>
      </c>
      <c r="AI247" s="14">
        <v>1</v>
      </c>
      <c r="AJ247" s="14">
        <v>5</v>
      </c>
    </row>
    <row r="248" spans="17:36" x14ac:dyDescent="0.25">
      <c r="Q248">
        <f t="shared" si="6"/>
        <v>138</v>
      </c>
      <c r="R248" t="s">
        <v>831</v>
      </c>
      <c r="S248">
        <f>SUM(TablaSeleccionControladores[[#This Row],[M4-CGE04060-0]:[M4-CGM09090-0H]])</f>
        <v>1</v>
      </c>
      <c r="T248" s="14" cm="1">
        <f t="array" ref="T248">SUM(_xlfn.XLOOKUP(TablaSeleccionControladores[[#Headers],[M4-CGE04060-0]:[M4-XPM18000-0]],TablaControladores[[REFERENCIA]:[REFERENCIA]],TablaControladores[EA])*$AA248:$AJ248)</f>
        <v>0</v>
      </c>
      <c r="U248" s="14" cm="1">
        <f t="array" ref="U248">SUM(_xlfn.XLOOKUP(TablaSeleccionControladores[[#Headers],[M4-CGE04060-0]:[M4-XPM18000-0]],TablaControladores[[REFERENCIA]:[REFERENCIA]],TablaControladores[EU])*$AA248:$AJ248)</f>
        <v>21</v>
      </c>
      <c r="V248" s="14" cm="1">
        <f t="array" ref="V248">SUM(_xlfn.XLOOKUP(TablaSeleccionControladores[[#Headers],[M4-CGE04060-0]:[M4-XPM18000-0]],TablaControladores[[REFERENCIA]:[REFERENCIA]],TablaControladores[ED])*$AA248:$AJ248)</f>
        <v>6</v>
      </c>
      <c r="W248" s="14" cm="1">
        <f t="array" ref="W248">SUM(_xlfn.XLOOKUP(TablaSeleccionControladores[[#Headers],[M4-CGE04060-0]:[M4-XPM18000-0]],TablaControladores[[REFERENCIA]:[REFERENCIA]],TablaControladores[SA])*$AA248:$AJ248)</f>
        <v>6</v>
      </c>
      <c r="X248" s="14" cm="1">
        <f t="array" ref="X248">SUM(_xlfn.XLOOKUP(TablaSeleccionControladores[[#Headers],[M4-CGE04060-0]:[M4-XPM18000-0]],TablaControladores[[REFERENCIA]:[REFERENCIA]],TablaControladores[SC])*$AA248:$AJ248)</f>
        <v>12</v>
      </c>
      <c r="Y248" s="14" cm="1">
        <f t="array" ref="Y248">SUM(_xlfn.XLOOKUP(TablaSeleccionControladores[[#Headers],[M4-CGE04060-0]:[M4-XPM18000-0]],TablaControladores[[REFERENCIA]:[REFERENCIA]],TablaControladores[SD])*$AA248:$AJ248)</f>
        <v>9</v>
      </c>
      <c r="Z248" s="14">
        <f>SUM(TablaSeleccionControladores[[#This Row],[EA]:[SD]])</f>
        <v>54</v>
      </c>
      <c r="AC248" s="14">
        <v>1</v>
      </c>
      <c r="AH248" s="14">
        <v>0</v>
      </c>
      <c r="AI248" s="14">
        <v>2</v>
      </c>
      <c r="AJ248" s="14">
        <v>0</v>
      </c>
    </row>
    <row r="249" spans="17:36" x14ac:dyDescent="0.25">
      <c r="Q249">
        <f t="shared" si="6"/>
        <v>139</v>
      </c>
      <c r="R249" t="s">
        <v>831</v>
      </c>
      <c r="S249">
        <f>SUM(TablaSeleccionControladores[[#This Row],[M4-CGE04060-0]:[M4-CGM09090-0H]])</f>
        <v>1</v>
      </c>
      <c r="T249" s="14" cm="1">
        <f t="array" ref="T249">SUM(_xlfn.XLOOKUP(TablaSeleccionControladores[[#Headers],[M4-CGE04060-0]:[M4-XPM18000-0]],TablaControladores[[REFERENCIA]:[REFERENCIA]],TablaControladores[EA])*$AA249:$AJ249)</f>
        <v>0</v>
      </c>
      <c r="U249" s="14" cm="1">
        <f t="array" ref="U249">SUM(_xlfn.XLOOKUP(TablaSeleccionControladores[[#Headers],[M4-CGE04060-0]:[M4-XPM18000-0]],TablaControladores[[REFERENCIA]:[REFERENCIA]],TablaControladores[EU])*$AA249:$AJ249)</f>
        <v>21</v>
      </c>
      <c r="V249" s="14" cm="1">
        <f t="array" ref="V249">SUM(_xlfn.XLOOKUP(TablaSeleccionControladores[[#Headers],[M4-CGE04060-0]:[M4-XPM18000-0]],TablaControladores[[REFERENCIA]:[REFERENCIA]],TablaControladores[ED])*$AA249:$AJ249)</f>
        <v>24</v>
      </c>
      <c r="W249" s="14" cm="1">
        <f t="array" ref="W249">SUM(_xlfn.XLOOKUP(TablaSeleccionControladores[[#Headers],[M4-CGE04060-0]:[M4-XPM18000-0]],TablaControladores[[REFERENCIA]:[REFERENCIA]],TablaControladores[SA])*$AA249:$AJ249)</f>
        <v>6</v>
      </c>
      <c r="X249" s="14" cm="1">
        <f t="array" ref="X249">SUM(_xlfn.XLOOKUP(TablaSeleccionControladores[[#Headers],[M4-CGE04060-0]:[M4-XPM18000-0]],TablaControladores[[REFERENCIA]:[REFERENCIA]],TablaControladores[SC])*$AA249:$AJ249)</f>
        <v>12</v>
      </c>
      <c r="Y249" s="14" cm="1">
        <f t="array" ref="Y249">SUM(_xlfn.XLOOKUP(TablaSeleccionControladores[[#Headers],[M4-CGE04060-0]:[M4-XPM18000-0]],TablaControladores[[REFERENCIA]:[REFERENCIA]],TablaControladores[SD])*$AA249:$AJ249)</f>
        <v>9</v>
      </c>
      <c r="Z249" s="14">
        <f>SUM(TablaSeleccionControladores[[#This Row],[EA]:[SD]])</f>
        <v>72</v>
      </c>
      <c r="AC249" s="14">
        <v>1</v>
      </c>
      <c r="AH249" s="14">
        <v>0</v>
      </c>
      <c r="AI249" s="14">
        <v>2</v>
      </c>
      <c r="AJ249" s="14">
        <v>1</v>
      </c>
    </row>
    <row r="250" spans="17:36" x14ac:dyDescent="0.25">
      <c r="Q250">
        <f t="shared" si="6"/>
        <v>140</v>
      </c>
      <c r="R250" t="s">
        <v>831</v>
      </c>
      <c r="S250">
        <f>SUM(TablaSeleccionControladores[[#This Row],[M4-CGE04060-0]:[M4-CGM09090-0H]])</f>
        <v>1</v>
      </c>
      <c r="T250" s="14" cm="1">
        <f t="array" ref="T250">SUM(_xlfn.XLOOKUP(TablaSeleccionControladores[[#Headers],[M4-CGE04060-0]:[M4-XPM18000-0]],TablaControladores[[REFERENCIA]:[REFERENCIA]],TablaControladores[EA])*$AA250:$AJ250)</f>
        <v>0</v>
      </c>
      <c r="U250" s="14" cm="1">
        <f t="array" ref="U250">SUM(_xlfn.XLOOKUP(TablaSeleccionControladores[[#Headers],[M4-CGE04060-0]:[M4-XPM18000-0]],TablaControladores[[REFERENCIA]:[REFERENCIA]],TablaControladores[EU])*$AA250:$AJ250)</f>
        <v>21</v>
      </c>
      <c r="V250" s="14" cm="1">
        <f t="array" ref="V250">SUM(_xlfn.XLOOKUP(TablaSeleccionControladores[[#Headers],[M4-CGE04060-0]:[M4-XPM18000-0]],TablaControladores[[REFERENCIA]:[REFERENCIA]],TablaControladores[ED])*$AA250:$AJ250)</f>
        <v>42</v>
      </c>
      <c r="W250" s="14" cm="1">
        <f t="array" ref="W250">SUM(_xlfn.XLOOKUP(TablaSeleccionControladores[[#Headers],[M4-CGE04060-0]:[M4-XPM18000-0]],TablaControladores[[REFERENCIA]:[REFERENCIA]],TablaControladores[SA])*$AA250:$AJ250)</f>
        <v>6</v>
      </c>
      <c r="X250" s="14" cm="1">
        <f t="array" ref="X250">SUM(_xlfn.XLOOKUP(TablaSeleccionControladores[[#Headers],[M4-CGE04060-0]:[M4-XPM18000-0]],TablaControladores[[REFERENCIA]:[REFERENCIA]],TablaControladores[SC])*$AA250:$AJ250)</f>
        <v>12</v>
      </c>
      <c r="Y250" s="14" cm="1">
        <f t="array" ref="Y250">SUM(_xlfn.XLOOKUP(TablaSeleccionControladores[[#Headers],[M4-CGE04060-0]:[M4-XPM18000-0]],TablaControladores[[REFERENCIA]:[REFERENCIA]],TablaControladores[SD])*$AA250:$AJ250)</f>
        <v>9</v>
      </c>
      <c r="Z250" s="14">
        <f>SUM(TablaSeleccionControladores[[#This Row],[EA]:[SD]])</f>
        <v>90</v>
      </c>
      <c r="AC250" s="14">
        <v>1</v>
      </c>
      <c r="AH250" s="14">
        <v>0</v>
      </c>
      <c r="AI250" s="14">
        <v>2</v>
      </c>
      <c r="AJ250" s="14">
        <v>2</v>
      </c>
    </row>
    <row r="251" spans="17:36" x14ac:dyDescent="0.25">
      <c r="Q251">
        <f t="shared" si="6"/>
        <v>141</v>
      </c>
      <c r="R251" t="s">
        <v>831</v>
      </c>
      <c r="S251">
        <f>SUM(TablaSeleccionControladores[[#This Row],[M4-CGE04060-0]:[M4-CGM09090-0H]])</f>
        <v>1</v>
      </c>
      <c r="T251" s="14" cm="1">
        <f t="array" ref="T251">SUM(_xlfn.XLOOKUP(TablaSeleccionControladores[[#Headers],[M4-CGE04060-0]:[M4-XPM18000-0]],TablaControladores[[REFERENCIA]:[REFERENCIA]],TablaControladores[EA])*$AA251:$AJ251)</f>
        <v>0</v>
      </c>
      <c r="U251" s="14" cm="1">
        <f t="array" ref="U251">SUM(_xlfn.XLOOKUP(TablaSeleccionControladores[[#Headers],[M4-CGE04060-0]:[M4-XPM18000-0]],TablaControladores[[REFERENCIA]:[REFERENCIA]],TablaControladores[EU])*$AA251:$AJ251)</f>
        <v>21</v>
      </c>
      <c r="V251" s="14" cm="1">
        <f t="array" ref="V251">SUM(_xlfn.XLOOKUP(TablaSeleccionControladores[[#Headers],[M4-CGE04060-0]:[M4-XPM18000-0]],TablaControladores[[REFERENCIA]:[REFERENCIA]],TablaControladores[ED])*$AA251:$AJ251)</f>
        <v>60</v>
      </c>
      <c r="W251" s="14" cm="1">
        <f t="array" ref="W251">SUM(_xlfn.XLOOKUP(TablaSeleccionControladores[[#Headers],[M4-CGE04060-0]:[M4-XPM18000-0]],TablaControladores[[REFERENCIA]:[REFERENCIA]],TablaControladores[SA])*$AA251:$AJ251)</f>
        <v>6</v>
      </c>
      <c r="X251" s="14" cm="1">
        <f t="array" ref="X251">SUM(_xlfn.XLOOKUP(TablaSeleccionControladores[[#Headers],[M4-CGE04060-0]:[M4-XPM18000-0]],TablaControladores[[REFERENCIA]:[REFERENCIA]],TablaControladores[SC])*$AA251:$AJ251)</f>
        <v>12</v>
      </c>
      <c r="Y251" s="14" cm="1">
        <f t="array" ref="Y251">SUM(_xlfn.XLOOKUP(TablaSeleccionControladores[[#Headers],[M4-CGE04060-0]:[M4-XPM18000-0]],TablaControladores[[REFERENCIA]:[REFERENCIA]],TablaControladores[SD])*$AA251:$AJ251)</f>
        <v>9</v>
      </c>
      <c r="Z251" s="14">
        <f>SUM(TablaSeleccionControladores[[#This Row],[EA]:[SD]])</f>
        <v>108</v>
      </c>
      <c r="AC251" s="14">
        <v>1</v>
      </c>
      <c r="AH251" s="14">
        <v>0</v>
      </c>
      <c r="AI251" s="14">
        <v>2</v>
      </c>
      <c r="AJ251" s="14">
        <v>3</v>
      </c>
    </row>
    <row r="252" spans="17:36" x14ac:dyDescent="0.25">
      <c r="Q252">
        <f t="shared" si="6"/>
        <v>142</v>
      </c>
      <c r="R252" t="s">
        <v>831</v>
      </c>
      <c r="S252">
        <f>SUM(TablaSeleccionControladores[[#This Row],[M4-CGE04060-0]:[M4-CGM09090-0H]])</f>
        <v>1</v>
      </c>
      <c r="T252" s="14" cm="1">
        <f t="array" ref="T252">SUM(_xlfn.XLOOKUP(TablaSeleccionControladores[[#Headers],[M4-CGE04060-0]:[M4-XPM18000-0]],TablaControladores[[REFERENCIA]:[REFERENCIA]],TablaControladores[EA])*$AA252:$AJ252)</f>
        <v>0</v>
      </c>
      <c r="U252" s="14" cm="1">
        <f t="array" ref="U252">SUM(_xlfn.XLOOKUP(TablaSeleccionControladores[[#Headers],[M4-CGE04060-0]:[M4-XPM18000-0]],TablaControladores[[REFERENCIA]:[REFERENCIA]],TablaControladores[EU])*$AA252:$AJ252)</f>
        <v>21</v>
      </c>
      <c r="V252" s="14" cm="1">
        <f t="array" ref="V252">SUM(_xlfn.XLOOKUP(TablaSeleccionControladores[[#Headers],[M4-CGE04060-0]:[M4-XPM18000-0]],TablaControladores[[REFERENCIA]:[REFERENCIA]],TablaControladores[ED])*$AA252:$AJ252)</f>
        <v>78</v>
      </c>
      <c r="W252" s="14" cm="1">
        <f t="array" ref="W252">SUM(_xlfn.XLOOKUP(TablaSeleccionControladores[[#Headers],[M4-CGE04060-0]:[M4-XPM18000-0]],TablaControladores[[REFERENCIA]:[REFERENCIA]],TablaControladores[SA])*$AA252:$AJ252)</f>
        <v>6</v>
      </c>
      <c r="X252" s="14" cm="1">
        <f t="array" ref="X252">SUM(_xlfn.XLOOKUP(TablaSeleccionControladores[[#Headers],[M4-CGE04060-0]:[M4-XPM18000-0]],TablaControladores[[REFERENCIA]:[REFERENCIA]],TablaControladores[SC])*$AA252:$AJ252)</f>
        <v>12</v>
      </c>
      <c r="Y252" s="14" cm="1">
        <f t="array" ref="Y252">SUM(_xlfn.XLOOKUP(TablaSeleccionControladores[[#Headers],[M4-CGE04060-0]:[M4-XPM18000-0]],TablaControladores[[REFERENCIA]:[REFERENCIA]],TablaControladores[SD])*$AA252:$AJ252)</f>
        <v>9</v>
      </c>
      <c r="Z252" s="14">
        <f>SUM(TablaSeleccionControladores[[#This Row],[EA]:[SD]])</f>
        <v>126</v>
      </c>
      <c r="AC252" s="14">
        <v>1</v>
      </c>
      <c r="AH252" s="14">
        <v>0</v>
      </c>
      <c r="AI252" s="14">
        <v>2</v>
      </c>
      <c r="AJ252" s="14">
        <v>4</v>
      </c>
    </row>
    <row r="253" spans="17:36" x14ac:dyDescent="0.25">
      <c r="Q253">
        <f t="shared" si="6"/>
        <v>143</v>
      </c>
      <c r="R253" t="s">
        <v>831</v>
      </c>
      <c r="S253">
        <f>SUM(TablaSeleccionControladores[[#This Row],[M4-CGE04060-0]:[M4-CGM09090-0H]])</f>
        <v>1</v>
      </c>
      <c r="T253" s="14" cm="1">
        <f t="array" ref="T253">SUM(_xlfn.XLOOKUP(TablaSeleccionControladores[[#Headers],[M4-CGE04060-0]:[M4-XPM18000-0]],TablaControladores[[REFERENCIA]:[REFERENCIA]],TablaControladores[EA])*$AA253:$AJ253)</f>
        <v>0</v>
      </c>
      <c r="U253" s="14" cm="1">
        <f t="array" ref="U253">SUM(_xlfn.XLOOKUP(TablaSeleccionControladores[[#Headers],[M4-CGE04060-0]:[M4-XPM18000-0]],TablaControladores[[REFERENCIA]:[REFERENCIA]],TablaControladores[EU])*$AA253:$AJ253)</f>
        <v>28</v>
      </c>
      <c r="V253" s="14" cm="1">
        <f t="array" ref="V253">SUM(_xlfn.XLOOKUP(TablaSeleccionControladores[[#Headers],[M4-CGE04060-0]:[M4-XPM18000-0]],TablaControladores[[REFERENCIA]:[REFERENCIA]],TablaControladores[ED])*$AA253:$AJ253)</f>
        <v>8</v>
      </c>
      <c r="W253" s="14" cm="1">
        <f t="array" ref="W253">SUM(_xlfn.XLOOKUP(TablaSeleccionControladores[[#Headers],[M4-CGE04060-0]:[M4-XPM18000-0]],TablaControladores[[REFERENCIA]:[REFERENCIA]],TablaControladores[SA])*$AA253:$AJ253)</f>
        <v>8</v>
      </c>
      <c r="X253" s="14" cm="1">
        <f t="array" ref="X253">SUM(_xlfn.XLOOKUP(TablaSeleccionControladores[[#Headers],[M4-CGE04060-0]:[M4-XPM18000-0]],TablaControladores[[REFERENCIA]:[REFERENCIA]],TablaControladores[SC])*$AA253:$AJ253)</f>
        <v>16</v>
      </c>
      <c r="Y253" s="14" cm="1">
        <f t="array" ref="Y253">SUM(_xlfn.XLOOKUP(TablaSeleccionControladores[[#Headers],[M4-CGE04060-0]:[M4-XPM18000-0]],TablaControladores[[REFERENCIA]:[REFERENCIA]],TablaControladores[SD])*$AA253:$AJ253)</f>
        <v>12</v>
      </c>
      <c r="Z253" s="14">
        <f>SUM(TablaSeleccionControladores[[#This Row],[EA]:[SD]])</f>
        <v>72</v>
      </c>
      <c r="AC253" s="14">
        <v>1</v>
      </c>
      <c r="AH253" s="14">
        <v>0</v>
      </c>
      <c r="AI253" s="14">
        <v>3</v>
      </c>
      <c r="AJ253" s="14">
        <v>0</v>
      </c>
    </row>
    <row r="254" spans="17:36" x14ac:dyDescent="0.25">
      <c r="Q254">
        <f t="shared" si="6"/>
        <v>144</v>
      </c>
      <c r="R254" t="s">
        <v>831</v>
      </c>
      <c r="S254">
        <f>SUM(TablaSeleccionControladores[[#This Row],[M4-CGE04060-0]:[M4-CGM09090-0H]])</f>
        <v>1</v>
      </c>
      <c r="T254" s="14" cm="1">
        <f t="array" ref="T254">SUM(_xlfn.XLOOKUP(TablaSeleccionControladores[[#Headers],[M4-CGE04060-0]:[M4-XPM18000-0]],TablaControladores[[REFERENCIA]:[REFERENCIA]],TablaControladores[EA])*$AA254:$AJ254)</f>
        <v>0</v>
      </c>
      <c r="U254" s="14" cm="1">
        <f t="array" ref="U254">SUM(_xlfn.XLOOKUP(TablaSeleccionControladores[[#Headers],[M4-CGE04060-0]:[M4-XPM18000-0]],TablaControladores[[REFERENCIA]:[REFERENCIA]],TablaControladores[EU])*$AA254:$AJ254)</f>
        <v>28</v>
      </c>
      <c r="V254" s="14" cm="1">
        <f t="array" ref="V254">SUM(_xlfn.XLOOKUP(TablaSeleccionControladores[[#Headers],[M4-CGE04060-0]:[M4-XPM18000-0]],TablaControladores[[REFERENCIA]:[REFERENCIA]],TablaControladores[ED])*$AA254:$AJ254)</f>
        <v>26</v>
      </c>
      <c r="W254" s="14" cm="1">
        <f t="array" ref="W254">SUM(_xlfn.XLOOKUP(TablaSeleccionControladores[[#Headers],[M4-CGE04060-0]:[M4-XPM18000-0]],TablaControladores[[REFERENCIA]:[REFERENCIA]],TablaControladores[SA])*$AA254:$AJ254)</f>
        <v>8</v>
      </c>
      <c r="X254" s="14" cm="1">
        <f t="array" ref="X254">SUM(_xlfn.XLOOKUP(TablaSeleccionControladores[[#Headers],[M4-CGE04060-0]:[M4-XPM18000-0]],TablaControladores[[REFERENCIA]:[REFERENCIA]],TablaControladores[SC])*$AA254:$AJ254)</f>
        <v>16</v>
      </c>
      <c r="Y254" s="14" cm="1">
        <f t="array" ref="Y254">SUM(_xlfn.XLOOKUP(TablaSeleccionControladores[[#Headers],[M4-CGE04060-0]:[M4-XPM18000-0]],TablaControladores[[REFERENCIA]:[REFERENCIA]],TablaControladores[SD])*$AA254:$AJ254)</f>
        <v>12</v>
      </c>
      <c r="Z254" s="14">
        <f>SUM(TablaSeleccionControladores[[#This Row],[EA]:[SD]])</f>
        <v>90</v>
      </c>
      <c r="AC254" s="14">
        <v>1</v>
      </c>
      <c r="AH254" s="14">
        <v>0</v>
      </c>
      <c r="AI254" s="14">
        <v>3</v>
      </c>
      <c r="AJ254" s="14">
        <v>1</v>
      </c>
    </row>
    <row r="255" spans="17:36" x14ac:dyDescent="0.25">
      <c r="Q255">
        <f t="shared" si="6"/>
        <v>145</v>
      </c>
      <c r="R255" t="s">
        <v>831</v>
      </c>
      <c r="S255">
        <f>SUM(TablaSeleccionControladores[[#This Row],[M4-CGE04060-0]:[M4-CGM09090-0H]])</f>
        <v>1</v>
      </c>
      <c r="T255" s="14" cm="1">
        <f t="array" ref="T255">SUM(_xlfn.XLOOKUP(TablaSeleccionControladores[[#Headers],[M4-CGE04060-0]:[M4-XPM18000-0]],TablaControladores[[REFERENCIA]:[REFERENCIA]],TablaControladores[EA])*$AA255:$AJ255)</f>
        <v>0</v>
      </c>
      <c r="U255" s="14" cm="1">
        <f t="array" ref="U255">SUM(_xlfn.XLOOKUP(TablaSeleccionControladores[[#Headers],[M4-CGE04060-0]:[M4-XPM18000-0]],TablaControladores[[REFERENCIA]:[REFERENCIA]],TablaControladores[EU])*$AA255:$AJ255)</f>
        <v>28</v>
      </c>
      <c r="V255" s="14" cm="1">
        <f t="array" ref="V255">SUM(_xlfn.XLOOKUP(TablaSeleccionControladores[[#Headers],[M4-CGE04060-0]:[M4-XPM18000-0]],TablaControladores[[REFERENCIA]:[REFERENCIA]],TablaControladores[ED])*$AA255:$AJ255)</f>
        <v>44</v>
      </c>
      <c r="W255" s="14" cm="1">
        <f t="array" ref="W255">SUM(_xlfn.XLOOKUP(TablaSeleccionControladores[[#Headers],[M4-CGE04060-0]:[M4-XPM18000-0]],TablaControladores[[REFERENCIA]:[REFERENCIA]],TablaControladores[SA])*$AA255:$AJ255)</f>
        <v>8</v>
      </c>
      <c r="X255" s="14" cm="1">
        <f t="array" ref="X255">SUM(_xlfn.XLOOKUP(TablaSeleccionControladores[[#Headers],[M4-CGE04060-0]:[M4-XPM18000-0]],TablaControladores[[REFERENCIA]:[REFERENCIA]],TablaControladores[SC])*$AA255:$AJ255)</f>
        <v>16</v>
      </c>
      <c r="Y255" s="14" cm="1">
        <f t="array" ref="Y255">SUM(_xlfn.XLOOKUP(TablaSeleccionControladores[[#Headers],[M4-CGE04060-0]:[M4-XPM18000-0]],TablaControladores[[REFERENCIA]:[REFERENCIA]],TablaControladores[SD])*$AA255:$AJ255)</f>
        <v>12</v>
      </c>
      <c r="Z255" s="14">
        <f>SUM(TablaSeleccionControladores[[#This Row],[EA]:[SD]])</f>
        <v>108</v>
      </c>
      <c r="AC255" s="14">
        <v>1</v>
      </c>
      <c r="AH255" s="14">
        <v>0</v>
      </c>
      <c r="AI255" s="14">
        <v>3</v>
      </c>
      <c r="AJ255" s="14">
        <v>2</v>
      </c>
    </row>
    <row r="256" spans="17:36" x14ac:dyDescent="0.25">
      <c r="Q256">
        <f t="shared" si="6"/>
        <v>146</v>
      </c>
      <c r="R256" t="s">
        <v>831</v>
      </c>
      <c r="S256">
        <f>SUM(TablaSeleccionControladores[[#This Row],[M4-CGE04060-0]:[M4-CGM09090-0H]])</f>
        <v>1</v>
      </c>
      <c r="T256" s="14" cm="1">
        <f t="array" ref="T256">SUM(_xlfn.XLOOKUP(TablaSeleccionControladores[[#Headers],[M4-CGE04060-0]:[M4-XPM18000-0]],TablaControladores[[REFERENCIA]:[REFERENCIA]],TablaControladores[EA])*$AA256:$AJ256)</f>
        <v>0</v>
      </c>
      <c r="U256" s="14" cm="1">
        <f t="array" ref="U256">SUM(_xlfn.XLOOKUP(TablaSeleccionControladores[[#Headers],[M4-CGE04060-0]:[M4-XPM18000-0]],TablaControladores[[REFERENCIA]:[REFERENCIA]],TablaControladores[EU])*$AA256:$AJ256)</f>
        <v>28</v>
      </c>
      <c r="V256" s="14" cm="1">
        <f t="array" ref="V256">SUM(_xlfn.XLOOKUP(TablaSeleccionControladores[[#Headers],[M4-CGE04060-0]:[M4-XPM18000-0]],TablaControladores[[REFERENCIA]:[REFERENCIA]],TablaControladores[ED])*$AA256:$AJ256)</f>
        <v>62</v>
      </c>
      <c r="W256" s="14" cm="1">
        <f t="array" ref="W256">SUM(_xlfn.XLOOKUP(TablaSeleccionControladores[[#Headers],[M4-CGE04060-0]:[M4-XPM18000-0]],TablaControladores[[REFERENCIA]:[REFERENCIA]],TablaControladores[SA])*$AA256:$AJ256)</f>
        <v>8</v>
      </c>
      <c r="X256" s="14" cm="1">
        <f t="array" ref="X256">SUM(_xlfn.XLOOKUP(TablaSeleccionControladores[[#Headers],[M4-CGE04060-0]:[M4-XPM18000-0]],TablaControladores[[REFERENCIA]:[REFERENCIA]],TablaControladores[SC])*$AA256:$AJ256)</f>
        <v>16</v>
      </c>
      <c r="Y256" s="14" cm="1">
        <f t="array" ref="Y256">SUM(_xlfn.XLOOKUP(TablaSeleccionControladores[[#Headers],[M4-CGE04060-0]:[M4-XPM18000-0]],TablaControladores[[REFERENCIA]:[REFERENCIA]],TablaControladores[SD])*$AA256:$AJ256)</f>
        <v>12</v>
      </c>
      <c r="Z256" s="14">
        <f>SUM(TablaSeleccionControladores[[#This Row],[EA]:[SD]])</f>
        <v>126</v>
      </c>
      <c r="AC256" s="14">
        <v>1</v>
      </c>
      <c r="AH256" s="14">
        <v>0</v>
      </c>
      <c r="AI256" s="14">
        <v>3</v>
      </c>
      <c r="AJ256" s="14">
        <v>3</v>
      </c>
    </row>
    <row r="257" spans="17:36" x14ac:dyDescent="0.25">
      <c r="Q257">
        <f t="shared" si="6"/>
        <v>147</v>
      </c>
      <c r="R257" t="s">
        <v>831</v>
      </c>
      <c r="S257">
        <f>SUM(TablaSeleccionControladores[[#This Row],[M4-CGE04060-0]:[M4-CGM09090-0H]])</f>
        <v>1</v>
      </c>
      <c r="T257" s="14" cm="1">
        <f t="array" ref="T257">SUM(_xlfn.XLOOKUP(TablaSeleccionControladores[[#Headers],[M4-CGE04060-0]:[M4-XPM18000-0]],TablaControladores[[REFERENCIA]:[REFERENCIA]],TablaControladores[EA])*$AA257:$AJ257)</f>
        <v>0</v>
      </c>
      <c r="U257" s="14" cm="1">
        <f t="array" ref="U257">SUM(_xlfn.XLOOKUP(TablaSeleccionControladores[[#Headers],[M4-CGE04060-0]:[M4-XPM18000-0]],TablaControladores[[REFERENCIA]:[REFERENCIA]],TablaControladores[EU])*$AA257:$AJ257)</f>
        <v>35</v>
      </c>
      <c r="V257" s="14" cm="1">
        <f t="array" ref="V257">SUM(_xlfn.XLOOKUP(TablaSeleccionControladores[[#Headers],[M4-CGE04060-0]:[M4-XPM18000-0]],TablaControladores[[REFERENCIA]:[REFERENCIA]],TablaControladores[ED])*$AA257:$AJ257)</f>
        <v>10</v>
      </c>
      <c r="W257" s="14" cm="1">
        <f t="array" ref="W257">SUM(_xlfn.XLOOKUP(TablaSeleccionControladores[[#Headers],[M4-CGE04060-0]:[M4-XPM18000-0]],TablaControladores[[REFERENCIA]:[REFERENCIA]],TablaControladores[SA])*$AA257:$AJ257)</f>
        <v>10</v>
      </c>
      <c r="X257" s="14" cm="1">
        <f t="array" ref="X257">SUM(_xlfn.XLOOKUP(TablaSeleccionControladores[[#Headers],[M4-CGE04060-0]:[M4-XPM18000-0]],TablaControladores[[REFERENCIA]:[REFERENCIA]],TablaControladores[SC])*$AA257:$AJ257)</f>
        <v>20</v>
      </c>
      <c r="Y257" s="14" cm="1">
        <f t="array" ref="Y257">SUM(_xlfn.XLOOKUP(TablaSeleccionControladores[[#Headers],[M4-CGE04060-0]:[M4-XPM18000-0]],TablaControladores[[REFERENCIA]:[REFERENCIA]],TablaControladores[SD])*$AA257:$AJ257)</f>
        <v>15</v>
      </c>
      <c r="Z257" s="14">
        <f>SUM(TablaSeleccionControladores[[#This Row],[EA]:[SD]])</f>
        <v>90</v>
      </c>
      <c r="AC257" s="14">
        <v>1</v>
      </c>
      <c r="AH257" s="14">
        <v>0</v>
      </c>
      <c r="AI257" s="14">
        <v>4</v>
      </c>
      <c r="AJ257" s="14">
        <v>0</v>
      </c>
    </row>
    <row r="258" spans="17:36" x14ac:dyDescent="0.25">
      <c r="Q258">
        <f t="shared" si="6"/>
        <v>148</v>
      </c>
      <c r="R258" t="s">
        <v>831</v>
      </c>
      <c r="S258">
        <f>SUM(TablaSeleccionControladores[[#This Row],[M4-CGE04060-0]:[M4-CGM09090-0H]])</f>
        <v>1</v>
      </c>
      <c r="T258" s="14" cm="1">
        <f t="array" ref="T258">SUM(_xlfn.XLOOKUP(TablaSeleccionControladores[[#Headers],[M4-CGE04060-0]:[M4-XPM18000-0]],TablaControladores[[REFERENCIA]:[REFERENCIA]],TablaControladores[EA])*$AA258:$AJ258)</f>
        <v>0</v>
      </c>
      <c r="U258" s="14" cm="1">
        <f t="array" ref="U258">SUM(_xlfn.XLOOKUP(TablaSeleccionControladores[[#Headers],[M4-CGE04060-0]:[M4-XPM18000-0]],TablaControladores[[REFERENCIA]:[REFERENCIA]],TablaControladores[EU])*$AA258:$AJ258)</f>
        <v>35</v>
      </c>
      <c r="V258" s="14" cm="1">
        <f t="array" ref="V258">SUM(_xlfn.XLOOKUP(TablaSeleccionControladores[[#Headers],[M4-CGE04060-0]:[M4-XPM18000-0]],TablaControladores[[REFERENCIA]:[REFERENCIA]],TablaControladores[ED])*$AA258:$AJ258)</f>
        <v>28</v>
      </c>
      <c r="W258" s="14" cm="1">
        <f t="array" ref="W258">SUM(_xlfn.XLOOKUP(TablaSeleccionControladores[[#Headers],[M4-CGE04060-0]:[M4-XPM18000-0]],TablaControladores[[REFERENCIA]:[REFERENCIA]],TablaControladores[SA])*$AA258:$AJ258)</f>
        <v>10</v>
      </c>
      <c r="X258" s="14" cm="1">
        <f t="array" ref="X258">SUM(_xlfn.XLOOKUP(TablaSeleccionControladores[[#Headers],[M4-CGE04060-0]:[M4-XPM18000-0]],TablaControladores[[REFERENCIA]:[REFERENCIA]],TablaControladores[SC])*$AA258:$AJ258)</f>
        <v>20</v>
      </c>
      <c r="Y258" s="14" cm="1">
        <f t="array" ref="Y258">SUM(_xlfn.XLOOKUP(TablaSeleccionControladores[[#Headers],[M4-CGE04060-0]:[M4-XPM18000-0]],TablaControladores[[REFERENCIA]:[REFERENCIA]],TablaControladores[SD])*$AA258:$AJ258)</f>
        <v>15</v>
      </c>
      <c r="Z258" s="14">
        <f>SUM(TablaSeleccionControladores[[#This Row],[EA]:[SD]])</f>
        <v>108</v>
      </c>
      <c r="AC258" s="14">
        <v>1</v>
      </c>
      <c r="AH258" s="14">
        <v>0</v>
      </c>
      <c r="AI258" s="14">
        <v>4</v>
      </c>
      <c r="AJ258" s="14">
        <v>1</v>
      </c>
    </row>
    <row r="259" spans="17:36" x14ac:dyDescent="0.25">
      <c r="Q259">
        <f t="shared" si="6"/>
        <v>149</v>
      </c>
      <c r="R259" t="s">
        <v>831</v>
      </c>
      <c r="S259">
        <f>SUM(TablaSeleccionControladores[[#This Row],[M4-CGE04060-0]:[M4-CGM09090-0H]])</f>
        <v>1</v>
      </c>
      <c r="T259" s="14" cm="1">
        <f t="array" ref="T259">SUM(_xlfn.XLOOKUP(TablaSeleccionControladores[[#Headers],[M4-CGE04060-0]:[M4-XPM18000-0]],TablaControladores[[REFERENCIA]:[REFERENCIA]],TablaControladores[EA])*$AA259:$AJ259)</f>
        <v>0</v>
      </c>
      <c r="U259" s="14" cm="1">
        <f t="array" ref="U259">SUM(_xlfn.XLOOKUP(TablaSeleccionControladores[[#Headers],[M4-CGE04060-0]:[M4-XPM18000-0]],TablaControladores[[REFERENCIA]:[REFERENCIA]],TablaControladores[EU])*$AA259:$AJ259)</f>
        <v>35</v>
      </c>
      <c r="V259" s="14" cm="1">
        <f t="array" ref="V259">SUM(_xlfn.XLOOKUP(TablaSeleccionControladores[[#Headers],[M4-CGE04060-0]:[M4-XPM18000-0]],TablaControladores[[REFERENCIA]:[REFERENCIA]],TablaControladores[ED])*$AA259:$AJ259)</f>
        <v>46</v>
      </c>
      <c r="W259" s="14" cm="1">
        <f t="array" ref="W259">SUM(_xlfn.XLOOKUP(TablaSeleccionControladores[[#Headers],[M4-CGE04060-0]:[M4-XPM18000-0]],TablaControladores[[REFERENCIA]:[REFERENCIA]],TablaControladores[SA])*$AA259:$AJ259)</f>
        <v>10</v>
      </c>
      <c r="X259" s="14" cm="1">
        <f t="array" ref="X259">SUM(_xlfn.XLOOKUP(TablaSeleccionControladores[[#Headers],[M4-CGE04060-0]:[M4-XPM18000-0]],TablaControladores[[REFERENCIA]:[REFERENCIA]],TablaControladores[SC])*$AA259:$AJ259)</f>
        <v>20</v>
      </c>
      <c r="Y259" s="14" cm="1">
        <f t="array" ref="Y259">SUM(_xlfn.XLOOKUP(TablaSeleccionControladores[[#Headers],[M4-CGE04060-0]:[M4-XPM18000-0]],TablaControladores[[REFERENCIA]:[REFERENCIA]],TablaControladores[SD])*$AA259:$AJ259)</f>
        <v>15</v>
      </c>
      <c r="Z259" s="14">
        <f>SUM(TablaSeleccionControladores[[#This Row],[EA]:[SD]])</f>
        <v>126</v>
      </c>
      <c r="AC259" s="14">
        <v>1</v>
      </c>
      <c r="AH259" s="14">
        <v>0</v>
      </c>
      <c r="AI259" s="14">
        <v>4</v>
      </c>
      <c r="AJ259" s="14">
        <v>2</v>
      </c>
    </row>
    <row r="260" spans="17:36" x14ac:dyDescent="0.25">
      <c r="Q260">
        <f t="shared" si="6"/>
        <v>150</v>
      </c>
      <c r="R260" t="s">
        <v>831</v>
      </c>
      <c r="S260">
        <f>SUM(TablaSeleccionControladores[[#This Row],[M4-CGE04060-0]:[M4-CGM09090-0H]])</f>
        <v>1</v>
      </c>
      <c r="T260" s="14" cm="1">
        <f t="array" ref="T260">SUM(_xlfn.XLOOKUP(TablaSeleccionControladores[[#Headers],[M4-CGE04060-0]:[M4-XPM18000-0]],TablaControladores[[REFERENCIA]:[REFERENCIA]],TablaControladores[EA])*$AA260:$AJ260)</f>
        <v>0</v>
      </c>
      <c r="U260" s="14" cm="1">
        <f t="array" ref="U260">SUM(_xlfn.XLOOKUP(TablaSeleccionControladores[[#Headers],[M4-CGE04060-0]:[M4-XPM18000-0]],TablaControladores[[REFERENCIA]:[REFERENCIA]],TablaControladores[EU])*$AA260:$AJ260)</f>
        <v>42</v>
      </c>
      <c r="V260" s="14" cm="1">
        <f t="array" ref="V260">SUM(_xlfn.XLOOKUP(TablaSeleccionControladores[[#Headers],[M4-CGE04060-0]:[M4-XPM18000-0]],TablaControladores[[REFERENCIA]:[REFERENCIA]],TablaControladores[ED])*$AA260:$AJ260)</f>
        <v>12</v>
      </c>
      <c r="W260" s="14" cm="1">
        <f t="array" ref="W260">SUM(_xlfn.XLOOKUP(TablaSeleccionControladores[[#Headers],[M4-CGE04060-0]:[M4-XPM18000-0]],TablaControladores[[REFERENCIA]:[REFERENCIA]],TablaControladores[SA])*$AA260:$AJ260)</f>
        <v>12</v>
      </c>
      <c r="X260" s="14" cm="1">
        <f t="array" ref="X260">SUM(_xlfn.XLOOKUP(TablaSeleccionControladores[[#Headers],[M4-CGE04060-0]:[M4-XPM18000-0]],TablaControladores[[REFERENCIA]:[REFERENCIA]],TablaControladores[SC])*$AA260:$AJ260)</f>
        <v>24</v>
      </c>
      <c r="Y260" s="14" cm="1">
        <f t="array" ref="Y260">SUM(_xlfn.XLOOKUP(TablaSeleccionControladores[[#Headers],[M4-CGE04060-0]:[M4-XPM18000-0]],TablaControladores[[REFERENCIA]:[REFERENCIA]],TablaControladores[SD])*$AA260:$AJ260)</f>
        <v>18</v>
      </c>
      <c r="Z260" s="14">
        <f>SUM(TablaSeleccionControladores[[#This Row],[EA]:[SD]])</f>
        <v>108</v>
      </c>
      <c r="AC260" s="14">
        <v>1</v>
      </c>
      <c r="AH260" s="14">
        <v>0</v>
      </c>
      <c r="AI260" s="14">
        <v>5</v>
      </c>
      <c r="AJ260" s="14">
        <v>0</v>
      </c>
    </row>
    <row r="261" spans="17:36" x14ac:dyDescent="0.25">
      <c r="Q261">
        <f t="shared" si="6"/>
        <v>151</v>
      </c>
      <c r="R261" t="s">
        <v>831</v>
      </c>
      <c r="S261">
        <f>SUM(TablaSeleccionControladores[[#This Row],[M4-CGE04060-0]:[M4-CGM09090-0H]])</f>
        <v>1</v>
      </c>
      <c r="T261" s="14" cm="1">
        <f t="array" ref="T261">SUM(_xlfn.XLOOKUP(TablaSeleccionControladores[[#Headers],[M4-CGE04060-0]:[M4-XPM18000-0]],TablaControladores[[REFERENCIA]:[REFERENCIA]],TablaControladores[EA])*$AA261:$AJ261)</f>
        <v>0</v>
      </c>
      <c r="U261" s="14" cm="1">
        <f t="array" ref="U261">SUM(_xlfn.XLOOKUP(TablaSeleccionControladores[[#Headers],[M4-CGE04060-0]:[M4-XPM18000-0]],TablaControladores[[REFERENCIA]:[REFERENCIA]],TablaControladores[EU])*$AA261:$AJ261)</f>
        <v>42</v>
      </c>
      <c r="V261" s="14" cm="1">
        <f t="array" ref="V261">SUM(_xlfn.XLOOKUP(TablaSeleccionControladores[[#Headers],[M4-CGE04060-0]:[M4-XPM18000-0]],TablaControladores[[REFERENCIA]:[REFERENCIA]],TablaControladores[ED])*$AA261:$AJ261)</f>
        <v>30</v>
      </c>
      <c r="W261" s="14" cm="1">
        <f t="array" ref="W261">SUM(_xlfn.XLOOKUP(TablaSeleccionControladores[[#Headers],[M4-CGE04060-0]:[M4-XPM18000-0]],TablaControladores[[REFERENCIA]:[REFERENCIA]],TablaControladores[SA])*$AA261:$AJ261)</f>
        <v>12</v>
      </c>
      <c r="X261" s="14" cm="1">
        <f t="array" ref="X261">SUM(_xlfn.XLOOKUP(TablaSeleccionControladores[[#Headers],[M4-CGE04060-0]:[M4-XPM18000-0]],TablaControladores[[REFERENCIA]:[REFERENCIA]],TablaControladores[SC])*$AA261:$AJ261)</f>
        <v>24</v>
      </c>
      <c r="Y261" s="14" cm="1">
        <f t="array" ref="Y261">SUM(_xlfn.XLOOKUP(TablaSeleccionControladores[[#Headers],[M4-CGE04060-0]:[M4-XPM18000-0]],TablaControladores[[REFERENCIA]:[REFERENCIA]],TablaControladores[SD])*$AA261:$AJ261)</f>
        <v>18</v>
      </c>
      <c r="Z261" s="14">
        <f>SUM(TablaSeleccionControladores[[#This Row],[EA]:[SD]])</f>
        <v>126</v>
      </c>
      <c r="AC261" s="14">
        <v>1</v>
      </c>
      <c r="AH261" s="14">
        <v>0</v>
      </c>
      <c r="AI261" s="14">
        <v>5</v>
      </c>
      <c r="AJ261" s="14">
        <v>1</v>
      </c>
    </row>
    <row r="262" spans="17:36" x14ac:dyDescent="0.25">
      <c r="Q262">
        <f t="shared" si="6"/>
        <v>152</v>
      </c>
      <c r="R262" t="s">
        <v>831</v>
      </c>
      <c r="S262">
        <f>SUM(TablaSeleccionControladores[[#This Row],[M4-CGE04060-0]:[M4-CGM09090-0H]])</f>
        <v>1</v>
      </c>
      <c r="T262" s="14" cm="1">
        <f t="array" ref="T262">SUM(_xlfn.XLOOKUP(TablaSeleccionControladores[[#Headers],[M4-CGE04060-0]:[M4-XPM18000-0]],TablaControladores[[REFERENCIA]:[REFERENCIA]],TablaControladores[EA])*$AA262:$AJ262)</f>
        <v>0</v>
      </c>
      <c r="U262" s="14" cm="1">
        <f t="array" ref="U262">SUM(_xlfn.XLOOKUP(TablaSeleccionControladores[[#Headers],[M4-CGE04060-0]:[M4-XPM18000-0]],TablaControladores[[REFERENCIA]:[REFERENCIA]],TablaControladores[EU])*$AA262:$AJ262)</f>
        <v>49</v>
      </c>
      <c r="V262" s="14" cm="1">
        <f t="array" ref="V262">SUM(_xlfn.XLOOKUP(TablaSeleccionControladores[[#Headers],[M4-CGE04060-0]:[M4-XPM18000-0]],TablaControladores[[REFERENCIA]:[REFERENCIA]],TablaControladores[ED])*$AA262:$AJ262)</f>
        <v>14</v>
      </c>
      <c r="W262" s="14" cm="1">
        <f t="array" ref="W262">SUM(_xlfn.XLOOKUP(TablaSeleccionControladores[[#Headers],[M4-CGE04060-0]:[M4-XPM18000-0]],TablaControladores[[REFERENCIA]:[REFERENCIA]],TablaControladores[SA])*$AA262:$AJ262)</f>
        <v>14</v>
      </c>
      <c r="X262" s="14" cm="1">
        <f t="array" ref="X262">SUM(_xlfn.XLOOKUP(TablaSeleccionControladores[[#Headers],[M4-CGE04060-0]:[M4-XPM18000-0]],TablaControladores[[REFERENCIA]:[REFERENCIA]],TablaControladores[SC])*$AA262:$AJ262)</f>
        <v>28</v>
      </c>
      <c r="Y262" s="14" cm="1">
        <f t="array" ref="Y262">SUM(_xlfn.XLOOKUP(TablaSeleccionControladores[[#Headers],[M4-CGE04060-0]:[M4-XPM18000-0]],TablaControladores[[REFERENCIA]:[REFERENCIA]],TablaControladores[SD])*$AA262:$AJ262)</f>
        <v>21</v>
      </c>
      <c r="Z262" s="14">
        <f>SUM(TablaSeleccionControladores[[#This Row],[EA]:[SD]])</f>
        <v>126</v>
      </c>
      <c r="AC262" s="14">
        <v>1</v>
      </c>
      <c r="AH262" s="14">
        <v>0</v>
      </c>
      <c r="AI262" s="14">
        <v>6</v>
      </c>
      <c r="AJ262" s="14">
        <v>0</v>
      </c>
    </row>
    <row r="263" spans="17:36" x14ac:dyDescent="0.25">
      <c r="Q263">
        <f t="shared" si="6"/>
        <v>153</v>
      </c>
      <c r="R263" t="s">
        <v>831</v>
      </c>
      <c r="S263">
        <f>SUM(TablaSeleccionControladores[[#This Row],[M4-CGE04060-0]:[M4-CGM09090-0H]])</f>
        <v>1</v>
      </c>
      <c r="T263" s="14" cm="1">
        <f t="array" ref="T263">SUM(_xlfn.XLOOKUP(TablaSeleccionControladores[[#Headers],[M4-CGE04060-0]:[M4-XPM18000-0]],TablaControladores[[REFERENCIA]:[REFERENCIA]],TablaControladores[EA])*$AA263:$AJ263)</f>
        <v>0</v>
      </c>
      <c r="U263" s="14" cm="1">
        <f t="array" ref="U263">SUM(_xlfn.XLOOKUP(TablaSeleccionControladores[[#Headers],[M4-CGE04060-0]:[M4-XPM18000-0]],TablaControladores[[REFERENCIA]:[REFERENCIA]],TablaControladores[EU])*$AA263:$AJ263)</f>
        <v>10</v>
      </c>
      <c r="V263" s="14" cm="1">
        <f t="array" ref="V263">SUM(_xlfn.XLOOKUP(TablaSeleccionControladores[[#Headers],[M4-CGE04060-0]:[M4-XPM18000-0]],TablaControladores[[REFERENCIA]:[REFERENCIA]],TablaControladores[ED])*$AA263:$AJ263)</f>
        <v>3</v>
      </c>
      <c r="W263" s="14" cm="1">
        <f t="array" ref="W263">SUM(_xlfn.XLOOKUP(TablaSeleccionControladores[[#Headers],[M4-CGE04060-0]:[M4-XPM18000-0]],TablaControladores[[REFERENCIA]:[REFERENCIA]],TablaControladores[SA])*$AA263:$AJ263)</f>
        <v>4</v>
      </c>
      <c r="X263" s="14" cm="1">
        <f t="array" ref="X263">SUM(_xlfn.XLOOKUP(TablaSeleccionControladores[[#Headers],[M4-CGE04060-0]:[M4-XPM18000-0]],TablaControladores[[REFERENCIA]:[REFERENCIA]],TablaControladores[SC])*$AA263:$AJ263)</f>
        <v>8</v>
      </c>
      <c r="Y263" s="14" cm="1">
        <f t="array" ref="Y263">SUM(_xlfn.XLOOKUP(TablaSeleccionControladores[[#Headers],[M4-CGE04060-0]:[M4-XPM18000-0]],TablaControladores[[REFERENCIA]:[REFERENCIA]],TablaControladores[SD])*$AA263:$AJ263)</f>
        <v>6</v>
      </c>
      <c r="Z263" s="14">
        <f>SUM(TablaSeleccionControladores[[#This Row],[EA]:[SD]])</f>
        <v>31</v>
      </c>
      <c r="AC263" s="14">
        <v>1</v>
      </c>
      <c r="AH263" s="14">
        <v>1</v>
      </c>
      <c r="AI263" s="14">
        <v>0</v>
      </c>
      <c r="AJ263" s="14">
        <v>0</v>
      </c>
    </row>
    <row r="264" spans="17:36" x14ac:dyDescent="0.25">
      <c r="Q264">
        <f t="shared" si="6"/>
        <v>154</v>
      </c>
      <c r="R264" t="s">
        <v>831</v>
      </c>
      <c r="S264">
        <f>SUM(TablaSeleccionControladores[[#This Row],[M4-CGE04060-0]:[M4-CGM09090-0H]])</f>
        <v>1</v>
      </c>
      <c r="T264" s="14" cm="1">
        <f t="array" ref="T264">SUM(_xlfn.XLOOKUP(TablaSeleccionControladores[[#Headers],[M4-CGE04060-0]:[M4-XPM18000-0]],TablaControladores[[REFERENCIA]:[REFERENCIA]],TablaControladores[EA])*$AA264:$AJ264)</f>
        <v>0</v>
      </c>
      <c r="U264" s="14" cm="1">
        <f t="array" ref="U264">SUM(_xlfn.XLOOKUP(TablaSeleccionControladores[[#Headers],[M4-CGE04060-0]:[M4-XPM18000-0]],TablaControladores[[REFERENCIA]:[REFERENCIA]],TablaControladores[EU])*$AA264:$AJ264)</f>
        <v>10</v>
      </c>
      <c r="V264" s="14" cm="1">
        <f t="array" ref="V264">SUM(_xlfn.XLOOKUP(TablaSeleccionControladores[[#Headers],[M4-CGE04060-0]:[M4-XPM18000-0]],TablaControladores[[REFERENCIA]:[REFERENCIA]],TablaControladores[ED])*$AA264:$AJ264)</f>
        <v>21</v>
      </c>
      <c r="W264" s="14" cm="1">
        <f t="array" ref="W264">SUM(_xlfn.XLOOKUP(TablaSeleccionControladores[[#Headers],[M4-CGE04060-0]:[M4-XPM18000-0]],TablaControladores[[REFERENCIA]:[REFERENCIA]],TablaControladores[SA])*$AA264:$AJ264)</f>
        <v>4</v>
      </c>
      <c r="X264" s="14" cm="1">
        <f t="array" ref="X264">SUM(_xlfn.XLOOKUP(TablaSeleccionControladores[[#Headers],[M4-CGE04060-0]:[M4-XPM18000-0]],TablaControladores[[REFERENCIA]:[REFERENCIA]],TablaControladores[SC])*$AA264:$AJ264)</f>
        <v>8</v>
      </c>
      <c r="Y264" s="14" cm="1">
        <f t="array" ref="Y264">SUM(_xlfn.XLOOKUP(TablaSeleccionControladores[[#Headers],[M4-CGE04060-0]:[M4-XPM18000-0]],TablaControladores[[REFERENCIA]:[REFERENCIA]],TablaControladores[SD])*$AA264:$AJ264)</f>
        <v>6</v>
      </c>
      <c r="Z264" s="14">
        <f>SUM(TablaSeleccionControladores[[#This Row],[EA]:[SD]])</f>
        <v>49</v>
      </c>
      <c r="AC264" s="14">
        <v>1</v>
      </c>
      <c r="AH264" s="14">
        <v>1</v>
      </c>
      <c r="AI264" s="14">
        <v>0</v>
      </c>
      <c r="AJ264" s="14">
        <v>1</v>
      </c>
    </row>
    <row r="265" spans="17:36" x14ac:dyDescent="0.25">
      <c r="Q265">
        <f t="shared" si="6"/>
        <v>155</v>
      </c>
      <c r="R265" t="s">
        <v>831</v>
      </c>
      <c r="S265">
        <f>SUM(TablaSeleccionControladores[[#This Row],[M4-CGE04060-0]:[M4-CGM09090-0H]])</f>
        <v>1</v>
      </c>
      <c r="T265" s="14" cm="1">
        <f t="array" ref="T265">SUM(_xlfn.XLOOKUP(TablaSeleccionControladores[[#Headers],[M4-CGE04060-0]:[M4-XPM18000-0]],TablaControladores[[REFERENCIA]:[REFERENCIA]],TablaControladores[EA])*$AA265:$AJ265)</f>
        <v>0</v>
      </c>
      <c r="U265" s="14" cm="1">
        <f t="array" ref="U265">SUM(_xlfn.XLOOKUP(TablaSeleccionControladores[[#Headers],[M4-CGE04060-0]:[M4-XPM18000-0]],TablaControladores[[REFERENCIA]:[REFERENCIA]],TablaControladores[EU])*$AA265:$AJ265)</f>
        <v>10</v>
      </c>
      <c r="V265" s="14" cm="1">
        <f t="array" ref="V265">SUM(_xlfn.XLOOKUP(TablaSeleccionControladores[[#Headers],[M4-CGE04060-0]:[M4-XPM18000-0]],TablaControladores[[REFERENCIA]:[REFERENCIA]],TablaControladores[ED])*$AA265:$AJ265)</f>
        <v>39</v>
      </c>
      <c r="W265" s="14" cm="1">
        <f t="array" ref="W265">SUM(_xlfn.XLOOKUP(TablaSeleccionControladores[[#Headers],[M4-CGE04060-0]:[M4-XPM18000-0]],TablaControladores[[REFERENCIA]:[REFERENCIA]],TablaControladores[SA])*$AA265:$AJ265)</f>
        <v>4</v>
      </c>
      <c r="X265" s="14" cm="1">
        <f t="array" ref="X265">SUM(_xlfn.XLOOKUP(TablaSeleccionControladores[[#Headers],[M4-CGE04060-0]:[M4-XPM18000-0]],TablaControladores[[REFERENCIA]:[REFERENCIA]],TablaControladores[SC])*$AA265:$AJ265)</f>
        <v>8</v>
      </c>
      <c r="Y265" s="14" cm="1">
        <f t="array" ref="Y265">SUM(_xlfn.XLOOKUP(TablaSeleccionControladores[[#Headers],[M4-CGE04060-0]:[M4-XPM18000-0]],TablaControladores[[REFERENCIA]:[REFERENCIA]],TablaControladores[SD])*$AA265:$AJ265)</f>
        <v>6</v>
      </c>
      <c r="Z265" s="14">
        <f>SUM(TablaSeleccionControladores[[#This Row],[EA]:[SD]])</f>
        <v>67</v>
      </c>
      <c r="AC265" s="14">
        <v>1</v>
      </c>
      <c r="AH265" s="14">
        <v>1</v>
      </c>
      <c r="AI265" s="14">
        <v>0</v>
      </c>
      <c r="AJ265" s="14">
        <v>2</v>
      </c>
    </row>
    <row r="266" spans="17:36" x14ac:dyDescent="0.25">
      <c r="Q266">
        <f t="shared" si="6"/>
        <v>156</v>
      </c>
      <c r="R266" t="s">
        <v>831</v>
      </c>
      <c r="S266">
        <f>SUM(TablaSeleccionControladores[[#This Row],[M4-CGE04060-0]:[M4-CGM09090-0H]])</f>
        <v>1</v>
      </c>
      <c r="T266" s="14" cm="1">
        <f t="array" ref="T266">SUM(_xlfn.XLOOKUP(TablaSeleccionControladores[[#Headers],[M4-CGE04060-0]:[M4-XPM18000-0]],TablaControladores[[REFERENCIA]:[REFERENCIA]],TablaControladores[EA])*$AA266:$AJ266)</f>
        <v>0</v>
      </c>
      <c r="U266" s="14" cm="1">
        <f t="array" ref="U266">SUM(_xlfn.XLOOKUP(TablaSeleccionControladores[[#Headers],[M4-CGE04060-0]:[M4-XPM18000-0]],TablaControladores[[REFERENCIA]:[REFERENCIA]],TablaControladores[EU])*$AA266:$AJ266)</f>
        <v>10</v>
      </c>
      <c r="V266" s="14" cm="1">
        <f t="array" ref="V266">SUM(_xlfn.XLOOKUP(TablaSeleccionControladores[[#Headers],[M4-CGE04060-0]:[M4-XPM18000-0]],TablaControladores[[REFERENCIA]:[REFERENCIA]],TablaControladores[ED])*$AA266:$AJ266)</f>
        <v>57</v>
      </c>
      <c r="W266" s="14" cm="1">
        <f t="array" ref="W266">SUM(_xlfn.XLOOKUP(TablaSeleccionControladores[[#Headers],[M4-CGE04060-0]:[M4-XPM18000-0]],TablaControladores[[REFERENCIA]:[REFERENCIA]],TablaControladores[SA])*$AA266:$AJ266)</f>
        <v>4</v>
      </c>
      <c r="X266" s="14" cm="1">
        <f t="array" ref="X266">SUM(_xlfn.XLOOKUP(TablaSeleccionControladores[[#Headers],[M4-CGE04060-0]:[M4-XPM18000-0]],TablaControladores[[REFERENCIA]:[REFERENCIA]],TablaControladores[SC])*$AA266:$AJ266)</f>
        <v>8</v>
      </c>
      <c r="Y266" s="14" cm="1">
        <f t="array" ref="Y266">SUM(_xlfn.XLOOKUP(TablaSeleccionControladores[[#Headers],[M4-CGE04060-0]:[M4-XPM18000-0]],TablaControladores[[REFERENCIA]:[REFERENCIA]],TablaControladores[SD])*$AA266:$AJ266)</f>
        <v>6</v>
      </c>
      <c r="Z266" s="14">
        <f>SUM(TablaSeleccionControladores[[#This Row],[EA]:[SD]])</f>
        <v>85</v>
      </c>
      <c r="AC266" s="14">
        <v>1</v>
      </c>
      <c r="AH266" s="14">
        <v>1</v>
      </c>
      <c r="AI266" s="14">
        <v>0</v>
      </c>
      <c r="AJ266" s="14">
        <v>3</v>
      </c>
    </row>
    <row r="267" spans="17:36" x14ac:dyDescent="0.25">
      <c r="Q267">
        <f t="shared" si="6"/>
        <v>157</v>
      </c>
      <c r="R267" t="s">
        <v>831</v>
      </c>
      <c r="S267">
        <f>SUM(TablaSeleccionControladores[[#This Row],[M4-CGE04060-0]:[M4-CGM09090-0H]])</f>
        <v>1</v>
      </c>
      <c r="T267" s="14" cm="1">
        <f t="array" ref="T267">SUM(_xlfn.XLOOKUP(TablaSeleccionControladores[[#Headers],[M4-CGE04060-0]:[M4-XPM18000-0]],TablaControladores[[REFERENCIA]:[REFERENCIA]],TablaControladores[EA])*$AA267:$AJ267)</f>
        <v>0</v>
      </c>
      <c r="U267" s="14" cm="1">
        <f t="array" ref="U267">SUM(_xlfn.XLOOKUP(TablaSeleccionControladores[[#Headers],[M4-CGE04060-0]:[M4-XPM18000-0]],TablaControladores[[REFERENCIA]:[REFERENCIA]],TablaControladores[EU])*$AA267:$AJ267)</f>
        <v>10</v>
      </c>
      <c r="V267" s="14" cm="1">
        <f t="array" ref="V267">SUM(_xlfn.XLOOKUP(TablaSeleccionControladores[[#Headers],[M4-CGE04060-0]:[M4-XPM18000-0]],TablaControladores[[REFERENCIA]:[REFERENCIA]],TablaControladores[ED])*$AA267:$AJ267)</f>
        <v>75</v>
      </c>
      <c r="W267" s="14" cm="1">
        <f t="array" ref="W267">SUM(_xlfn.XLOOKUP(TablaSeleccionControladores[[#Headers],[M4-CGE04060-0]:[M4-XPM18000-0]],TablaControladores[[REFERENCIA]:[REFERENCIA]],TablaControladores[SA])*$AA267:$AJ267)</f>
        <v>4</v>
      </c>
      <c r="X267" s="14" cm="1">
        <f t="array" ref="X267">SUM(_xlfn.XLOOKUP(TablaSeleccionControladores[[#Headers],[M4-CGE04060-0]:[M4-XPM18000-0]],TablaControladores[[REFERENCIA]:[REFERENCIA]],TablaControladores[SC])*$AA267:$AJ267)</f>
        <v>8</v>
      </c>
      <c r="Y267" s="14" cm="1">
        <f t="array" ref="Y267">SUM(_xlfn.XLOOKUP(TablaSeleccionControladores[[#Headers],[M4-CGE04060-0]:[M4-XPM18000-0]],TablaControladores[[REFERENCIA]:[REFERENCIA]],TablaControladores[SD])*$AA267:$AJ267)</f>
        <v>6</v>
      </c>
      <c r="Z267" s="14">
        <f>SUM(TablaSeleccionControladores[[#This Row],[EA]:[SD]])</f>
        <v>103</v>
      </c>
      <c r="AC267" s="14">
        <v>1</v>
      </c>
      <c r="AH267" s="14">
        <v>1</v>
      </c>
      <c r="AI267" s="14">
        <v>0</v>
      </c>
      <c r="AJ267" s="14">
        <v>4</v>
      </c>
    </row>
    <row r="268" spans="17:36" x14ac:dyDescent="0.25">
      <c r="Q268">
        <f t="shared" si="6"/>
        <v>158</v>
      </c>
      <c r="R268" t="s">
        <v>831</v>
      </c>
      <c r="S268">
        <f>SUM(TablaSeleccionControladores[[#This Row],[M4-CGE04060-0]:[M4-CGM09090-0H]])</f>
        <v>1</v>
      </c>
      <c r="T268" s="14" cm="1">
        <f t="array" ref="T268">SUM(_xlfn.XLOOKUP(TablaSeleccionControladores[[#Headers],[M4-CGE04060-0]:[M4-XPM18000-0]],TablaControladores[[REFERENCIA]:[REFERENCIA]],TablaControladores[EA])*$AA268:$AJ268)</f>
        <v>0</v>
      </c>
      <c r="U268" s="14" cm="1">
        <f t="array" ref="U268">SUM(_xlfn.XLOOKUP(TablaSeleccionControladores[[#Headers],[M4-CGE04060-0]:[M4-XPM18000-0]],TablaControladores[[REFERENCIA]:[REFERENCIA]],TablaControladores[EU])*$AA268:$AJ268)</f>
        <v>10</v>
      </c>
      <c r="V268" s="14" cm="1">
        <f t="array" ref="V268">SUM(_xlfn.XLOOKUP(TablaSeleccionControladores[[#Headers],[M4-CGE04060-0]:[M4-XPM18000-0]],TablaControladores[[REFERENCIA]:[REFERENCIA]],TablaControladores[ED])*$AA268:$AJ268)</f>
        <v>93</v>
      </c>
      <c r="W268" s="14" cm="1">
        <f t="array" ref="W268">SUM(_xlfn.XLOOKUP(TablaSeleccionControladores[[#Headers],[M4-CGE04060-0]:[M4-XPM18000-0]],TablaControladores[[REFERENCIA]:[REFERENCIA]],TablaControladores[SA])*$AA268:$AJ268)</f>
        <v>4</v>
      </c>
      <c r="X268" s="14" cm="1">
        <f t="array" ref="X268">SUM(_xlfn.XLOOKUP(TablaSeleccionControladores[[#Headers],[M4-CGE04060-0]:[M4-XPM18000-0]],TablaControladores[[REFERENCIA]:[REFERENCIA]],TablaControladores[SC])*$AA268:$AJ268)</f>
        <v>8</v>
      </c>
      <c r="Y268" s="14" cm="1">
        <f t="array" ref="Y268">SUM(_xlfn.XLOOKUP(TablaSeleccionControladores[[#Headers],[M4-CGE04060-0]:[M4-XPM18000-0]],TablaControladores[[REFERENCIA]:[REFERENCIA]],TablaControladores[SD])*$AA268:$AJ268)</f>
        <v>6</v>
      </c>
      <c r="Z268" s="14">
        <f>SUM(TablaSeleccionControladores[[#This Row],[EA]:[SD]])</f>
        <v>121</v>
      </c>
      <c r="AC268" s="14">
        <v>1</v>
      </c>
      <c r="AH268" s="14">
        <v>1</v>
      </c>
      <c r="AI268" s="14">
        <v>0</v>
      </c>
      <c r="AJ268" s="14">
        <v>5</v>
      </c>
    </row>
    <row r="269" spans="17:36" x14ac:dyDescent="0.25">
      <c r="Q269">
        <f t="shared" si="6"/>
        <v>159</v>
      </c>
      <c r="R269" t="s">
        <v>831</v>
      </c>
      <c r="S269">
        <f>SUM(TablaSeleccionControladores[[#This Row],[M4-CGE04060-0]:[M4-CGM09090-0H]])</f>
        <v>1</v>
      </c>
      <c r="T269" s="14" cm="1">
        <f t="array" ref="T269">SUM(_xlfn.XLOOKUP(TablaSeleccionControladores[[#Headers],[M4-CGE04060-0]:[M4-XPM18000-0]],TablaControladores[[REFERENCIA]:[REFERENCIA]],TablaControladores[EA])*$AA269:$AJ269)</f>
        <v>0</v>
      </c>
      <c r="U269" s="14" cm="1">
        <f t="array" ref="U269">SUM(_xlfn.XLOOKUP(TablaSeleccionControladores[[#Headers],[M4-CGE04060-0]:[M4-XPM18000-0]],TablaControladores[[REFERENCIA]:[REFERENCIA]],TablaControladores[EU])*$AA269:$AJ269)</f>
        <v>17</v>
      </c>
      <c r="V269" s="14" cm="1">
        <f t="array" ref="V269">SUM(_xlfn.XLOOKUP(TablaSeleccionControladores[[#Headers],[M4-CGE04060-0]:[M4-XPM18000-0]],TablaControladores[[REFERENCIA]:[REFERENCIA]],TablaControladores[ED])*$AA269:$AJ269)</f>
        <v>5</v>
      </c>
      <c r="W269" s="14" cm="1">
        <f t="array" ref="W269">SUM(_xlfn.XLOOKUP(TablaSeleccionControladores[[#Headers],[M4-CGE04060-0]:[M4-XPM18000-0]],TablaControladores[[REFERENCIA]:[REFERENCIA]],TablaControladores[SA])*$AA269:$AJ269)</f>
        <v>6</v>
      </c>
      <c r="X269" s="14" cm="1">
        <f t="array" ref="X269">SUM(_xlfn.XLOOKUP(TablaSeleccionControladores[[#Headers],[M4-CGE04060-0]:[M4-XPM18000-0]],TablaControladores[[REFERENCIA]:[REFERENCIA]],TablaControladores[SC])*$AA269:$AJ269)</f>
        <v>12</v>
      </c>
      <c r="Y269" s="14" cm="1">
        <f t="array" ref="Y269">SUM(_xlfn.XLOOKUP(TablaSeleccionControladores[[#Headers],[M4-CGE04060-0]:[M4-XPM18000-0]],TablaControladores[[REFERENCIA]:[REFERENCIA]],TablaControladores[SD])*$AA269:$AJ269)</f>
        <v>9</v>
      </c>
      <c r="Z269" s="14">
        <f>SUM(TablaSeleccionControladores[[#This Row],[EA]:[SD]])</f>
        <v>49</v>
      </c>
      <c r="AC269" s="14">
        <v>1</v>
      </c>
      <c r="AH269" s="14">
        <v>1</v>
      </c>
      <c r="AI269" s="14">
        <v>1</v>
      </c>
      <c r="AJ269" s="14">
        <v>0</v>
      </c>
    </row>
    <row r="270" spans="17:36" x14ac:dyDescent="0.25">
      <c r="Q270">
        <f t="shared" si="6"/>
        <v>160</v>
      </c>
      <c r="R270" t="s">
        <v>831</v>
      </c>
      <c r="S270">
        <f>SUM(TablaSeleccionControladores[[#This Row],[M4-CGE04060-0]:[M4-CGM09090-0H]])</f>
        <v>1</v>
      </c>
      <c r="T270" s="14" cm="1">
        <f t="array" ref="T270">SUM(_xlfn.XLOOKUP(TablaSeleccionControladores[[#Headers],[M4-CGE04060-0]:[M4-XPM18000-0]],TablaControladores[[REFERENCIA]:[REFERENCIA]],TablaControladores[EA])*$AA270:$AJ270)</f>
        <v>0</v>
      </c>
      <c r="U270" s="14" cm="1">
        <f t="array" ref="U270">SUM(_xlfn.XLOOKUP(TablaSeleccionControladores[[#Headers],[M4-CGE04060-0]:[M4-XPM18000-0]],TablaControladores[[REFERENCIA]:[REFERENCIA]],TablaControladores[EU])*$AA270:$AJ270)</f>
        <v>17</v>
      </c>
      <c r="V270" s="14" cm="1">
        <f t="array" ref="V270">SUM(_xlfn.XLOOKUP(TablaSeleccionControladores[[#Headers],[M4-CGE04060-0]:[M4-XPM18000-0]],TablaControladores[[REFERENCIA]:[REFERENCIA]],TablaControladores[ED])*$AA270:$AJ270)</f>
        <v>23</v>
      </c>
      <c r="W270" s="14" cm="1">
        <f t="array" ref="W270">SUM(_xlfn.XLOOKUP(TablaSeleccionControladores[[#Headers],[M4-CGE04060-0]:[M4-XPM18000-0]],TablaControladores[[REFERENCIA]:[REFERENCIA]],TablaControladores[SA])*$AA270:$AJ270)</f>
        <v>6</v>
      </c>
      <c r="X270" s="14" cm="1">
        <f t="array" ref="X270">SUM(_xlfn.XLOOKUP(TablaSeleccionControladores[[#Headers],[M4-CGE04060-0]:[M4-XPM18000-0]],TablaControladores[[REFERENCIA]:[REFERENCIA]],TablaControladores[SC])*$AA270:$AJ270)</f>
        <v>12</v>
      </c>
      <c r="Y270" s="14" cm="1">
        <f t="array" ref="Y270">SUM(_xlfn.XLOOKUP(TablaSeleccionControladores[[#Headers],[M4-CGE04060-0]:[M4-XPM18000-0]],TablaControladores[[REFERENCIA]:[REFERENCIA]],TablaControladores[SD])*$AA270:$AJ270)</f>
        <v>9</v>
      </c>
      <c r="Z270" s="14">
        <f>SUM(TablaSeleccionControladores[[#This Row],[EA]:[SD]])</f>
        <v>67</v>
      </c>
      <c r="AC270" s="14">
        <v>1</v>
      </c>
      <c r="AH270" s="14">
        <v>1</v>
      </c>
      <c r="AI270" s="14">
        <v>1</v>
      </c>
      <c r="AJ270" s="14">
        <v>1</v>
      </c>
    </row>
    <row r="271" spans="17:36" x14ac:dyDescent="0.25">
      <c r="Q271">
        <f t="shared" si="6"/>
        <v>161</v>
      </c>
      <c r="R271" t="s">
        <v>831</v>
      </c>
      <c r="S271">
        <f>SUM(TablaSeleccionControladores[[#This Row],[M4-CGE04060-0]:[M4-CGM09090-0H]])</f>
        <v>1</v>
      </c>
      <c r="T271" s="14" cm="1">
        <f t="array" ref="T271">SUM(_xlfn.XLOOKUP(TablaSeleccionControladores[[#Headers],[M4-CGE04060-0]:[M4-XPM18000-0]],TablaControladores[[REFERENCIA]:[REFERENCIA]],TablaControladores[EA])*$AA271:$AJ271)</f>
        <v>0</v>
      </c>
      <c r="U271" s="14" cm="1">
        <f t="array" ref="U271">SUM(_xlfn.XLOOKUP(TablaSeleccionControladores[[#Headers],[M4-CGE04060-0]:[M4-XPM18000-0]],TablaControladores[[REFERENCIA]:[REFERENCIA]],TablaControladores[EU])*$AA271:$AJ271)</f>
        <v>17</v>
      </c>
      <c r="V271" s="14" cm="1">
        <f t="array" ref="V271">SUM(_xlfn.XLOOKUP(TablaSeleccionControladores[[#Headers],[M4-CGE04060-0]:[M4-XPM18000-0]],TablaControladores[[REFERENCIA]:[REFERENCIA]],TablaControladores[ED])*$AA271:$AJ271)</f>
        <v>41</v>
      </c>
      <c r="W271" s="14" cm="1">
        <f t="array" ref="W271">SUM(_xlfn.XLOOKUP(TablaSeleccionControladores[[#Headers],[M4-CGE04060-0]:[M4-XPM18000-0]],TablaControladores[[REFERENCIA]:[REFERENCIA]],TablaControladores[SA])*$AA271:$AJ271)</f>
        <v>6</v>
      </c>
      <c r="X271" s="14" cm="1">
        <f t="array" ref="X271">SUM(_xlfn.XLOOKUP(TablaSeleccionControladores[[#Headers],[M4-CGE04060-0]:[M4-XPM18000-0]],TablaControladores[[REFERENCIA]:[REFERENCIA]],TablaControladores[SC])*$AA271:$AJ271)</f>
        <v>12</v>
      </c>
      <c r="Y271" s="14" cm="1">
        <f t="array" ref="Y271">SUM(_xlfn.XLOOKUP(TablaSeleccionControladores[[#Headers],[M4-CGE04060-0]:[M4-XPM18000-0]],TablaControladores[[REFERENCIA]:[REFERENCIA]],TablaControladores[SD])*$AA271:$AJ271)</f>
        <v>9</v>
      </c>
      <c r="Z271" s="14">
        <f>SUM(TablaSeleccionControladores[[#This Row],[EA]:[SD]])</f>
        <v>85</v>
      </c>
      <c r="AC271" s="14">
        <v>1</v>
      </c>
      <c r="AH271" s="14">
        <v>1</v>
      </c>
      <c r="AI271" s="14">
        <v>1</v>
      </c>
      <c r="AJ271" s="14">
        <v>2</v>
      </c>
    </row>
    <row r="272" spans="17:36" x14ac:dyDescent="0.25">
      <c r="Q272">
        <f t="shared" si="6"/>
        <v>162</v>
      </c>
      <c r="R272" t="s">
        <v>831</v>
      </c>
      <c r="S272">
        <f>SUM(TablaSeleccionControladores[[#This Row],[M4-CGE04060-0]:[M4-CGM09090-0H]])</f>
        <v>1</v>
      </c>
      <c r="T272" s="14" cm="1">
        <f t="array" ref="T272">SUM(_xlfn.XLOOKUP(TablaSeleccionControladores[[#Headers],[M4-CGE04060-0]:[M4-XPM18000-0]],TablaControladores[[REFERENCIA]:[REFERENCIA]],TablaControladores[EA])*$AA272:$AJ272)</f>
        <v>0</v>
      </c>
      <c r="U272" s="14" cm="1">
        <f t="array" ref="U272">SUM(_xlfn.XLOOKUP(TablaSeleccionControladores[[#Headers],[M4-CGE04060-0]:[M4-XPM18000-0]],TablaControladores[[REFERENCIA]:[REFERENCIA]],TablaControladores[EU])*$AA272:$AJ272)</f>
        <v>17</v>
      </c>
      <c r="V272" s="14" cm="1">
        <f t="array" ref="V272">SUM(_xlfn.XLOOKUP(TablaSeleccionControladores[[#Headers],[M4-CGE04060-0]:[M4-XPM18000-0]],TablaControladores[[REFERENCIA]:[REFERENCIA]],TablaControladores[ED])*$AA272:$AJ272)</f>
        <v>59</v>
      </c>
      <c r="W272" s="14" cm="1">
        <f t="array" ref="W272">SUM(_xlfn.XLOOKUP(TablaSeleccionControladores[[#Headers],[M4-CGE04060-0]:[M4-XPM18000-0]],TablaControladores[[REFERENCIA]:[REFERENCIA]],TablaControladores[SA])*$AA272:$AJ272)</f>
        <v>6</v>
      </c>
      <c r="X272" s="14" cm="1">
        <f t="array" ref="X272">SUM(_xlfn.XLOOKUP(TablaSeleccionControladores[[#Headers],[M4-CGE04060-0]:[M4-XPM18000-0]],TablaControladores[[REFERENCIA]:[REFERENCIA]],TablaControladores[SC])*$AA272:$AJ272)</f>
        <v>12</v>
      </c>
      <c r="Y272" s="14" cm="1">
        <f t="array" ref="Y272">SUM(_xlfn.XLOOKUP(TablaSeleccionControladores[[#Headers],[M4-CGE04060-0]:[M4-XPM18000-0]],TablaControladores[[REFERENCIA]:[REFERENCIA]],TablaControladores[SD])*$AA272:$AJ272)</f>
        <v>9</v>
      </c>
      <c r="Z272" s="14">
        <f>SUM(TablaSeleccionControladores[[#This Row],[EA]:[SD]])</f>
        <v>103</v>
      </c>
      <c r="AC272" s="14">
        <v>1</v>
      </c>
      <c r="AH272" s="14">
        <v>1</v>
      </c>
      <c r="AI272" s="14">
        <v>1</v>
      </c>
      <c r="AJ272" s="14">
        <v>3</v>
      </c>
    </row>
    <row r="273" spans="17:36" x14ac:dyDescent="0.25">
      <c r="Q273">
        <f t="shared" si="6"/>
        <v>163</v>
      </c>
      <c r="R273" t="s">
        <v>831</v>
      </c>
      <c r="S273">
        <f>SUM(TablaSeleccionControladores[[#This Row],[M4-CGE04060-0]:[M4-CGM09090-0H]])</f>
        <v>1</v>
      </c>
      <c r="T273" s="14" cm="1">
        <f t="array" ref="T273">SUM(_xlfn.XLOOKUP(TablaSeleccionControladores[[#Headers],[M4-CGE04060-0]:[M4-XPM18000-0]],TablaControladores[[REFERENCIA]:[REFERENCIA]],TablaControladores[EA])*$AA273:$AJ273)</f>
        <v>0</v>
      </c>
      <c r="U273" s="14" cm="1">
        <f t="array" ref="U273">SUM(_xlfn.XLOOKUP(TablaSeleccionControladores[[#Headers],[M4-CGE04060-0]:[M4-XPM18000-0]],TablaControladores[[REFERENCIA]:[REFERENCIA]],TablaControladores[EU])*$AA273:$AJ273)</f>
        <v>17</v>
      </c>
      <c r="V273" s="14" cm="1">
        <f t="array" ref="V273">SUM(_xlfn.XLOOKUP(TablaSeleccionControladores[[#Headers],[M4-CGE04060-0]:[M4-XPM18000-0]],TablaControladores[[REFERENCIA]:[REFERENCIA]],TablaControladores[ED])*$AA273:$AJ273)</f>
        <v>77</v>
      </c>
      <c r="W273" s="14" cm="1">
        <f t="array" ref="W273">SUM(_xlfn.XLOOKUP(TablaSeleccionControladores[[#Headers],[M4-CGE04060-0]:[M4-XPM18000-0]],TablaControladores[[REFERENCIA]:[REFERENCIA]],TablaControladores[SA])*$AA273:$AJ273)</f>
        <v>6</v>
      </c>
      <c r="X273" s="14" cm="1">
        <f t="array" ref="X273">SUM(_xlfn.XLOOKUP(TablaSeleccionControladores[[#Headers],[M4-CGE04060-0]:[M4-XPM18000-0]],TablaControladores[[REFERENCIA]:[REFERENCIA]],TablaControladores[SC])*$AA273:$AJ273)</f>
        <v>12</v>
      </c>
      <c r="Y273" s="14" cm="1">
        <f t="array" ref="Y273">SUM(_xlfn.XLOOKUP(TablaSeleccionControladores[[#Headers],[M4-CGE04060-0]:[M4-XPM18000-0]],TablaControladores[[REFERENCIA]:[REFERENCIA]],TablaControladores[SD])*$AA273:$AJ273)</f>
        <v>9</v>
      </c>
      <c r="Z273" s="14">
        <f>SUM(TablaSeleccionControladores[[#This Row],[EA]:[SD]])</f>
        <v>121</v>
      </c>
      <c r="AC273" s="14">
        <v>1</v>
      </c>
      <c r="AH273" s="14">
        <v>1</v>
      </c>
      <c r="AI273" s="14">
        <v>1</v>
      </c>
      <c r="AJ273" s="14">
        <v>4</v>
      </c>
    </row>
    <row r="274" spans="17:36" x14ac:dyDescent="0.25">
      <c r="Q274">
        <f t="shared" si="6"/>
        <v>164</v>
      </c>
      <c r="R274" t="s">
        <v>831</v>
      </c>
      <c r="S274">
        <f>SUM(TablaSeleccionControladores[[#This Row],[M4-CGE04060-0]:[M4-CGM09090-0H]])</f>
        <v>1</v>
      </c>
      <c r="T274" s="14" cm="1">
        <f t="array" ref="T274">SUM(_xlfn.XLOOKUP(TablaSeleccionControladores[[#Headers],[M4-CGE04060-0]:[M4-XPM18000-0]],TablaControladores[[REFERENCIA]:[REFERENCIA]],TablaControladores[EA])*$AA274:$AJ274)</f>
        <v>0</v>
      </c>
      <c r="U274" s="14" cm="1">
        <f t="array" ref="U274">SUM(_xlfn.XLOOKUP(TablaSeleccionControladores[[#Headers],[M4-CGE04060-0]:[M4-XPM18000-0]],TablaControladores[[REFERENCIA]:[REFERENCIA]],TablaControladores[EU])*$AA274:$AJ274)</f>
        <v>24</v>
      </c>
      <c r="V274" s="14" cm="1">
        <f t="array" ref="V274">SUM(_xlfn.XLOOKUP(TablaSeleccionControladores[[#Headers],[M4-CGE04060-0]:[M4-XPM18000-0]],TablaControladores[[REFERENCIA]:[REFERENCIA]],TablaControladores[ED])*$AA274:$AJ274)</f>
        <v>7</v>
      </c>
      <c r="W274" s="14" cm="1">
        <f t="array" ref="W274">SUM(_xlfn.XLOOKUP(TablaSeleccionControladores[[#Headers],[M4-CGE04060-0]:[M4-XPM18000-0]],TablaControladores[[REFERENCIA]:[REFERENCIA]],TablaControladores[SA])*$AA274:$AJ274)</f>
        <v>8</v>
      </c>
      <c r="X274" s="14" cm="1">
        <f t="array" ref="X274">SUM(_xlfn.XLOOKUP(TablaSeleccionControladores[[#Headers],[M4-CGE04060-0]:[M4-XPM18000-0]],TablaControladores[[REFERENCIA]:[REFERENCIA]],TablaControladores[SC])*$AA274:$AJ274)</f>
        <v>16</v>
      </c>
      <c r="Y274" s="14" cm="1">
        <f t="array" ref="Y274">SUM(_xlfn.XLOOKUP(TablaSeleccionControladores[[#Headers],[M4-CGE04060-0]:[M4-XPM18000-0]],TablaControladores[[REFERENCIA]:[REFERENCIA]],TablaControladores[SD])*$AA274:$AJ274)</f>
        <v>12</v>
      </c>
      <c r="Z274" s="14">
        <f>SUM(TablaSeleccionControladores[[#This Row],[EA]:[SD]])</f>
        <v>67</v>
      </c>
      <c r="AC274" s="14">
        <v>1</v>
      </c>
      <c r="AH274" s="14">
        <v>1</v>
      </c>
      <c r="AI274" s="14">
        <v>2</v>
      </c>
      <c r="AJ274" s="14">
        <v>0</v>
      </c>
    </row>
    <row r="275" spans="17:36" x14ac:dyDescent="0.25">
      <c r="Q275">
        <f t="shared" si="6"/>
        <v>165</v>
      </c>
      <c r="R275" t="s">
        <v>831</v>
      </c>
      <c r="S275">
        <f>SUM(TablaSeleccionControladores[[#This Row],[M4-CGE04060-0]:[M4-CGM09090-0H]])</f>
        <v>1</v>
      </c>
      <c r="T275" s="14" cm="1">
        <f t="array" ref="T275">SUM(_xlfn.XLOOKUP(TablaSeleccionControladores[[#Headers],[M4-CGE04060-0]:[M4-XPM18000-0]],TablaControladores[[REFERENCIA]:[REFERENCIA]],TablaControladores[EA])*$AA275:$AJ275)</f>
        <v>0</v>
      </c>
      <c r="U275" s="14" cm="1">
        <f t="array" ref="U275">SUM(_xlfn.XLOOKUP(TablaSeleccionControladores[[#Headers],[M4-CGE04060-0]:[M4-XPM18000-0]],TablaControladores[[REFERENCIA]:[REFERENCIA]],TablaControladores[EU])*$AA275:$AJ275)</f>
        <v>24</v>
      </c>
      <c r="V275" s="14" cm="1">
        <f t="array" ref="V275">SUM(_xlfn.XLOOKUP(TablaSeleccionControladores[[#Headers],[M4-CGE04060-0]:[M4-XPM18000-0]],TablaControladores[[REFERENCIA]:[REFERENCIA]],TablaControladores[ED])*$AA275:$AJ275)</f>
        <v>25</v>
      </c>
      <c r="W275" s="14" cm="1">
        <f t="array" ref="W275">SUM(_xlfn.XLOOKUP(TablaSeleccionControladores[[#Headers],[M4-CGE04060-0]:[M4-XPM18000-0]],TablaControladores[[REFERENCIA]:[REFERENCIA]],TablaControladores[SA])*$AA275:$AJ275)</f>
        <v>8</v>
      </c>
      <c r="X275" s="14" cm="1">
        <f t="array" ref="X275">SUM(_xlfn.XLOOKUP(TablaSeleccionControladores[[#Headers],[M4-CGE04060-0]:[M4-XPM18000-0]],TablaControladores[[REFERENCIA]:[REFERENCIA]],TablaControladores[SC])*$AA275:$AJ275)</f>
        <v>16</v>
      </c>
      <c r="Y275" s="14" cm="1">
        <f t="array" ref="Y275">SUM(_xlfn.XLOOKUP(TablaSeleccionControladores[[#Headers],[M4-CGE04060-0]:[M4-XPM18000-0]],TablaControladores[[REFERENCIA]:[REFERENCIA]],TablaControladores[SD])*$AA275:$AJ275)</f>
        <v>12</v>
      </c>
      <c r="Z275" s="14">
        <f>SUM(TablaSeleccionControladores[[#This Row],[EA]:[SD]])</f>
        <v>85</v>
      </c>
      <c r="AC275" s="14">
        <v>1</v>
      </c>
      <c r="AH275" s="14">
        <v>1</v>
      </c>
      <c r="AI275" s="14">
        <v>2</v>
      </c>
      <c r="AJ275" s="14">
        <v>1</v>
      </c>
    </row>
    <row r="276" spans="17:36" x14ac:dyDescent="0.25">
      <c r="Q276">
        <f t="shared" si="6"/>
        <v>166</v>
      </c>
      <c r="R276" t="s">
        <v>831</v>
      </c>
      <c r="S276">
        <f>SUM(TablaSeleccionControladores[[#This Row],[M4-CGE04060-0]:[M4-CGM09090-0H]])</f>
        <v>1</v>
      </c>
      <c r="T276" s="14" cm="1">
        <f t="array" ref="T276">SUM(_xlfn.XLOOKUP(TablaSeleccionControladores[[#Headers],[M4-CGE04060-0]:[M4-XPM18000-0]],TablaControladores[[REFERENCIA]:[REFERENCIA]],TablaControladores[EA])*$AA276:$AJ276)</f>
        <v>0</v>
      </c>
      <c r="U276" s="14" cm="1">
        <f t="array" ref="U276">SUM(_xlfn.XLOOKUP(TablaSeleccionControladores[[#Headers],[M4-CGE04060-0]:[M4-XPM18000-0]],TablaControladores[[REFERENCIA]:[REFERENCIA]],TablaControladores[EU])*$AA276:$AJ276)</f>
        <v>24</v>
      </c>
      <c r="V276" s="14" cm="1">
        <f t="array" ref="V276">SUM(_xlfn.XLOOKUP(TablaSeleccionControladores[[#Headers],[M4-CGE04060-0]:[M4-XPM18000-0]],TablaControladores[[REFERENCIA]:[REFERENCIA]],TablaControladores[ED])*$AA276:$AJ276)</f>
        <v>43</v>
      </c>
      <c r="W276" s="14" cm="1">
        <f t="array" ref="W276">SUM(_xlfn.XLOOKUP(TablaSeleccionControladores[[#Headers],[M4-CGE04060-0]:[M4-XPM18000-0]],TablaControladores[[REFERENCIA]:[REFERENCIA]],TablaControladores[SA])*$AA276:$AJ276)</f>
        <v>8</v>
      </c>
      <c r="X276" s="14" cm="1">
        <f t="array" ref="X276">SUM(_xlfn.XLOOKUP(TablaSeleccionControladores[[#Headers],[M4-CGE04060-0]:[M4-XPM18000-0]],TablaControladores[[REFERENCIA]:[REFERENCIA]],TablaControladores[SC])*$AA276:$AJ276)</f>
        <v>16</v>
      </c>
      <c r="Y276" s="14" cm="1">
        <f t="array" ref="Y276">SUM(_xlfn.XLOOKUP(TablaSeleccionControladores[[#Headers],[M4-CGE04060-0]:[M4-XPM18000-0]],TablaControladores[[REFERENCIA]:[REFERENCIA]],TablaControladores[SD])*$AA276:$AJ276)</f>
        <v>12</v>
      </c>
      <c r="Z276" s="14">
        <f>SUM(TablaSeleccionControladores[[#This Row],[EA]:[SD]])</f>
        <v>103</v>
      </c>
      <c r="AC276" s="14">
        <v>1</v>
      </c>
      <c r="AH276" s="14">
        <v>1</v>
      </c>
      <c r="AI276" s="14">
        <v>2</v>
      </c>
      <c r="AJ276" s="14">
        <v>2</v>
      </c>
    </row>
    <row r="277" spans="17:36" x14ac:dyDescent="0.25">
      <c r="Q277">
        <f t="shared" si="6"/>
        <v>167</v>
      </c>
      <c r="R277" t="s">
        <v>831</v>
      </c>
      <c r="S277">
        <f>SUM(TablaSeleccionControladores[[#This Row],[M4-CGE04060-0]:[M4-CGM09090-0H]])</f>
        <v>1</v>
      </c>
      <c r="T277" s="14" cm="1">
        <f t="array" ref="T277">SUM(_xlfn.XLOOKUP(TablaSeleccionControladores[[#Headers],[M4-CGE04060-0]:[M4-XPM18000-0]],TablaControladores[[REFERENCIA]:[REFERENCIA]],TablaControladores[EA])*$AA277:$AJ277)</f>
        <v>0</v>
      </c>
      <c r="U277" s="14" cm="1">
        <f t="array" ref="U277">SUM(_xlfn.XLOOKUP(TablaSeleccionControladores[[#Headers],[M4-CGE04060-0]:[M4-XPM18000-0]],TablaControladores[[REFERENCIA]:[REFERENCIA]],TablaControladores[EU])*$AA277:$AJ277)</f>
        <v>24</v>
      </c>
      <c r="V277" s="14" cm="1">
        <f t="array" ref="V277">SUM(_xlfn.XLOOKUP(TablaSeleccionControladores[[#Headers],[M4-CGE04060-0]:[M4-XPM18000-0]],TablaControladores[[REFERENCIA]:[REFERENCIA]],TablaControladores[ED])*$AA277:$AJ277)</f>
        <v>61</v>
      </c>
      <c r="W277" s="14" cm="1">
        <f t="array" ref="W277">SUM(_xlfn.XLOOKUP(TablaSeleccionControladores[[#Headers],[M4-CGE04060-0]:[M4-XPM18000-0]],TablaControladores[[REFERENCIA]:[REFERENCIA]],TablaControladores[SA])*$AA277:$AJ277)</f>
        <v>8</v>
      </c>
      <c r="X277" s="14" cm="1">
        <f t="array" ref="X277">SUM(_xlfn.XLOOKUP(TablaSeleccionControladores[[#Headers],[M4-CGE04060-0]:[M4-XPM18000-0]],TablaControladores[[REFERENCIA]:[REFERENCIA]],TablaControladores[SC])*$AA277:$AJ277)</f>
        <v>16</v>
      </c>
      <c r="Y277" s="14" cm="1">
        <f t="array" ref="Y277">SUM(_xlfn.XLOOKUP(TablaSeleccionControladores[[#Headers],[M4-CGE04060-0]:[M4-XPM18000-0]],TablaControladores[[REFERENCIA]:[REFERENCIA]],TablaControladores[SD])*$AA277:$AJ277)</f>
        <v>12</v>
      </c>
      <c r="Z277" s="14">
        <f>SUM(TablaSeleccionControladores[[#This Row],[EA]:[SD]])</f>
        <v>121</v>
      </c>
      <c r="AC277" s="14">
        <v>1</v>
      </c>
      <c r="AH277" s="14">
        <v>1</v>
      </c>
      <c r="AI277" s="14">
        <v>2</v>
      </c>
      <c r="AJ277" s="14">
        <v>3</v>
      </c>
    </row>
    <row r="278" spans="17:36" x14ac:dyDescent="0.25">
      <c r="Q278">
        <f t="shared" si="6"/>
        <v>168</v>
      </c>
      <c r="R278" t="s">
        <v>831</v>
      </c>
      <c r="S278">
        <f>SUM(TablaSeleccionControladores[[#This Row],[M4-CGE04060-0]:[M4-CGM09090-0H]])</f>
        <v>1</v>
      </c>
      <c r="T278" s="14" cm="1">
        <f t="array" ref="T278">SUM(_xlfn.XLOOKUP(TablaSeleccionControladores[[#Headers],[M4-CGE04060-0]:[M4-XPM18000-0]],TablaControladores[[REFERENCIA]:[REFERENCIA]],TablaControladores[EA])*$AA278:$AJ278)</f>
        <v>0</v>
      </c>
      <c r="U278" s="14" cm="1">
        <f t="array" ref="U278">SUM(_xlfn.XLOOKUP(TablaSeleccionControladores[[#Headers],[M4-CGE04060-0]:[M4-XPM18000-0]],TablaControladores[[REFERENCIA]:[REFERENCIA]],TablaControladores[EU])*$AA278:$AJ278)</f>
        <v>31</v>
      </c>
      <c r="V278" s="14" cm="1">
        <f t="array" ref="V278">SUM(_xlfn.XLOOKUP(TablaSeleccionControladores[[#Headers],[M4-CGE04060-0]:[M4-XPM18000-0]],TablaControladores[[REFERENCIA]:[REFERENCIA]],TablaControladores[ED])*$AA278:$AJ278)</f>
        <v>9</v>
      </c>
      <c r="W278" s="14" cm="1">
        <f t="array" ref="W278">SUM(_xlfn.XLOOKUP(TablaSeleccionControladores[[#Headers],[M4-CGE04060-0]:[M4-XPM18000-0]],TablaControladores[[REFERENCIA]:[REFERENCIA]],TablaControladores[SA])*$AA278:$AJ278)</f>
        <v>10</v>
      </c>
      <c r="X278" s="14" cm="1">
        <f t="array" ref="X278">SUM(_xlfn.XLOOKUP(TablaSeleccionControladores[[#Headers],[M4-CGE04060-0]:[M4-XPM18000-0]],TablaControladores[[REFERENCIA]:[REFERENCIA]],TablaControladores[SC])*$AA278:$AJ278)</f>
        <v>20</v>
      </c>
      <c r="Y278" s="14" cm="1">
        <f t="array" ref="Y278">SUM(_xlfn.XLOOKUP(TablaSeleccionControladores[[#Headers],[M4-CGE04060-0]:[M4-XPM18000-0]],TablaControladores[[REFERENCIA]:[REFERENCIA]],TablaControladores[SD])*$AA278:$AJ278)</f>
        <v>15</v>
      </c>
      <c r="Z278" s="14">
        <f>SUM(TablaSeleccionControladores[[#This Row],[EA]:[SD]])</f>
        <v>85</v>
      </c>
      <c r="AC278" s="14">
        <v>1</v>
      </c>
      <c r="AH278" s="14">
        <v>1</v>
      </c>
      <c r="AI278" s="14">
        <v>3</v>
      </c>
      <c r="AJ278" s="14">
        <v>0</v>
      </c>
    </row>
    <row r="279" spans="17:36" x14ac:dyDescent="0.25">
      <c r="Q279">
        <f t="shared" si="6"/>
        <v>169</v>
      </c>
      <c r="R279" t="s">
        <v>831</v>
      </c>
      <c r="S279">
        <f>SUM(TablaSeleccionControladores[[#This Row],[M4-CGE04060-0]:[M4-CGM09090-0H]])</f>
        <v>1</v>
      </c>
      <c r="T279" s="14" cm="1">
        <f t="array" ref="T279">SUM(_xlfn.XLOOKUP(TablaSeleccionControladores[[#Headers],[M4-CGE04060-0]:[M4-XPM18000-0]],TablaControladores[[REFERENCIA]:[REFERENCIA]],TablaControladores[EA])*$AA279:$AJ279)</f>
        <v>0</v>
      </c>
      <c r="U279" s="14" cm="1">
        <f t="array" ref="U279">SUM(_xlfn.XLOOKUP(TablaSeleccionControladores[[#Headers],[M4-CGE04060-0]:[M4-XPM18000-0]],TablaControladores[[REFERENCIA]:[REFERENCIA]],TablaControladores[EU])*$AA279:$AJ279)</f>
        <v>31</v>
      </c>
      <c r="V279" s="14" cm="1">
        <f t="array" ref="V279">SUM(_xlfn.XLOOKUP(TablaSeleccionControladores[[#Headers],[M4-CGE04060-0]:[M4-XPM18000-0]],TablaControladores[[REFERENCIA]:[REFERENCIA]],TablaControladores[ED])*$AA279:$AJ279)</f>
        <v>27</v>
      </c>
      <c r="W279" s="14" cm="1">
        <f t="array" ref="W279">SUM(_xlfn.XLOOKUP(TablaSeleccionControladores[[#Headers],[M4-CGE04060-0]:[M4-XPM18000-0]],TablaControladores[[REFERENCIA]:[REFERENCIA]],TablaControladores[SA])*$AA279:$AJ279)</f>
        <v>10</v>
      </c>
      <c r="X279" s="14" cm="1">
        <f t="array" ref="X279">SUM(_xlfn.XLOOKUP(TablaSeleccionControladores[[#Headers],[M4-CGE04060-0]:[M4-XPM18000-0]],TablaControladores[[REFERENCIA]:[REFERENCIA]],TablaControladores[SC])*$AA279:$AJ279)</f>
        <v>20</v>
      </c>
      <c r="Y279" s="14" cm="1">
        <f t="array" ref="Y279">SUM(_xlfn.XLOOKUP(TablaSeleccionControladores[[#Headers],[M4-CGE04060-0]:[M4-XPM18000-0]],TablaControladores[[REFERENCIA]:[REFERENCIA]],TablaControladores[SD])*$AA279:$AJ279)</f>
        <v>15</v>
      </c>
      <c r="Z279" s="14">
        <f>SUM(TablaSeleccionControladores[[#This Row],[EA]:[SD]])</f>
        <v>103</v>
      </c>
      <c r="AC279" s="14">
        <v>1</v>
      </c>
      <c r="AH279" s="14">
        <v>1</v>
      </c>
      <c r="AI279" s="14">
        <v>3</v>
      </c>
      <c r="AJ279" s="14">
        <v>1</v>
      </c>
    </row>
    <row r="280" spans="17:36" x14ac:dyDescent="0.25">
      <c r="Q280">
        <f t="shared" si="6"/>
        <v>170</v>
      </c>
      <c r="R280" t="s">
        <v>831</v>
      </c>
      <c r="S280">
        <f>SUM(TablaSeleccionControladores[[#This Row],[M4-CGE04060-0]:[M4-CGM09090-0H]])</f>
        <v>1</v>
      </c>
      <c r="T280" s="14" cm="1">
        <f t="array" ref="T280">SUM(_xlfn.XLOOKUP(TablaSeleccionControladores[[#Headers],[M4-CGE04060-0]:[M4-XPM18000-0]],TablaControladores[[REFERENCIA]:[REFERENCIA]],TablaControladores[EA])*$AA280:$AJ280)</f>
        <v>0</v>
      </c>
      <c r="U280" s="14" cm="1">
        <f t="array" ref="U280">SUM(_xlfn.XLOOKUP(TablaSeleccionControladores[[#Headers],[M4-CGE04060-0]:[M4-XPM18000-0]],TablaControladores[[REFERENCIA]:[REFERENCIA]],TablaControladores[EU])*$AA280:$AJ280)</f>
        <v>31</v>
      </c>
      <c r="V280" s="14" cm="1">
        <f t="array" ref="V280">SUM(_xlfn.XLOOKUP(TablaSeleccionControladores[[#Headers],[M4-CGE04060-0]:[M4-XPM18000-0]],TablaControladores[[REFERENCIA]:[REFERENCIA]],TablaControladores[ED])*$AA280:$AJ280)</f>
        <v>45</v>
      </c>
      <c r="W280" s="14" cm="1">
        <f t="array" ref="W280">SUM(_xlfn.XLOOKUP(TablaSeleccionControladores[[#Headers],[M4-CGE04060-0]:[M4-XPM18000-0]],TablaControladores[[REFERENCIA]:[REFERENCIA]],TablaControladores[SA])*$AA280:$AJ280)</f>
        <v>10</v>
      </c>
      <c r="X280" s="14" cm="1">
        <f t="array" ref="X280">SUM(_xlfn.XLOOKUP(TablaSeleccionControladores[[#Headers],[M4-CGE04060-0]:[M4-XPM18000-0]],TablaControladores[[REFERENCIA]:[REFERENCIA]],TablaControladores[SC])*$AA280:$AJ280)</f>
        <v>20</v>
      </c>
      <c r="Y280" s="14" cm="1">
        <f t="array" ref="Y280">SUM(_xlfn.XLOOKUP(TablaSeleccionControladores[[#Headers],[M4-CGE04060-0]:[M4-XPM18000-0]],TablaControladores[[REFERENCIA]:[REFERENCIA]],TablaControladores[SD])*$AA280:$AJ280)</f>
        <v>15</v>
      </c>
      <c r="Z280" s="14">
        <f>SUM(TablaSeleccionControladores[[#This Row],[EA]:[SD]])</f>
        <v>121</v>
      </c>
      <c r="AC280" s="14">
        <v>1</v>
      </c>
      <c r="AH280" s="14">
        <v>1</v>
      </c>
      <c r="AI280" s="14">
        <v>3</v>
      </c>
      <c r="AJ280" s="14">
        <v>2</v>
      </c>
    </row>
    <row r="281" spans="17:36" x14ac:dyDescent="0.25">
      <c r="Q281">
        <f t="shared" si="6"/>
        <v>171</v>
      </c>
      <c r="R281" t="s">
        <v>831</v>
      </c>
      <c r="S281">
        <f>SUM(TablaSeleccionControladores[[#This Row],[M4-CGE04060-0]:[M4-CGM09090-0H]])</f>
        <v>1</v>
      </c>
      <c r="T281" s="14" cm="1">
        <f t="array" ref="T281">SUM(_xlfn.XLOOKUP(TablaSeleccionControladores[[#Headers],[M4-CGE04060-0]:[M4-XPM18000-0]],TablaControladores[[REFERENCIA]:[REFERENCIA]],TablaControladores[EA])*$AA281:$AJ281)</f>
        <v>0</v>
      </c>
      <c r="U281" s="14" cm="1">
        <f t="array" ref="U281">SUM(_xlfn.XLOOKUP(TablaSeleccionControladores[[#Headers],[M4-CGE04060-0]:[M4-XPM18000-0]],TablaControladores[[REFERENCIA]:[REFERENCIA]],TablaControladores[EU])*$AA281:$AJ281)</f>
        <v>38</v>
      </c>
      <c r="V281" s="14" cm="1">
        <f t="array" ref="V281">SUM(_xlfn.XLOOKUP(TablaSeleccionControladores[[#Headers],[M4-CGE04060-0]:[M4-XPM18000-0]],TablaControladores[[REFERENCIA]:[REFERENCIA]],TablaControladores[ED])*$AA281:$AJ281)</f>
        <v>11</v>
      </c>
      <c r="W281" s="14" cm="1">
        <f t="array" ref="W281">SUM(_xlfn.XLOOKUP(TablaSeleccionControladores[[#Headers],[M4-CGE04060-0]:[M4-XPM18000-0]],TablaControladores[[REFERENCIA]:[REFERENCIA]],TablaControladores[SA])*$AA281:$AJ281)</f>
        <v>12</v>
      </c>
      <c r="X281" s="14" cm="1">
        <f t="array" ref="X281">SUM(_xlfn.XLOOKUP(TablaSeleccionControladores[[#Headers],[M4-CGE04060-0]:[M4-XPM18000-0]],TablaControladores[[REFERENCIA]:[REFERENCIA]],TablaControladores[SC])*$AA281:$AJ281)</f>
        <v>24</v>
      </c>
      <c r="Y281" s="14" cm="1">
        <f t="array" ref="Y281">SUM(_xlfn.XLOOKUP(TablaSeleccionControladores[[#Headers],[M4-CGE04060-0]:[M4-XPM18000-0]],TablaControladores[[REFERENCIA]:[REFERENCIA]],TablaControladores[SD])*$AA281:$AJ281)</f>
        <v>18</v>
      </c>
      <c r="Z281" s="14">
        <f>SUM(TablaSeleccionControladores[[#This Row],[EA]:[SD]])</f>
        <v>103</v>
      </c>
      <c r="AC281" s="14">
        <v>1</v>
      </c>
      <c r="AH281" s="14">
        <v>1</v>
      </c>
      <c r="AI281" s="14">
        <v>4</v>
      </c>
      <c r="AJ281" s="14">
        <v>0</v>
      </c>
    </row>
    <row r="282" spans="17:36" x14ac:dyDescent="0.25">
      <c r="Q282">
        <f t="shared" si="6"/>
        <v>172</v>
      </c>
      <c r="R282" t="s">
        <v>831</v>
      </c>
      <c r="S282">
        <f>SUM(TablaSeleccionControladores[[#This Row],[M4-CGE04060-0]:[M4-CGM09090-0H]])</f>
        <v>1</v>
      </c>
      <c r="T282" s="14" cm="1">
        <f t="array" ref="T282">SUM(_xlfn.XLOOKUP(TablaSeleccionControladores[[#Headers],[M4-CGE04060-0]:[M4-XPM18000-0]],TablaControladores[[REFERENCIA]:[REFERENCIA]],TablaControladores[EA])*$AA282:$AJ282)</f>
        <v>0</v>
      </c>
      <c r="U282" s="14" cm="1">
        <f t="array" ref="U282">SUM(_xlfn.XLOOKUP(TablaSeleccionControladores[[#Headers],[M4-CGE04060-0]:[M4-XPM18000-0]],TablaControladores[[REFERENCIA]:[REFERENCIA]],TablaControladores[EU])*$AA282:$AJ282)</f>
        <v>38</v>
      </c>
      <c r="V282" s="14" cm="1">
        <f t="array" ref="V282">SUM(_xlfn.XLOOKUP(TablaSeleccionControladores[[#Headers],[M4-CGE04060-0]:[M4-XPM18000-0]],TablaControladores[[REFERENCIA]:[REFERENCIA]],TablaControladores[ED])*$AA282:$AJ282)</f>
        <v>29</v>
      </c>
      <c r="W282" s="14" cm="1">
        <f t="array" ref="W282">SUM(_xlfn.XLOOKUP(TablaSeleccionControladores[[#Headers],[M4-CGE04060-0]:[M4-XPM18000-0]],TablaControladores[[REFERENCIA]:[REFERENCIA]],TablaControladores[SA])*$AA282:$AJ282)</f>
        <v>12</v>
      </c>
      <c r="X282" s="14" cm="1">
        <f t="array" ref="X282">SUM(_xlfn.XLOOKUP(TablaSeleccionControladores[[#Headers],[M4-CGE04060-0]:[M4-XPM18000-0]],TablaControladores[[REFERENCIA]:[REFERENCIA]],TablaControladores[SC])*$AA282:$AJ282)</f>
        <v>24</v>
      </c>
      <c r="Y282" s="14" cm="1">
        <f t="array" ref="Y282">SUM(_xlfn.XLOOKUP(TablaSeleccionControladores[[#Headers],[M4-CGE04060-0]:[M4-XPM18000-0]],TablaControladores[[REFERENCIA]:[REFERENCIA]],TablaControladores[SD])*$AA282:$AJ282)</f>
        <v>18</v>
      </c>
      <c r="Z282" s="14">
        <f>SUM(TablaSeleccionControladores[[#This Row],[EA]:[SD]])</f>
        <v>121</v>
      </c>
      <c r="AC282" s="14">
        <v>1</v>
      </c>
      <c r="AH282" s="14">
        <v>1</v>
      </c>
      <c r="AI282" s="14">
        <v>4</v>
      </c>
      <c r="AJ282" s="14">
        <v>1</v>
      </c>
    </row>
    <row r="283" spans="17:36" x14ac:dyDescent="0.25">
      <c r="Q283">
        <f t="shared" si="6"/>
        <v>173</v>
      </c>
      <c r="R283" t="s">
        <v>831</v>
      </c>
      <c r="S283">
        <f>SUM(TablaSeleccionControladores[[#This Row],[M4-CGE04060-0]:[M4-CGM09090-0H]])</f>
        <v>1</v>
      </c>
      <c r="T283" s="14" cm="1">
        <f t="array" ref="T283">SUM(_xlfn.XLOOKUP(TablaSeleccionControladores[[#Headers],[M4-CGE04060-0]:[M4-XPM18000-0]],TablaControladores[[REFERENCIA]:[REFERENCIA]],TablaControladores[EA])*$AA283:$AJ283)</f>
        <v>0</v>
      </c>
      <c r="U283" s="14" cm="1">
        <f t="array" ref="U283">SUM(_xlfn.XLOOKUP(TablaSeleccionControladores[[#Headers],[M4-CGE04060-0]:[M4-XPM18000-0]],TablaControladores[[REFERENCIA]:[REFERENCIA]],TablaControladores[EU])*$AA283:$AJ283)</f>
        <v>13</v>
      </c>
      <c r="V283" s="14" cm="1">
        <f t="array" ref="V283">SUM(_xlfn.XLOOKUP(TablaSeleccionControladores[[#Headers],[M4-CGE04060-0]:[M4-XPM18000-0]],TablaControladores[[REFERENCIA]:[REFERENCIA]],TablaControladores[ED])*$AA283:$AJ283)</f>
        <v>4</v>
      </c>
      <c r="W283" s="14" cm="1">
        <f t="array" ref="W283">SUM(_xlfn.XLOOKUP(TablaSeleccionControladores[[#Headers],[M4-CGE04060-0]:[M4-XPM18000-0]],TablaControladores[[REFERENCIA]:[REFERENCIA]],TablaControladores[SA])*$AA283:$AJ283)</f>
        <v>6</v>
      </c>
      <c r="X283" s="14" cm="1">
        <f t="array" ref="X283">SUM(_xlfn.XLOOKUP(TablaSeleccionControladores[[#Headers],[M4-CGE04060-0]:[M4-XPM18000-0]],TablaControladores[[REFERENCIA]:[REFERENCIA]],TablaControladores[SC])*$AA283:$AJ283)</f>
        <v>12</v>
      </c>
      <c r="Y283" s="14" cm="1">
        <f t="array" ref="Y283">SUM(_xlfn.XLOOKUP(TablaSeleccionControladores[[#Headers],[M4-CGE04060-0]:[M4-XPM18000-0]],TablaControladores[[REFERENCIA]:[REFERENCIA]],TablaControladores[SD])*$AA283:$AJ283)</f>
        <v>9</v>
      </c>
      <c r="Z283" s="14">
        <f>SUM(TablaSeleccionControladores[[#This Row],[EA]:[SD]])</f>
        <v>44</v>
      </c>
      <c r="AC283" s="14">
        <v>1</v>
      </c>
      <c r="AH283" s="14">
        <v>2</v>
      </c>
      <c r="AI283" s="14">
        <v>0</v>
      </c>
      <c r="AJ283" s="14">
        <v>0</v>
      </c>
    </row>
    <row r="284" spans="17:36" x14ac:dyDescent="0.25">
      <c r="Q284">
        <f t="shared" si="6"/>
        <v>174</v>
      </c>
      <c r="R284" t="s">
        <v>831</v>
      </c>
      <c r="S284">
        <f>SUM(TablaSeleccionControladores[[#This Row],[M4-CGE04060-0]:[M4-CGM09090-0H]])</f>
        <v>1</v>
      </c>
      <c r="T284" s="14" cm="1">
        <f t="array" ref="T284">SUM(_xlfn.XLOOKUP(TablaSeleccionControladores[[#Headers],[M4-CGE04060-0]:[M4-XPM18000-0]],TablaControladores[[REFERENCIA]:[REFERENCIA]],TablaControladores[EA])*$AA284:$AJ284)</f>
        <v>0</v>
      </c>
      <c r="U284" s="14" cm="1">
        <f t="array" ref="U284">SUM(_xlfn.XLOOKUP(TablaSeleccionControladores[[#Headers],[M4-CGE04060-0]:[M4-XPM18000-0]],TablaControladores[[REFERENCIA]:[REFERENCIA]],TablaControladores[EU])*$AA284:$AJ284)</f>
        <v>13</v>
      </c>
      <c r="V284" s="14" cm="1">
        <f t="array" ref="V284">SUM(_xlfn.XLOOKUP(TablaSeleccionControladores[[#Headers],[M4-CGE04060-0]:[M4-XPM18000-0]],TablaControladores[[REFERENCIA]:[REFERENCIA]],TablaControladores[ED])*$AA284:$AJ284)</f>
        <v>22</v>
      </c>
      <c r="W284" s="14" cm="1">
        <f t="array" ref="W284">SUM(_xlfn.XLOOKUP(TablaSeleccionControladores[[#Headers],[M4-CGE04060-0]:[M4-XPM18000-0]],TablaControladores[[REFERENCIA]:[REFERENCIA]],TablaControladores[SA])*$AA284:$AJ284)</f>
        <v>6</v>
      </c>
      <c r="X284" s="14" cm="1">
        <f t="array" ref="X284">SUM(_xlfn.XLOOKUP(TablaSeleccionControladores[[#Headers],[M4-CGE04060-0]:[M4-XPM18000-0]],TablaControladores[[REFERENCIA]:[REFERENCIA]],TablaControladores[SC])*$AA284:$AJ284)</f>
        <v>12</v>
      </c>
      <c r="Y284" s="14" cm="1">
        <f t="array" ref="Y284">SUM(_xlfn.XLOOKUP(TablaSeleccionControladores[[#Headers],[M4-CGE04060-0]:[M4-XPM18000-0]],TablaControladores[[REFERENCIA]:[REFERENCIA]],TablaControladores[SD])*$AA284:$AJ284)</f>
        <v>9</v>
      </c>
      <c r="Z284" s="14">
        <f>SUM(TablaSeleccionControladores[[#This Row],[EA]:[SD]])</f>
        <v>62</v>
      </c>
      <c r="AC284" s="14">
        <v>1</v>
      </c>
      <c r="AH284" s="14">
        <v>2</v>
      </c>
      <c r="AI284" s="14">
        <v>0</v>
      </c>
      <c r="AJ284" s="14">
        <v>1</v>
      </c>
    </row>
    <row r="285" spans="17:36" x14ac:dyDescent="0.25">
      <c r="Q285">
        <f t="shared" si="6"/>
        <v>175</v>
      </c>
      <c r="R285" t="s">
        <v>831</v>
      </c>
      <c r="S285">
        <f>SUM(TablaSeleccionControladores[[#This Row],[M4-CGE04060-0]:[M4-CGM09090-0H]])</f>
        <v>1</v>
      </c>
      <c r="T285" s="14" cm="1">
        <f t="array" ref="T285">SUM(_xlfn.XLOOKUP(TablaSeleccionControladores[[#Headers],[M4-CGE04060-0]:[M4-XPM18000-0]],TablaControladores[[REFERENCIA]:[REFERENCIA]],TablaControladores[EA])*$AA285:$AJ285)</f>
        <v>0</v>
      </c>
      <c r="U285" s="14" cm="1">
        <f t="array" ref="U285">SUM(_xlfn.XLOOKUP(TablaSeleccionControladores[[#Headers],[M4-CGE04060-0]:[M4-XPM18000-0]],TablaControladores[[REFERENCIA]:[REFERENCIA]],TablaControladores[EU])*$AA285:$AJ285)</f>
        <v>13</v>
      </c>
      <c r="V285" s="14" cm="1">
        <f t="array" ref="V285">SUM(_xlfn.XLOOKUP(TablaSeleccionControladores[[#Headers],[M4-CGE04060-0]:[M4-XPM18000-0]],TablaControladores[[REFERENCIA]:[REFERENCIA]],TablaControladores[ED])*$AA285:$AJ285)</f>
        <v>40</v>
      </c>
      <c r="W285" s="14" cm="1">
        <f t="array" ref="W285">SUM(_xlfn.XLOOKUP(TablaSeleccionControladores[[#Headers],[M4-CGE04060-0]:[M4-XPM18000-0]],TablaControladores[[REFERENCIA]:[REFERENCIA]],TablaControladores[SA])*$AA285:$AJ285)</f>
        <v>6</v>
      </c>
      <c r="X285" s="14" cm="1">
        <f t="array" ref="X285">SUM(_xlfn.XLOOKUP(TablaSeleccionControladores[[#Headers],[M4-CGE04060-0]:[M4-XPM18000-0]],TablaControladores[[REFERENCIA]:[REFERENCIA]],TablaControladores[SC])*$AA285:$AJ285)</f>
        <v>12</v>
      </c>
      <c r="Y285" s="14" cm="1">
        <f t="array" ref="Y285">SUM(_xlfn.XLOOKUP(TablaSeleccionControladores[[#Headers],[M4-CGE04060-0]:[M4-XPM18000-0]],TablaControladores[[REFERENCIA]:[REFERENCIA]],TablaControladores[SD])*$AA285:$AJ285)</f>
        <v>9</v>
      </c>
      <c r="Z285" s="14">
        <f>SUM(TablaSeleccionControladores[[#This Row],[EA]:[SD]])</f>
        <v>80</v>
      </c>
      <c r="AC285" s="14">
        <v>1</v>
      </c>
      <c r="AH285" s="14">
        <v>2</v>
      </c>
      <c r="AI285" s="14">
        <v>0</v>
      </c>
      <c r="AJ285" s="14">
        <v>2</v>
      </c>
    </row>
    <row r="286" spans="17:36" x14ac:dyDescent="0.25">
      <c r="Q286">
        <f t="shared" si="6"/>
        <v>176</v>
      </c>
      <c r="R286" t="s">
        <v>831</v>
      </c>
      <c r="S286">
        <f>SUM(TablaSeleccionControladores[[#This Row],[M4-CGE04060-0]:[M4-CGM09090-0H]])</f>
        <v>1</v>
      </c>
      <c r="T286" s="14" cm="1">
        <f t="array" ref="T286">SUM(_xlfn.XLOOKUP(TablaSeleccionControladores[[#Headers],[M4-CGE04060-0]:[M4-XPM18000-0]],TablaControladores[[REFERENCIA]:[REFERENCIA]],TablaControladores[EA])*$AA286:$AJ286)</f>
        <v>0</v>
      </c>
      <c r="U286" s="14" cm="1">
        <f t="array" ref="U286">SUM(_xlfn.XLOOKUP(TablaSeleccionControladores[[#Headers],[M4-CGE04060-0]:[M4-XPM18000-0]],TablaControladores[[REFERENCIA]:[REFERENCIA]],TablaControladores[EU])*$AA286:$AJ286)</f>
        <v>13</v>
      </c>
      <c r="V286" s="14" cm="1">
        <f t="array" ref="V286">SUM(_xlfn.XLOOKUP(TablaSeleccionControladores[[#Headers],[M4-CGE04060-0]:[M4-XPM18000-0]],TablaControladores[[REFERENCIA]:[REFERENCIA]],TablaControladores[ED])*$AA286:$AJ286)</f>
        <v>58</v>
      </c>
      <c r="W286" s="14" cm="1">
        <f t="array" ref="W286">SUM(_xlfn.XLOOKUP(TablaSeleccionControladores[[#Headers],[M4-CGE04060-0]:[M4-XPM18000-0]],TablaControladores[[REFERENCIA]:[REFERENCIA]],TablaControladores[SA])*$AA286:$AJ286)</f>
        <v>6</v>
      </c>
      <c r="X286" s="14" cm="1">
        <f t="array" ref="X286">SUM(_xlfn.XLOOKUP(TablaSeleccionControladores[[#Headers],[M4-CGE04060-0]:[M4-XPM18000-0]],TablaControladores[[REFERENCIA]:[REFERENCIA]],TablaControladores[SC])*$AA286:$AJ286)</f>
        <v>12</v>
      </c>
      <c r="Y286" s="14" cm="1">
        <f t="array" ref="Y286">SUM(_xlfn.XLOOKUP(TablaSeleccionControladores[[#Headers],[M4-CGE04060-0]:[M4-XPM18000-0]],TablaControladores[[REFERENCIA]:[REFERENCIA]],TablaControladores[SD])*$AA286:$AJ286)</f>
        <v>9</v>
      </c>
      <c r="Z286" s="14">
        <f>SUM(TablaSeleccionControladores[[#This Row],[EA]:[SD]])</f>
        <v>98</v>
      </c>
      <c r="AC286" s="14">
        <v>1</v>
      </c>
      <c r="AH286" s="14">
        <v>2</v>
      </c>
      <c r="AI286" s="14">
        <v>0</v>
      </c>
      <c r="AJ286" s="14">
        <v>3</v>
      </c>
    </row>
    <row r="287" spans="17:36" x14ac:dyDescent="0.25">
      <c r="Q287">
        <f t="shared" si="6"/>
        <v>177</v>
      </c>
      <c r="R287" t="s">
        <v>831</v>
      </c>
      <c r="S287">
        <f>SUM(TablaSeleccionControladores[[#This Row],[M4-CGE04060-0]:[M4-CGM09090-0H]])</f>
        <v>1</v>
      </c>
      <c r="T287" s="14" cm="1">
        <f t="array" ref="T287">SUM(_xlfn.XLOOKUP(TablaSeleccionControladores[[#Headers],[M4-CGE04060-0]:[M4-XPM18000-0]],TablaControladores[[REFERENCIA]:[REFERENCIA]],TablaControladores[EA])*$AA287:$AJ287)</f>
        <v>0</v>
      </c>
      <c r="U287" s="14" cm="1">
        <f t="array" ref="U287">SUM(_xlfn.XLOOKUP(TablaSeleccionControladores[[#Headers],[M4-CGE04060-0]:[M4-XPM18000-0]],TablaControladores[[REFERENCIA]:[REFERENCIA]],TablaControladores[EU])*$AA287:$AJ287)</f>
        <v>13</v>
      </c>
      <c r="V287" s="14" cm="1">
        <f t="array" ref="V287">SUM(_xlfn.XLOOKUP(TablaSeleccionControladores[[#Headers],[M4-CGE04060-0]:[M4-XPM18000-0]],TablaControladores[[REFERENCIA]:[REFERENCIA]],TablaControladores[ED])*$AA287:$AJ287)</f>
        <v>76</v>
      </c>
      <c r="W287" s="14" cm="1">
        <f t="array" ref="W287">SUM(_xlfn.XLOOKUP(TablaSeleccionControladores[[#Headers],[M4-CGE04060-0]:[M4-XPM18000-0]],TablaControladores[[REFERENCIA]:[REFERENCIA]],TablaControladores[SA])*$AA287:$AJ287)</f>
        <v>6</v>
      </c>
      <c r="X287" s="14" cm="1">
        <f t="array" ref="X287">SUM(_xlfn.XLOOKUP(TablaSeleccionControladores[[#Headers],[M4-CGE04060-0]:[M4-XPM18000-0]],TablaControladores[[REFERENCIA]:[REFERENCIA]],TablaControladores[SC])*$AA287:$AJ287)</f>
        <v>12</v>
      </c>
      <c r="Y287" s="14" cm="1">
        <f t="array" ref="Y287">SUM(_xlfn.XLOOKUP(TablaSeleccionControladores[[#Headers],[M4-CGE04060-0]:[M4-XPM18000-0]],TablaControladores[[REFERENCIA]:[REFERENCIA]],TablaControladores[SD])*$AA287:$AJ287)</f>
        <v>9</v>
      </c>
      <c r="Z287" s="14">
        <f>SUM(TablaSeleccionControladores[[#This Row],[EA]:[SD]])</f>
        <v>116</v>
      </c>
      <c r="AC287" s="14">
        <v>1</v>
      </c>
      <c r="AH287" s="14">
        <v>2</v>
      </c>
      <c r="AI287" s="14">
        <v>0</v>
      </c>
      <c r="AJ287" s="14">
        <v>4</v>
      </c>
    </row>
    <row r="288" spans="17:36" x14ac:dyDescent="0.25">
      <c r="Q288">
        <f t="shared" si="6"/>
        <v>178</v>
      </c>
      <c r="R288" t="s">
        <v>831</v>
      </c>
      <c r="S288">
        <f>SUM(TablaSeleccionControladores[[#This Row],[M4-CGE04060-0]:[M4-CGM09090-0H]])</f>
        <v>1</v>
      </c>
      <c r="T288" s="14" cm="1">
        <f t="array" ref="T288">SUM(_xlfn.XLOOKUP(TablaSeleccionControladores[[#Headers],[M4-CGE04060-0]:[M4-XPM18000-0]],TablaControladores[[REFERENCIA]:[REFERENCIA]],TablaControladores[EA])*$AA288:$AJ288)</f>
        <v>0</v>
      </c>
      <c r="U288" s="14" cm="1">
        <f t="array" ref="U288">SUM(_xlfn.XLOOKUP(TablaSeleccionControladores[[#Headers],[M4-CGE04060-0]:[M4-XPM18000-0]],TablaControladores[[REFERENCIA]:[REFERENCIA]],TablaControladores[EU])*$AA288:$AJ288)</f>
        <v>20</v>
      </c>
      <c r="V288" s="14" cm="1">
        <f t="array" ref="V288">SUM(_xlfn.XLOOKUP(TablaSeleccionControladores[[#Headers],[M4-CGE04060-0]:[M4-XPM18000-0]],TablaControladores[[REFERENCIA]:[REFERENCIA]],TablaControladores[ED])*$AA288:$AJ288)</f>
        <v>6</v>
      </c>
      <c r="W288" s="14" cm="1">
        <f t="array" ref="W288">SUM(_xlfn.XLOOKUP(TablaSeleccionControladores[[#Headers],[M4-CGE04060-0]:[M4-XPM18000-0]],TablaControladores[[REFERENCIA]:[REFERENCIA]],TablaControladores[SA])*$AA288:$AJ288)</f>
        <v>8</v>
      </c>
      <c r="X288" s="14" cm="1">
        <f t="array" ref="X288">SUM(_xlfn.XLOOKUP(TablaSeleccionControladores[[#Headers],[M4-CGE04060-0]:[M4-XPM18000-0]],TablaControladores[[REFERENCIA]:[REFERENCIA]],TablaControladores[SC])*$AA288:$AJ288)</f>
        <v>16</v>
      </c>
      <c r="Y288" s="14" cm="1">
        <f t="array" ref="Y288">SUM(_xlfn.XLOOKUP(TablaSeleccionControladores[[#Headers],[M4-CGE04060-0]:[M4-XPM18000-0]],TablaControladores[[REFERENCIA]:[REFERENCIA]],TablaControladores[SD])*$AA288:$AJ288)</f>
        <v>12</v>
      </c>
      <c r="Z288" s="14">
        <f>SUM(TablaSeleccionControladores[[#This Row],[EA]:[SD]])</f>
        <v>62</v>
      </c>
      <c r="AC288" s="14">
        <v>1</v>
      </c>
      <c r="AH288" s="14">
        <v>2</v>
      </c>
      <c r="AI288" s="14">
        <v>1</v>
      </c>
      <c r="AJ288" s="14">
        <v>0</v>
      </c>
    </row>
    <row r="289" spans="17:36" x14ac:dyDescent="0.25">
      <c r="Q289">
        <f t="shared" si="6"/>
        <v>179</v>
      </c>
      <c r="R289" t="s">
        <v>831</v>
      </c>
      <c r="S289">
        <f>SUM(TablaSeleccionControladores[[#This Row],[M4-CGE04060-0]:[M4-CGM09090-0H]])</f>
        <v>1</v>
      </c>
      <c r="T289" s="14" cm="1">
        <f t="array" ref="T289">SUM(_xlfn.XLOOKUP(TablaSeleccionControladores[[#Headers],[M4-CGE04060-0]:[M4-XPM18000-0]],TablaControladores[[REFERENCIA]:[REFERENCIA]],TablaControladores[EA])*$AA289:$AJ289)</f>
        <v>0</v>
      </c>
      <c r="U289" s="14" cm="1">
        <f t="array" ref="U289">SUM(_xlfn.XLOOKUP(TablaSeleccionControladores[[#Headers],[M4-CGE04060-0]:[M4-XPM18000-0]],TablaControladores[[REFERENCIA]:[REFERENCIA]],TablaControladores[EU])*$AA289:$AJ289)</f>
        <v>20</v>
      </c>
      <c r="V289" s="14" cm="1">
        <f t="array" ref="V289">SUM(_xlfn.XLOOKUP(TablaSeleccionControladores[[#Headers],[M4-CGE04060-0]:[M4-XPM18000-0]],TablaControladores[[REFERENCIA]:[REFERENCIA]],TablaControladores[ED])*$AA289:$AJ289)</f>
        <v>24</v>
      </c>
      <c r="W289" s="14" cm="1">
        <f t="array" ref="W289">SUM(_xlfn.XLOOKUP(TablaSeleccionControladores[[#Headers],[M4-CGE04060-0]:[M4-XPM18000-0]],TablaControladores[[REFERENCIA]:[REFERENCIA]],TablaControladores[SA])*$AA289:$AJ289)</f>
        <v>8</v>
      </c>
      <c r="X289" s="14" cm="1">
        <f t="array" ref="X289">SUM(_xlfn.XLOOKUP(TablaSeleccionControladores[[#Headers],[M4-CGE04060-0]:[M4-XPM18000-0]],TablaControladores[[REFERENCIA]:[REFERENCIA]],TablaControladores[SC])*$AA289:$AJ289)</f>
        <v>16</v>
      </c>
      <c r="Y289" s="14" cm="1">
        <f t="array" ref="Y289">SUM(_xlfn.XLOOKUP(TablaSeleccionControladores[[#Headers],[M4-CGE04060-0]:[M4-XPM18000-0]],TablaControladores[[REFERENCIA]:[REFERENCIA]],TablaControladores[SD])*$AA289:$AJ289)</f>
        <v>12</v>
      </c>
      <c r="Z289" s="14">
        <f>SUM(TablaSeleccionControladores[[#This Row],[EA]:[SD]])</f>
        <v>80</v>
      </c>
      <c r="AC289" s="14">
        <v>1</v>
      </c>
      <c r="AH289" s="14">
        <v>2</v>
      </c>
      <c r="AI289" s="14">
        <v>1</v>
      </c>
      <c r="AJ289" s="14">
        <v>1</v>
      </c>
    </row>
    <row r="290" spans="17:36" x14ac:dyDescent="0.25">
      <c r="Q290">
        <f t="shared" si="6"/>
        <v>180</v>
      </c>
      <c r="R290" t="s">
        <v>831</v>
      </c>
      <c r="S290">
        <f>SUM(TablaSeleccionControladores[[#This Row],[M4-CGE04060-0]:[M4-CGM09090-0H]])</f>
        <v>1</v>
      </c>
      <c r="T290" s="14" cm="1">
        <f t="array" ref="T290">SUM(_xlfn.XLOOKUP(TablaSeleccionControladores[[#Headers],[M4-CGE04060-0]:[M4-XPM18000-0]],TablaControladores[[REFERENCIA]:[REFERENCIA]],TablaControladores[EA])*$AA290:$AJ290)</f>
        <v>0</v>
      </c>
      <c r="U290" s="14" cm="1">
        <f t="array" ref="U290">SUM(_xlfn.XLOOKUP(TablaSeleccionControladores[[#Headers],[M4-CGE04060-0]:[M4-XPM18000-0]],TablaControladores[[REFERENCIA]:[REFERENCIA]],TablaControladores[EU])*$AA290:$AJ290)</f>
        <v>20</v>
      </c>
      <c r="V290" s="14" cm="1">
        <f t="array" ref="V290">SUM(_xlfn.XLOOKUP(TablaSeleccionControladores[[#Headers],[M4-CGE04060-0]:[M4-XPM18000-0]],TablaControladores[[REFERENCIA]:[REFERENCIA]],TablaControladores[ED])*$AA290:$AJ290)</f>
        <v>42</v>
      </c>
      <c r="W290" s="14" cm="1">
        <f t="array" ref="W290">SUM(_xlfn.XLOOKUP(TablaSeleccionControladores[[#Headers],[M4-CGE04060-0]:[M4-XPM18000-0]],TablaControladores[[REFERENCIA]:[REFERENCIA]],TablaControladores[SA])*$AA290:$AJ290)</f>
        <v>8</v>
      </c>
      <c r="X290" s="14" cm="1">
        <f t="array" ref="X290">SUM(_xlfn.XLOOKUP(TablaSeleccionControladores[[#Headers],[M4-CGE04060-0]:[M4-XPM18000-0]],TablaControladores[[REFERENCIA]:[REFERENCIA]],TablaControladores[SC])*$AA290:$AJ290)</f>
        <v>16</v>
      </c>
      <c r="Y290" s="14" cm="1">
        <f t="array" ref="Y290">SUM(_xlfn.XLOOKUP(TablaSeleccionControladores[[#Headers],[M4-CGE04060-0]:[M4-XPM18000-0]],TablaControladores[[REFERENCIA]:[REFERENCIA]],TablaControladores[SD])*$AA290:$AJ290)</f>
        <v>12</v>
      </c>
      <c r="Z290" s="14">
        <f>SUM(TablaSeleccionControladores[[#This Row],[EA]:[SD]])</f>
        <v>98</v>
      </c>
      <c r="AC290" s="14">
        <v>1</v>
      </c>
      <c r="AH290" s="14">
        <v>2</v>
      </c>
      <c r="AI290" s="14">
        <v>1</v>
      </c>
      <c r="AJ290" s="14">
        <v>2</v>
      </c>
    </row>
    <row r="291" spans="17:36" x14ac:dyDescent="0.25">
      <c r="Q291">
        <f t="shared" si="6"/>
        <v>181</v>
      </c>
      <c r="R291" t="s">
        <v>831</v>
      </c>
      <c r="S291">
        <f>SUM(TablaSeleccionControladores[[#This Row],[M4-CGE04060-0]:[M4-CGM09090-0H]])</f>
        <v>1</v>
      </c>
      <c r="T291" s="14" cm="1">
        <f t="array" ref="T291">SUM(_xlfn.XLOOKUP(TablaSeleccionControladores[[#Headers],[M4-CGE04060-0]:[M4-XPM18000-0]],TablaControladores[[REFERENCIA]:[REFERENCIA]],TablaControladores[EA])*$AA291:$AJ291)</f>
        <v>0</v>
      </c>
      <c r="U291" s="14" cm="1">
        <f t="array" ref="U291">SUM(_xlfn.XLOOKUP(TablaSeleccionControladores[[#Headers],[M4-CGE04060-0]:[M4-XPM18000-0]],TablaControladores[[REFERENCIA]:[REFERENCIA]],TablaControladores[EU])*$AA291:$AJ291)</f>
        <v>20</v>
      </c>
      <c r="V291" s="14" cm="1">
        <f t="array" ref="V291">SUM(_xlfn.XLOOKUP(TablaSeleccionControladores[[#Headers],[M4-CGE04060-0]:[M4-XPM18000-0]],TablaControladores[[REFERENCIA]:[REFERENCIA]],TablaControladores[ED])*$AA291:$AJ291)</f>
        <v>60</v>
      </c>
      <c r="W291" s="14" cm="1">
        <f t="array" ref="W291">SUM(_xlfn.XLOOKUP(TablaSeleccionControladores[[#Headers],[M4-CGE04060-0]:[M4-XPM18000-0]],TablaControladores[[REFERENCIA]:[REFERENCIA]],TablaControladores[SA])*$AA291:$AJ291)</f>
        <v>8</v>
      </c>
      <c r="X291" s="14" cm="1">
        <f t="array" ref="X291">SUM(_xlfn.XLOOKUP(TablaSeleccionControladores[[#Headers],[M4-CGE04060-0]:[M4-XPM18000-0]],TablaControladores[[REFERENCIA]:[REFERENCIA]],TablaControladores[SC])*$AA291:$AJ291)</f>
        <v>16</v>
      </c>
      <c r="Y291" s="14" cm="1">
        <f t="array" ref="Y291">SUM(_xlfn.XLOOKUP(TablaSeleccionControladores[[#Headers],[M4-CGE04060-0]:[M4-XPM18000-0]],TablaControladores[[REFERENCIA]:[REFERENCIA]],TablaControladores[SD])*$AA291:$AJ291)</f>
        <v>12</v>
      </c>
      <c r="Z291" s="14">
        <f>SUM(TablaSeleccionControladores[[#This Row],[EA]:[SD]])</f>
        <v>116</v>
      </c>
      <c r="AC291" s="14">
        <v>1</v>
      </c>
      <c r="AH291" s="14">
        <v>2</v>
      </c>
      <c r="AI291" s="14">
        <v>1</v>
      </c>
      <c r="AJ291" s="14">
        <v>3</v>
      </c>
    </row>
    <row r="292" spans="17:36" x14ac:dyDescent="0.25">
      <c r="Q292">
        <f t="shared" si="6"/>
        <v>182</v>
      </c>
      <c r="R292" t="s">
        <v>831</v>
      </c>
      <c r="S292">
        <f>SUM(TablaSeleccionControladores[[#This Row],[M4-CGE04060-0]:[M4-CGM09090-0H]])</f>
        <v>1</v>
      </c>
      <c r="T292" s="14" cm="1">
        <f t="array" ref="T292">SUM(_xlfn.XLOOKUP(TablaSeleccionControladores[[#Headers],[M4-CGE04060-0]:[M4-XPM18000-0]],TablaControladores[[REFERENCIA]:[REFERENCIA]],TablaControladores[EA])*$AA292:$AJ292)</f>
        <v>0</v>
      </c>
      <c r="U292" s="14" cm="1">
        <f t="array" ref="U292">SUM(_xlfn.XLOOKUP(TablaSeleccionControladores[[#Headers],[M4-CGE04060-0]:[M4-XPM18000-0]],TablaControladores[[REFERENCIA]:[REFERENCIA]],TablaControladores[EU])*$AA292:$AJ292)</f>
        <v>27</v>
      </c>
      <c r="V292" s="14" cm="1">
        <f t="array" ref="V292">SUM(_xlfn.XLOOKUP(TablaSeleccionControladores[[#Headers],[M4-CGE04060-0]:[M4-XPM18000-0]],TablaControladores[[REFERENCIA]:[REFERENCIA]],TablaControladores[ED])*$AA292:$AJ292)</f>
        <v>8</v>
      </c>
      <c r="W292" s="14" cm="1">
        <f t="array" ref="W292">SUM(_xlfn.XLOOKUP(TablaSeleccionControladores[[#Headers],[M4-CGE04060-0]:[M4-XPM18000-0]],TablaControladores[[REFERENCIA]:[REFERENCIA]],TablaControladores[SA])*$AA292:$AJ292)</f>
        <v>10</v>
      </c>
      <c r="X292" s="14" cm="1">
        <f t="array" ref="X292">SUM(_xlfn.XLOOKUP(TablaSeleccionControladores[[#Headers],[M4-CGE04060-0]:[M4-XPM18000-0]],TablaControladores[[REFERENCIA]:[REFERENCIA]],TablaControladores[SC])*$AA292:$AJ292)</f>
        <v>20</v>
      </c>
      <c r="Y292" s="14" cm="1">
        <f t="array" ref="Y292">SUM(_xlfn.XLOOKUP(TablaSeleccionControladores[[#Headers],[M4-CGE04060-0]:[M4-XPM18000-0]],TablaControladores[[REFERENCIA]:[REFERENCIA]],TablaControladores[SD])*$AA292:$AJ292)</f>
        <v>15</v>
      </c>
      <c r="Z292" s="14">
        <f>SUM(TablaSeleccionControladores[[#This Row],[EA]:[SD]])</f>
        <v>80</v>
      </c>
      <c r="AC292" s="14">
        <v>1</v>
      </c>
      <c r="AH292" s="14">
        <v>2</v>
      </c>
      <c r="AI292" s="14">
        <v>2</v>
      </c>
      <c r="AJ292" s="14">
        <v>0</v>
      </c>
    </row>
    <row r="293" spans="17:36" x14ac:dyDescent="0.25">
      <c r="Q293">
        <f t="shared" si="6"/>
        <v>183</v>
      </c>
      <c r="R293" t="s">
        <v>831</v>
      </c>
      <c r="S293">
        <f>SUM(TablaSeleccionControladores[[#This Row],[M4-CGE04060-0]:[M4-CGM09090-0H]])</f>
        <v>1</v>
      </c>
      <c r="T293" s="14" cm="1">
        <f t="array" ref="T293">SUM(_xlfn.XLOOKUP(TablaSeleccionControladores[[#Headers],[M4-CGE04060-0]:[M4-XPM18000-0]],TablaControladores[[REFERENCIA]:[REFERENCIA]],TablaControladores[EA])*$AA293:$AJ293)</f>
        <v>0</v>
      </c>
      <c r="U293" s="14" cm="1">
        <f t="array" ref="U293">SUM(_xlfn.XLOOKUP(TablaSeleccionControladores[[#Headers],[M4-CGE04060-0]:[M4-XPM18000-0]],TablaControladores[[REFERENCIA]:[REFERENCIA]],TablaControladores[EU])*$AA293:$AJ293)</f>
        <v>27</v>
      </c>
      <c r="V293" s="14" cm="1">
        <f t="array" ref="V293">SUM(_xlfn.XLOOKUP(TablaSeleccionControladores[[#Headers],[M4-CGE04060-0]:[M4-XPM18000-0]],TablaControladores[[REFERENCIA]:[REFERENCIA]],TablaControladores[ED])*$AA293:$AJ293)</f>
        <v>26</v>
      </c>
      <c r="W293" s="14" cm="1">
        <f t="array" ref="W293">SUM(_xlfn.XLOOKUP(TablaSeleccionControladores[[#Headers],[M4-CGE04060-0]:[M4-XPM18000-0]],TablaControladores[[REFERENCIA]:[REFERENCIA]],TablaControladores[SA])*$AA293:$AJ293)</f>
        <v>10</v>
      </c>
      <c r="X293" s="14" cm="1">
        <f t="array" ref="X293">SUM(_xlfn.XLOOKUP(TablaSeleccionControladores[[#Headers],[M4-CGE04060-0]:[M4-XPM18000-0]],TablaControladores[[REFERENCIA]:[REFERENCIA]],TablaControladores[SC])*$AA293:$AJ293)</f>
        <v>20</v>
      </c>
      <c r="Y293" s="14" cm="1">
        <f t="array" ref="Y293">SUM(_xlfn.XLOOKUP(TablaSeleccionControladores[[#Headers],[M4-CGE04060-0]:[M4-XPM18000-0]],TablaControladores[[REFERENCIA]:[REFERENCIA]],TablaControladores[SD])*$AA293:$AJ293)</f>
        <v>15</v>
      </c>
      <c r="Z293" s="14">
        <f>SUM(TablaSeleccionControladores[[#This Row],[EA]:[SD]])</f>
        <v>98</v>
      </c>
      <c r="AC293" s="14">
        <v>1</v>
      </c>
      <c r="AH293" s="14">
        <v>2</v>
      </c>
      <c r="AI293" s="14">
        <v>2</v>
      </c>
      <c r="AJ293" s="14">
        <v>1</v>
      </c>
    </row>
    <row r="294" spans="17:36" x14ac:dyDescent="0.25">
      <c r="Q294">
        <f t="shared" si="6"/>
        <v>184</v>
      </c>
      <c r="R294" t="s">
        <v>831</v>
      </c>
      <c r="S294">
        <f>SUM(TablaSeleccionControladores[[#This Row],[M4-CGE04060-0]:[M4-CGM09090-0H]])</f>
        <v>1</v>
      </c>
      <c r="T294" s="14" cm="1">
        <f t="array" ref="T294">SUM(_xlfn.XLOOKUP(TablaSeleccionControladores[[#Headers],[M4-CGE04060-0]:[M4-XPM18000-0]],TablaControladores[[REFERENCIA]:[REFERENCIA]],TablaControladores[EA])*$AA294:$AJ294)</f>
        <v>0</v>
      </c>
      <c r="U294" s="14" cm="1">
        <f t="array" ref="U294">SUM(_xlfn.XLOOKUP(TablaSeleccionControladores[[#Headers],[M4-CGE04060-0]:[M4-XPM18000-0]],TablaControladores[[REFERENCIA]:[REFERENCIA]],TablaControladores[EU])*$AA294:$AJ294)</f>
        <v>27</v>
      </c>
      <c r="V294" s="14" cm="1">
        <f t="array" ref="V294">SUM(_xlfn.XLOOKUP(TablaSeleccionControladores[[#Headers],[M4-CGE04060-0]:[M4-XPM18000-0]],TablaControladores[[REFERENCIA]:[REFERENCIA]],TablaControladores[ED])*$AA294:$AJ294)</f>
        <v>44</v>
      </c>
      <c r="W294" s="14" cm="1">
        <f t="array" ref="W294">SUM(_xlfn.XLOOKUP(TablaSeleccionControladores[[#Headers],[M4-CGE04060-0]:[M4-XPM18000-0]],TablaControladores[[REFERENCIA]:[REFERENCIA]],TablaControladores[SA])*$AA294:$AJ294)</f>
        <v>10</v>
      </c>
      <c r="X294" s="14" cm="1">
        <f t="array" ref="X294">SUM(_xlfn.XLOOKUP(TablaSeleccionControladores[[#Headers],[M4-CGE04060-0]:[M4-XPM18000-0]],TablaControladores[[REFERENCIA]:[REFERENCIA]],TablaControladores[SC])*$AA294:$AJ294)</f>
        <v>20</v>
      </c>
      <c r="Y294" s="14" cm="1">
        <f t="array" ref="Y294">SUM(_xlfn.XLOOKUP(TablaSeleccionControladores[[#Headers],[M4-CGE04060-0]:[M4-XPM18000-0]],TablaControladores[[REFERENCIA]:[REFERENCIA]],TablaControladores[SD])*$AA294:$AJ294)</f>
        <v>15</v>
      </c>
      <c r="Z294" s="14">
        <f>SUM(TablaSeleccionControladores[[#This Row],[EA]:[SD]])</f>
        <v>116</v>
      </c>
      <c r="AC294" s="14">
        <v>1</v>
      </c>
      <c r="AH294" s="14">
        <v>2</v>
      </c>
      <c r="AI294" s="14">
        <v>2</v>
      </c>
      <c r="AJ294" s="14">
        <v>2</v>
      </c>
    </row>
    <row r="295" spans="17:36" x14ac:dyDescent="0.25">
      <c r="Q295">
        <f t="shared" si="6"/>
        <v>185</v>
      </c>
      <c r="R295" t="s">
        <v>831</v>
      </c>
      <c r="S295">
        <f>SUM(TablaSeleccionControladores[[#This Row],[M4-CGE04060-0]:[M4-CGM09090-0H]])</f>
        <v>1</v>
      </c>
      <c r="T295" s="14" cm="1">
        <f t="array" ref="T295">SUM(_xlfn.XLOOKUP(TablaSeleccionControladores[[#Headers],[M4-CGE04060-0]:[M4-XPM18000-0]],TablaControladores[[REFERENCIA]:[REFERENCIA]],TablaControladores[EA])*$AA295:$AJ295)</f>
        <v>0</v>
      </c>
      <c r="U295" s="14" cm="1">
        <f t="array" ref="U295">SUM(_xlfn.XLOOKUP(TablaSeleccionControladores[[#Headers],[M4-CGE04060-0]:[M4-XPM18000-0]],TablaControladores[[REFERENCIA]:[REFERENCIA]],TablaControladores[EU])*$AA295:$AJ295)</f>
        <v>34</v>
      </c>
      <c r="V295" s="14" cm="1">
        <f t="array" ref="V295">SUM(_xlfn.XLOOKUP(TablaSeleccionControladores[[#Headers],[M4-CGE04060-0]:[M4-XPM18000-0]],TablaControladores[[REFERENCIA]:[REFERENCIA]],TablaControladores[ED])*$AA295:$AJ295)</f>
        <v>10</v>
      </c>
      <c r="W295" s="14" cm="1">
        <f t="array" ref="W295">SUM(_xlfn.XLOOKUP(TablaSeleccionControladores[[#Headers],[M4-CGE04060-0]:[M4-XPM18000-0]],TablaControladores[[REFERENCIA]:[REFERENCIA]],TablaControladores[SA])*$AA295:$AJ295)</f>
        <v>12</v>
      </c>
      <c r="X295" s="14" cm="1">
        <f t="array" ref="X295">SUM(_xlfn.XLOOKUP(TablaSeleccionControladores[[#Headers],[M4-CGE04060-0]:[M4-XPM18000-0]],TablaControladores[[REFERENCIA]:[REFERENCIA]],TablaControladores[SC])*$AA295:$AJ295)</f>
        <v>24</v>
      </c>
      <c r="Y295" s="14" cm="1">
        <f t="array" ref="Y295">SUM(_xlfn.XLOOKUP(TablaSeleccionControladores[[#Headers],[M4-CGE04060-0]:[M4-XPM18000-0]],TablaControladores[[REFERENCIA]:[REFERENCIA]],TablaControladores[SD])*$AA295:$AJ295)</f>
        <v>18</v>
      </c>
      <c r="Z295" s="14">
        <f>SUM(TablaSeleccionControladores[[#This Row],[EA]:[SD]])</f>
        <v>98</v>
      </c>
      <c r="AC295" s="14">
        <v>1</v>
      </c>
      <c r="AH295" s="14">
        <v>2</v>
      </c>
      <c r="AI295" s="14">
        <v>3</v>
      </c>
      <c r="AJ295" s="14">
        <v>0</v>
      </c>
    </row>
    <row r="296" spans="17:36" x14ac:dyDescent="0.25">
      <c r="Q296">
        <f t="shared" si="6"/>
        <v>186</v>
      </c>
      <c r="R296" t="s">
        <v>831</v>
      </c>
      <c r="S296">
        <f>SUM(TablaSeleccionControladores[[#This Row],[M4-CGE04060-0]:[M4-CGM09090-0H]])</f>
        <v>1</v>
      </c>
      <c r="T296" s="14" cm="1">
        <f t="array" ref="T296">SUM(_xlfn.XLOOKUP(TablaSeleccionControladores[[#Headers],[M4-CGE04060-0]:[M4-XPM18000-0]],TablaControladores[[REFERENCIA]:[REFERENCIA]],TablaControladores[EA])*$AA296:$AJ296)</f>
        <v>0</v>
      </c>
      <c r="U296" s="14" cm="1">
        <f t="array" ref="U296">SUM(_xlfn.XLOOKUP(TablaSeleccionControladores[[#Headers],[M4-CGE04060-0]:[M4-XPM18000-0]],TablaControladores[[REFERENCIA]:[REFERENCIA]],TablaControladores[EU])*$AA296:$AJ296)</f>
        <v>34</v>
      </c>
      <c r="V296" s="14" cm="1">
        <f t="array" ref="V296">SUM(_xlfn.XLOOKUP(TablaSeleccionControladores[[#Headers],[M4-CGE04060-0]:[M4-XPM18000-0]],TablaControladores[[REFERENCIA]:[REFERENCIA]],TablaControladores[ED])*$AA296:$AJ296)</f>
        <v>28</v>
      </c>
      <c r="W296" s="14" cm="1">
        <f t="array" ref="W296">SUM(_xlfn.XLOOKUP(TablaSeleccionControladores[[#Headers],[M4-CGE04060-0]:[M4-XPM18000-0]],TablaControladores[[REFERENCIA]:[REFERENCIA]],TablaControladores[SA])*$AA296:$AJ296)</f>
        <v>12</v>
      </c>
      <c r="X296" s="14" cm="1">
        <f t="array" ref="X296">SUM(_xlfn.XLOOKUP(TablaSeleccionControladores[[#Headers],[M4-CGE04060-0]:[M4-XPM18000-0]],TablaControladores[[REFERENCIA]:[REFERENCIA]],TablaControladores[SC])*$AA296:$AJ296)</f>
        <v>24</v>
      </c>
      <c r="Y296" s="14" cm="1">
        <f t="array" ref="Y296">SUM(_xlfn.XLOOKUP(TablaSeleccionControladores[[#Headers],[M4-CGE04060-0]:[M4-XPM18000-0]],TablaControladores[[REFERENCIA]:[REFERENCIA]],TablaControladores[SD])*$AA296:$AJ296)</f>
        <v>18</v>
      </c>
      <c r="Z296" s="14">
        <f>SUM(TablaSeleccionControladores[[#This Row],[EA]:[SD]])</f>
        <v>116</v>
      </c>
      <c r="AC296" s="14">
        <v>1</v>
      </c>
      <c r="AH296" s="14">
        <v>2</v>
      </c>
      <c r="AI296" s="14">
        <v>3</v>
      </c>
      <c r="AJ296" s="14">
        <v>1</v>
      </c>
    </row>
    <row r="297" spans="17:36" x14ac:dyDescent="0.25">
      <c r="Q297">
        <f t="shared" si="6"/>
        <v>187</v>
      </c>
      <c r="R297" t="s">
        <v>829</v>
      </c>
      <c r="S297">
        <f>SUM(TablaSeleccionControladores[[#This Row],[M4-CGE04060-0]:[M4-CGM09090-0H]])</f>
        <v>1</v>
      </c>
      <c r="T297" s="14" cm="1">
        <f t="array" ref="T297">SUM(_xlfn.XLOOKUP(TablaSeleccionControladores[[#Headers],[M4-CGE04060-0]:[M4-XPM18000-0]],TablaControladores[[REFERENCIA]:[REFERENCIA]],TablaControladores[EA])*$AA297:$AJ297)</f>
        <v>0</v>
      </c>
      <c r="U297" s="14" cm="1">
        <f t="array" ref="U297">SUM(_xlfn.XLOOKUP(TablaSeleccionControladores[[#Headers],[M4-CGE04060-0]:[M4-XPM18000-0]],TablaControladores[[REFERENCIA]:[REFERENCIA]],TablaControladores[EU])*$AA297:$AJ297)</f>
        <v>4</v>
      </c>
      <c r="V297" s="14" cm="1">
        <f t="array" ref="V297">SUM(_xlfn.XLOOKUP(TablaSeleccionControladores[[#Headers],[M4-CGE04060-0]:[M4-XPM18000-0]],TablaControladores[[REFERENCIA]:[REFERENCIA]],TablaControladores[ED])*$AA297:$AJ297)</f>
        <v>2</v>
      </c>
      <c r="W297" s="14" cm="1">
        <f t="array" ref="W297">SUM(_xlfn.XLOOKUP(TablaSeleccionControladores[[#Headers],[M4-CGE04060-0]:[M4-XPM18000-0]],TablaControladores[[REFERENCIA]:[REFERENCIA]],TablaControladores[SA])*$AA297:$AJ297)</f>
        <v>0</v>
      </c>
      <c r="X297" s="14" cm="1">
        <f t="array" ref="X297">SUM(_xlfn.XLOOKUP(TablaSeleccionControladores[[#Headers],[M4-CGE04060-0]:[M4-XPM18000-0]],TablaControladores[[REFERENCIA]:[REFERENCIA]],TablaControladores[SC])*$AA297:$AJ297)</f>
        <v>3</v>
      </c>
      <c r="Y297" s="14" cm="1">
        <f t="array" ref="Y297">SUM(_xlfn.XLOOKUP(TablaSeleccionControladores[[#Headers],[M4-CGE04060-0]:[M4-XPM18000-0]],TablaControladores[[REFERENCIA]:[REFERENCIA]],TablaControladores[SD])*$AA297:$AJ297)</f>
        <v>6</v>
      </c>
      <c r="Z297" s="14">
        <f>SUM(TablaSeleccionControladores[[#This Row],[EA]:[SD]])</f>
        <v>15</v>
      </c>
      <c r="AD297" s="14">
        <v>1</v>
      </c>
      <c r="AH297" s="14">
        <v>0</v>
      </c>
      <c r="AI297" s="14">
        <v>0</v>
      </c>
      <c r="AJ297" s="14">
        <v>0</v>
      </c>
    </row>
    <row r="298" spans="17:36" x14ac:dyDescent="0.25">
      <c r="Q298">
        <f t="shared" si="6"/>
        <v>188</v>
      </c>
      <c r="R298" t="s">
        <v>829</v>
      </c>
      <c r="S298">
        <f>SUM(TablaSeleccionControladores[[#This Row],[M4-CGE04060-0]:[M4-CGM09090-0H]])</f>
        <v>1</v>
      </c>
      <c r="T298" s="14" cm="1">
        <f t="array" ref="T298">SUM(_xlfn.XLOOKUP(TablaSeleccionControladores[[#Headers],[M4-CGE04060-0]:[M4-XPM18000-0]],TablaControladores[[REFERENCIA]:[REFERENCIA]],TablaControladores[EA])*$AA298:$AJ298)</f>
        <v>0</v>
      </c>
      <c r="U298" s="14" cm="1">
        <f t="array" ref="U298">SUM(_xlfn.XLOOKUP(TablaSeleccionControladores[[#Headers],[M4-CGE04060-0]:[M4-XPM18000-0]],TablaControladores[[REFERENCIA]:[REFERENCIA]],TablaControladores[EU])*$AA298:$AJ298)</f>
        <v>4</v>
      </c>
      <c r="V298" s="14" cm="1">
        <f t="array" ref="V298">SUM(_xlfn.XLOOKUP(TablaSeleccionControladores[[#Headers],[M4-CGE04060-0]:[M4-XPM18000-0]],TablaControladores[[REFERENCIA]:[REFERENCIA]],TablaControladores[ED])*$AA298:$AJ298)</f>
        <v>20</v>
      </c>
      <c r="W298" s="14" cm="1">
        <f t="array" ref="W298">SUM(_xlfn.XLOOKUP(TablaSeleccionControladores[[#Headers],[M4-CGE04060-0]:[M4-XPM18000-0]],TablaControladores[[REFERENCIA]:[REFERENCIA]],TablaControladores[SA])*$AA298:$AJ298)</f>
        <v>0</v>
      </c>
      <c r="X298" s="14" cm="1">
        <f t="array" ref="X298">SUM(_xlfn.XLOOKUP(TablaSeleccionControladores[[#Headers],[M4-CGE04060-0]:[M4-XPM18000-0]],TablaControladores[[REFERENCIA]:[REFERENCIA]],TablaControladores[SC])*$AA298:$AJ298)</f>
        <v>3</v>
      </c>
      <c r="Y298" s="14" cm="1">
        <f t="array" ref="Y298">SUM(_xlfn.XLOOKUP(TablaSeleccionControladores[[#Headers],[M4-CGE04060-0]:[M4-XPM18000-0]],TablaControladores[[REFERENCIA]:[REFERENCIA]],TablaControladores[SD])*$AA298:$AJ298)</f>
        <v>6</v>
      </c>
      <c r="Z298" s="14">
        <f>SUM(TablaSeleccionControladores[[#This Row],[EA]:[SD]])</f>
        <v>33</v>
      </c>
      <c r="AD298" s="14">
        <v>1</v>
      </c>
      <c r="AH298" s="14">
        <v>0</v>
      </c>
      <c r="AI298" s="14">
        <v>0</v>
      </c>
      <c r="AJ298" s="14">
        <v>1</v>
      </c>
    </row>
    <row r="299" spans="17:36" x14ac:dyDescent="0.25">
      <c r="Q299">
        <f t="shared" si="6"/>
        <v>189</v>
      </c>
      <c r="R299" t="s">
        <v>829</v>
      </c>
      <c r="S299">
        <f>SUM(TablaSeleccionControladores[[#This Row],[M4-CGE04060-0]:[M4-CGM09090-0H]])</f>
        <v>1</v>
      </c>
      <c r="T299" s="14" cm="1">
        <f t="array" ref="T299">SUM(_xlfn.XLOOKUP(TablaSeleccionControladores[[#Headers],[M4-CGE04060-0]:[M4-XPM18000-0]],TablaControladores[[REFERENCIA]:[REFERENCIA]],TablaControladores[EA])*$AA299:$AJ299)</f>
        <v>0</v>
      </c>
      <c r="U299" s="14" cm="1">
        <f t="array" ref="U299">SUM(_xlfn.XLOOKUP(TablaSeleccionControladores[[#Headers],[M4-CGE04060-0]:[M4-XPM18000-0]],TablaControladores[[REFERENCIA]:[REFERENCIA]],TablaControladores[EU])*$AA299:$AJ299)</f>
        <v>4</v>
      </c>
      <c r="V299" s="14" cm="1">
        <f t="array" ref="V299">SUM(_xlfn.XLOOKUP(TablaSeleccionControladores[[#Headers],[M4-CGE04060-0]:[M4-XPM18000-0]],TablaControladores[[REFERENCIA]:[REFERENCIA]],TablaControladores[ED])*$AA299:$AJ299)</f>
        <v>38</v>
      </c>
      <c r="W299" s="14" cm="1">
        <f t="array" ref="W299">SUM(_xlfn.XLOOKUP(TablaSeleccionControladores[[#Headers],[M4-CGE04060-0]:[M4-XPM18000-0]],TablaControladores[[REFERENCIA]:[REFERENCIA]],TablaControladores[SA])*$AA299:$AJ299)</f>
        <v>0</v>
      </c>
      <c r="X299" s="14" cm="1">
        <f t="array" ref="X299">SUM(_xlfn.XLOOKUP(TablaSeleccionControladores[[#Headers],[M4-CGE04060-0]:[M4-XPM18000-0]],TablaControladores[[REFERENCIA]:[REFERENCIA]],TablaControladores[SC])*$AA299:$AJ299)</f>
        <v>3</v>
      </c>
      <c r="Y299" s="14" cm="1">
        <f t="array" ref="Y299">SUM(_xlfn.XLOOKUP(TablaSeleccionControladores[[#Headers],[M4-CGE04060-0]:[M4-XPM18000-0]],TablaControladores[[REFERENCIA]:[REFERENCIA]],TablaControladores[SD])*$AA299:$AJ299)</f>
        <v>6</v>
      </c>
      <c r="Z299" s="14">
        <f>SUM(TablaSeleccionControladores[[#This Row],[EA]:[SD]])</f>
        <v>51</v>
      </c>
      <c r="AD299" s="14">
        <v>1</v>
      </c>
      <c r="AH299" s="14">
        <v>0</v>
      </c>
      <c r="AI299" s="14">
        <v>0</v>
      </c>
      <c r="AJ299" s="14">
        <v>2</v>
      </c>
    </row>
    <row r="300" spans="17:36" x14ac:dyDescent="0.25">
      <c r="Q300">
        <f t="shared" si="6"/>
        <v>190</v>
      </c>
      <c r="R300" t="s">
        <v>829</v>
      </c>
      <c r="S300">
        <f>SUM(TablaSeleccionControladores[[#This Row],[M4-CGE04060-0]:[M4-CGM09090-0H]])</f>
        <v>1</v>
      </c>
      <c r="T300" s="14" cm="1">
        <f t="array" ref="T300">SUM(_xlfn.XLOOKUP(TablaSeleccionControladores[[#Headers],[M4-CGE04060-0]:[M4-XPM18000-0]],TablaControladores[[REFERENCIA]:[REFERENCIA]],TablaControladores[EA])*$AA300:$AJ300)</f>
        <v>0</v>
      </c>
      <c r="U300" s="14" cm="1">
        <f t="array" ref="U300">SUM(_xlfn.XLOOKUP(TablaSeleccionControladores[[#Headers],[M4-CGE04060-0]:[M4-XPM18000-0]],TablaControladores[[REFERENCIA]:[REFERENCIA]],TablaControladores[EU])*$AA300:$AJ300)</f>
        <v>4</v>
      </c>
      <c r="V300" s="14" cm="1">
        <f t="array" ref="V300">SUM(_xlfn.XLOOKUP(TablaSeleccionControladores[[#Headers],[M4-CGE04060-0]:[M4-XPM18000-0]],TablaControladores[[REFERENCIA]:[REFERENCIA]],TablaControladores[ED])*$AA300:$AJ300)</f>
        <v>56</v>
      </c>
      <c r="W300" s="14" cm="1">
        <f t="array" ref="W300">SUM(_xlfn.XLOOKUP(TablaSeleccionControladores[[#Headers],[M4-CGE04060-0]:[M4-XPM18000-0]],TablaControladores[[REFERENCIA]:[REFERENCIA]],TablaControladores[SA])*$AA300:$AJ300)</f>
        <v>0</v>
      </c>
      <c r="X300" s="14" cm="1">
        <f t="array" ref="X300">SUM(_xlfn.XLOOKUP(TablaSeleccionControladores[[#Headers],[M4-CGE04060-0]:[M4-XPM18000-0]],TablaControladores[[REFERENCIA]:[REFERENCIA]],TablaControladores[SC])*$AA300:$AJ300)</f>
        <v>3</v>
      </c>
      <c r="Y300" s="14" cm="1">
        <f t="array" ref="Y300">SUM(_xlfn.XLOOKUP(TablaSeleccionControladores[[#Headers],[M4-CGE04060-0]:[M4-XPM18000-0]],TablaControladores[[REFERENCIA]:[REFERENCIA]],TablaControladores[SD])*$AA300:$AJ300)</f>
        <v>6</v>
      </c>
      <c r="Z300" s="14">
        <f>SUM(TablaSeleccionControladores[[#This Row],[EA]:[SD]])</f>
        <v>69</v>
      </c>
      <c r="AD300" s="14">
        <v>1</v>
      </c>
      <c r="AH300" s="14">
        <v>0</v>
      </c>
      <c r="AI300" s="14">
        <v>0</v>
      </c>
      <c r="AJ300" s="14">
        <v>3</v>
      </c>
    </row>
    <row r="301" spans="17:36" x14ac:dyDescent="0.25">
      <c r="Q301">
        <f t="shared" si="6"/>
        <v>191</v>
      </c>
      <c r="R301" t="s">
        <v>829</v>
      </c>
      <c r="S301">
        <f>SUM(TablaSeleccionControladores[[#This Row],[M4-CGE04060-0]:[M4-CGM09090-0H]])</f>
        <v>1</v>
      </c>
      <c r="T301" s="14" cm="1">
        <f t="array" ref="T301">SUM(_xlfn.XLOOKUP(TablaSeleccionControladores[[#Headers],[M4-CGE04060-0]:[M4-XPM18000-0]],TablaControladores[[REFERENCIA]:[REFERENCIA]],TablaControladores[EA])*$AA301:$AJ301)</f>
        <v>0</v>
      </c>
      <c r="U301" s="14" cm="1">
        <f t="array" ref="U301">SUM(_xlfn.XLOOKUP(TablaSeleccionControladores[[#Headers],[M4-CGE04060-0]:[M4-XPM18000-0]],TablaControladores[[REFERENCIA]:[REFERENCIA]],TablaControladores[EU])*$AA301:$AJ301)</f>
        <v>4</v>
      </c>
      <c r="V301" s="14" cm="1">
        <f t="array" ref="V301">SUM(_xlfn.XLOOKUP(TablaSeleccionControladores[[#Headers],[M4-CGE04060-0]:[M4-XPM18000-0]],TablaControladores[[REFERENCIA]:[REFERENCIA]],TablaControladores[ED])*$AA301:$AJ301)</f>
        <v>74</v>
      </c>
      <c r="W301" s="14" cm="1">
        <f t="array" ref="W301">SUM(_xlfn.XLOOKUP(TablaSeleccionControladores[[#Headers],[M4-CGE04060-0]:[M4-XPM18000-0]],TablaControladores[[REFERENCIA]:[REFERENCIA]],TablaControladores[SA])*$AA301:$AJ301)</f>
        <v>0</v>
      </c>
      <c r="X301" s="14" cm="1">
        <f t="array" ref="X301">SUM(_xlfn.XLOOKUP(TablaSeleccionControladores[[#Headers],[M4-CGE04060-0]:[M4-XPM18000-0]],TablaControladores[[REFERENCIA]:[REFERENCIA]],TablaControladores[SC])*$AA301:$AJ301)</f>
        <v>3</v>
      </c>
      <c r="Y301" s="14" cm="1">
        <f t="array" ref="Y301">SUM(_xlfn.XLOOKUP(TablaSeleccionControladores[[#Headers],[M4-CGE04060-0]:[M4-XPM18000-0]],TablaControladores[[REFERENCIA]:[REFERENCIA]],TablaControladores[SD])*$AA301:$AJ301)</f>
        <v>6</v>
      </c>
      <c r="Z301" s="14">
        <f>SUM(TablaSeleccionControladores[[#This Row],[EA]:[SD]])</f>
        <v>87</v>
      </c>
      <c r="AD301" s="14">
        <v>1</v>
      </c>
      <c r="AH301" s="14">
        <v>0</v>
      </c>
      <c r="AI301" s="14">
        <v>0</v>
      </c>
      <c r="AJ301" s="14">
        <v>4</v>
      </c>
    </row>
    <row r="302" spans="17:36" x14ac:dyDescent="0.25">
      <c r="Q302">
        <f t="shared" si="6"/>
        <v>192</v>
      </c>
      <c r="R302" t="s">
        <v>829</v>
      </c>
      <c r="S302">
        <f>SUM(TablaSeleccionControladores[[#This Row],[M4-CGE04060-0]:[M4-CGM09090-0H]])</f>
        <v>1</v>
      </c>
      <c r="T302" s="14" cm="1">
        <f t="array" ref="T302">SUM(_xlfn.XLOOKUP(TablaSeleccionControladores[[#Headers],[M4-CGE04060-0]:[M4-XPM18000-0]],TablaControladores[[REFERENCIA]:[REFERENCIA]],TablaControladores[EA])*$AA302:$AJ302)</f>
        <v>0</v>
      </c>
      <c r="U302" s="14" cm="1">
        <f t="array" ref="U302">SUM(_xlfn.XLOOKUP(TablaSeleccionControladores[[#Headers],[M4-CGE04060-0]:[M4-XPM18000-0]],TablaControladores[[REFERENCIA]:[REFERENCIA]],TablaControladores[EU])*$AA302:$AJ302)</f>
        <v>4</v>
      </c>
      <c r="V302" s="14" cm="1">
        <f t="array" ref="V302">SUM(_xlfn.XLOOKUP(TablaSeleccionControladores[[#Headers],[M4-CGE04060-0]:[M4-XPM18000-0]],TablaControladores[[REFERENCIA]:[REFERENCIA]],TablaControladores[ED])*$AA302:$AJ302)</f>
        <v>92</v>
      </c>
      <c r="W302" s="14" cm="1">
        <f t="array" ref="W302">SUM(_xlfn.XLOOKUP(TablaSeleccionControladores[[#Headers],[M4-CGE04060-0]:[M4-XPM18000-0]],TablaControladores[[REFERENCIA]:[REFERENCIA]],TablaControladores[SA])*$AA302:$AJ302)</f>
        <v>0</v>
      </c>
      <c r="X302" s="14" cm="1">
        <f t="array" ref="X302">SUM(_xlfn.XLOOKUP(TablaSeleccionControladores[[#Headers],[M4-CGE04060-0]:[M4-XPM18000-0]],TablaControladores[[REFERENCIA]:[REFERENCIA]],TablaControladores[SC])*$AA302:$AJ302)</f>
        <v>3</v>
      </c>
      <c r="Y302" s="14" cm="1">
        <f t="array" ref="Y302">SUM(_xlfn.XLOOKUP(TablaSeleccionControladores[[#Headers],[M4-CGE04060-0]:[M4-XPM18000-0]],TablaControladores[[REFERENCIA]:[REFERENCIA]],TablaControladores[SD])*$AA302:$AJ302)</f>
        <v>6</v>
      </c>
      <c r="Z302" s="14">
        <f>SUM(TablaSeleccionControladores[[#This Row],[EA]:[SD]])</f>
        <v>105</v>
      </c>
      <c r="AD302" s="14">
        <v>1</v>
      </c>
      <c r="AH302" s="14">
        <v>0</v>
      </c>
      <c r="AI302" s="14">
        <v>0</v>
      </c>
      <c r="AJ302" s="14">
        <v>5</v>
      </c>
    </row>
    <row r="303" spans="17:36" x14ac:dyDescent="0.25">
      <c r="Q303">
        <f t="shared" ref="Q303:Q366" si="7">ROW()-110</f>
        <v>193</v>
      </c>
      <c r="R303" t="s">
        <v>829</v>
      </c>
      <c r="S303">
        <f>SUM(TablaSeleccionControladores[[#This Row],[M4-CGE04060-0]:[M4-CGM09090-0H]])</f>
        <v>1</v>
      </c>
      <c r="T303" s="14" cm="1">
        <f t="array" ref="T303">SUM(_xlfn.XLOOKUP(TablaSeleccionControladores[[#Headers],[M4-CGE04060-0]:[M4-XPM18000-0]],TablaControladores[[REFERENCIA]:[REFERENCIA]],TablaControladores[EA])*$AA303:$AJ303)</f>
        <v>0</v>
      </c>
      <c r="U303" s="14" cm="1">
        <f t="array" ref="U303">SUM(_xlfn.XLOOKUP(TablaSeleccionControladores[[#Headers],[M4-CGE04060-0]:[M4-XPM18000-0]],TablaControladores[[REFERENCIA]:[REFERENCIA]],TablaControladores[EU])*$AA303:$AJ303)</f>
        <v>4</v>
      </c>
      <c r="V303" s="14" cm="1">
        <f t="array" ref="V303">SUM(_xlfn.XLOOKUP(TablaSeleccionControladores[[#Headers],[M4-CGE04060-0]:[M4-XPM18000-0]],TablaControladores[[REFERENCIA]:[REFERENCIA]],TablaControladores[ED])*$AA303:$AJ303)</f>
        <v>110</v>
      </c>
      <c r="W303" s="14" cm="1">
        <f t="array" ref="W303">SUM(_xlfn.XLOOKUP(TablaSeleccionControladores[[#Headers],[M4-CGE04060-0]:[M4-XPM18000-0]],TablaControladores[[REFERENCIA]:[REFERENCIA]],TablaControladores[SA])*$AA303:$AJ303)</f>
        <v>0</v>
      </c>
      <c r="X303" s="14" cm="1">
        <f t="array" ref="X303">SUM(_xlfn.XLOOKUP(TablaSeleccionControladores[[#Headers],[M4-CGE04060-0]:[M4-XPM18000-0]],TablaControladores[[REFERENCIA]:[REFERENCIA]],TablaControladores[SC])*$AA303:$AJ303)</f>
        <v>3</v>
      </c>
      <c r="Y303" s="14" cm="1">
        <f t="array" ref="Y303">SUM(_xlfn.XLOOKUP(TablaSeleccionControladores[[#Headers],[M4-CGE04060-0]:[M4-XPM18000-0]],TablaControladores[[REFERENCIA]:[REFERENCIA]],TablaControladores[SD])*$AA303:$AJ303)</f>
        <v>6</v>
      </c>
      <c r="Z303" s="14">
        <f>SUM(TablaSeleccionControladores[[#This Row],[EA]:[SD]])</f>
        <v>123</v>
      </c>
      <c r="AD303" s="14">
        <v>1</v>
      </c>
      <c r="AH303" s="14">
        <v>0</v>
      </c>
      <c r="AI303" s="14">
        <v>0</v>
      </c>
      <c r="AJ303" s="14">
        <v>6</v>
      </c>
    </row>
    <row r="304" spans="17:36" x14ac:dyDescent="0.25">
      <c r="Q304">
        <f t="shared" si="7"/>
        <v>194</v>
      </c>
      <c r="R304" t="s">
        <v>829</v>
      </c>
      <c r="S304">
        <f>SUM(TablaSeleccionControladores[[#This Row],[M4-CGE04060-0]:[M4-CGM09090-0H]])</f>
        <v>1</v>
      </c>
      <c r="T304" s="14" cm="1">
        <f t="array" ref="T304">SUM(_xlfn.XLOOKUP(TablaSeleccionControladores[[#Headers],[M4-CGE04060-0]:[M4-XPM18000-0]],TablaControladores[[REFERENCIA]:[REFERENCIA]],TablaControladores[EA])*$AA304:$AJ304)</f>
        <v>0</v>
      </c>
      <c r="U304" s="14" cm="1">
        <f t="array" ref="U304">SUM(_xlfn.XLOOKUP(TablaSeleccionControladores[[#Headers],[M4-CGE04060-0]:[M4-XPM18000-0]],TablaControladores[[REFERENCIA]:[REFERENCIA]],TablaControladores[EU])*$AA304:$AJ304)</f>
        <v>11</v>
      </c>
      <c r="V304" s="14" cm="1">
        <f t="array" ref="V304">SUM(_xlfn.XLOOKUP(TablaSeleccionControladores[[#Headers],[M4-CGE04060-0]:[M4-XPM18000-0]],TablaControladores[[REFERENCIA]:[REFERENCIA]],TablaControladores[ED])*$AA304:$AJ304)</f>
        <v>4</v>
      </c>
      <c r="W304" s="14" cm="1">
        <f t="array" ref="W304">SUM(_xlfn.XLOOKUP(TablaSeleccionControladores[[#Headers],[M4-CGE04060-0]:[M4-XPM18000-0]],TablaControladores[[REFERENCIA]:[REFERENCIA]],TablaControladores[SA])*$AA304:$AJ304)</f>
        <v>2</v>
      </c>
      <c r="X304" s="14" cm="1">
        <f t="array" ref="X304">SUM(_xlfn.XLOOKUP(TablaSeleccionControladores[[#Headers],[M4-CGE04060-0]:[M4-XPM18000-0]],TablaControladores[[REFERENCIA]:[REFERENCIA]],TablaControladores[SC])*$AA304:$AJ304)</f>
        <v>7</v>
      </c>
      <c r="Y304" s="14" cm="1">
        <f t="array" ref="Y304">SUM(_xlfn.XLOOKUP(TablaSeleccionControladores[[#Headers],[M4-CGE04060-0]:[M4-XPM18000-0]],TablaControladores[[REFERENCIA]:[REFERENCIA]],TablaControladores[SD])*$AA304:$AJ304)</f>
        <v>9</v>
      </c>
      <c r="Z304" s="14">
        <f>SUM(TablaSeleccionControladores[[#This Row],[EA]:[SD]])</f>
        <v>33</v>
      </c>
      <c r="AD304" s="14">
        <v>1</v>
      </c>
      <c r="AH304" s="14">
        <v>0</v>
      </c>
      <c r="AI304" s="14">
        <v>1</v>
      </c>
      <c r="AJ304" s="14">
        <v>0</v>
      </c>
    </row>
    <row r="305" spans="17:36" x14ac:dyDescent="0.25">
      <c r="Q305">
        <f t="shared" si="7"/>
        <v>195</v>
      </c>
      <c r="R305" t="s">
        <v>829</v>
      </c>
      <c r="S305">
        <f>SUM(TablaSeleccionControladores[[#This Row],[M4-CGE04060-0]:[M4-CGM09090-0H]])</f>
        <v>1</v>
      </c>
      <c r="T305" s="14" cm="1">
        <f t="array" ref="T305">SUM(_xlfn.XLOOKUP(TablaSeleccionControladores[[#Headers],[M4-CGE04060-0]:[M4-XPM18000-0]],TablaControladores[[REFERENCIA]:[REFERENCIA]],TablaControladores[EA])*$AA305:$AJ305)</f>
        <v>0</v>
      </c>
      <c r="U305" s="14" cm="1">
        <f t="array" ref="U305">SUM(_xlfn.XLOOKUP(TablaSeleccionControladores[[#Headers],[M4-CGE04060-0]:[M4-XPM18000-0]],TablaControladores[[REFERENCIA]:[REFERENCIA]],TablaControladores[EU])*$AA305:$AJ305)</f>
        <v>11</v>
      </c>
      <c r="V305" s="14" cm="1">
        <f t="array" ref="V305">SUM(_xlfn.XLOOKUP(TablaSeleccionControladores[[#Headers],[M4-CGE04060-0]:[M4-XPM18000-0]],TablaControladores[[REFERENCIA]:[REFERENCIA]],TablaControladores[ED])*$AA305:$AJ305)</f>
        <v>22</v>
      </c>
      <c r="W305" s="14" cm="1">
        <f t="array" ref="W305">SUM(_xlfn.XLOOKUP(TablaSeleccionControladores[[#Headers],[M4-CGE04060-0]:[M4-XPM18000-0]],TablaControladores[[REFERENCIA]:[REFERENCIA]],TablaControladores[SA])*$AA305:$AJ305)</f>
        <v>2</v>
      </c>
      <c r="X305" s="14" cm="1">
        <f t="array" ref="X305">SUM(_xlfn.XLOOKUP(TablaSeleccionControladores[[#Headers],[M4-CGE04060-0]:[M4-XPM18000-0]],TablaControladores[[REFERENCIA]:[REFERENCIA]],TablaControladores[SC])*$AA305:$AJ305)</f>
        <v>7</v>
      </c>
      <c r="Y305" s="14" cm="1">
        <f t="array" ref="Y305">SUM(_xlfn.XLOOKUP(TablaSeleccionControladores[[#Headers],[M4-CGE04060-0]:[M4-XPM18000-0]],TablaControladores[[REFERENCIA]:[REFERENCIA]],TablaControladores[SD])*$AA305:$AJ305)</f>
        <v>9</v>
      </c>
      <c r="Z305" s="14">
        <f>SUM(TablaSeleccionControladores[[#This Row],[EA]:[SD]])</f>
        <v>51</v>
      </c>
      <c r="AD305" s="14">
        <v>1</v>
      </c>
      <c r="AH305" s="14">
        <v>0</v>
      </c>
      <c r="AI305" s="14">
        <v>1</v>
      </c>
      <c r="AJ305" s="14">
        <v>1</v>
      </c>
    </row>
    <row r="306" spans="17:36" x14ac:dyDescent="0.25">
      <c r="Q306">
        <f t="shared" si="7"/>
        <v>196</v>
      </c>
      <c r="R306" t="s">
        <v>829</v>
      </c>
      <c r="S306">
        <f>SUM(TablaSeleccionControladores[[#This Row],[M4-CGE04060-0]:[M4-CGM09090-0H]])</f>
        <v>1</v>
      </c>
      <c r="T306" s="14" cm="1">
        <f t="array" ref="T306">SUM(_xlfn.XLOOKUP(TablaSeleccionControladores[[#Headers],[M4-CGE04060-0]:[M4-XPM18000-0]],TablaControladores[[REFERENCIA]:[REFERENCIA]],TablaControladores[EA])*$AA306:$AJ306)</f>
        <v>0</v>
      </c>
      <c r="U306" s="14" cm="1">
        <f t="array" ref="U306">SUM(_xlfn.XLOOKUP(TablaSeleccionControladores[[#Headers],[M4-CGE04060-0]:[M4-XPM18000-0]],TablaControladores[[REFERENCIA]:[REFERENCIA]],TablaControladores[EU])*$AA306:$AJ306)</f>
        <v>11</v>
      </c>
      <c r="V306" s="14" cm="1">
        <f t="array" ref="V306">SUM(_xlfn.XLOOKUP(TablaSeleccionControladores[[#Headers],[M4-CGE04060-0]:[M4-XPM18000-0]],TablaControladores[[REFERENCIA]:[REFERENCIA]],TablaControladores[ED])*$AA306:$AJ306)</f>
        <v>40</v>
      </c>
      <c r="W306" s="14" cm="1">
        <f t="array" ref="W306">SUM(_xlfn.XLOOKUP(TablaSeleccionControladores[[#Headers],[M4-CGE04060-0]:[M4-XPM18000-0]],TablaControladores[[REFERENCIA]:[REFERENCIA]],TablaControladores[SA])*$AA306:$AJ306)</f>
        <v>2</v>
      </c>
      <c r="X306" s="14" cm="1">
        <f t="array" ref="X306">SUM(_xlfn.XLOOKUP(TablaSeleccionControladores[[#Headers],[M4-CGE04060-0]:[M4-XPM18000-0]],TablaControladores[[REFERENCIA]:[REFERENCIA]],TablaControladores[SC])*$AA306:$AJ306)</f>
        <v>7</v>
      </c>
      <c r="Y306" s="14" cm="1">
        <f t="array" ref="Y306">SUM(_xlfn.XLOOKUP(TablaSeleccionControladores[[#Headers],[M4-CGE04060-0]:[M4-XPM18000-0]],TablaControladores[[REFERENCIA]:[REFERENCIA]],TablaControladores[SD])*$AA306:$AJ306)</f>
        <v>9</v>
      </c>
      <c r="Z306" s="14">
        <f>SUM(TablaSeleccionControladores[[#This Row],[EA]:[SD]])</f>
        <v>69</v>
      </c>
      <c r="AD306" s="14">
        <v>1</v>
      </c>
      <c r="AH306" s="14">
        <v>0</v>
      </c>
      <c r="AI306" s="14">
        <v>1</v>
      </c>
      <c r="AJ306" s="14">
        <v>2</v>
      </c>
    </row>
    <row r="307" spans="17:36" x14ac:dyDescent="0.25">
      <c r="Q307">
        <f t="shared" si="7"/>
        <v>197</v>
      </c>
      <c r="R307" t="s">
        <v>829</v>
      </c>
      <c r="S307">
        <f>SUM(TablaSeleccionControladores[[#This Row],[M4-CGE04060-0]:[M4-CGM09090-0H]])</f>
        <v>1</v>
      </c>
      <c r="T307" s="14" cm="1">
        <f t="array" ref="T307">SUM(_xlfn.XLOOKUP(TablaSeleccionControladores[[#Headers],[M4-CGE04060-0]:[M4-XPM18000-0]],TablaControladores[[REFERENCIA]:[REFERENCIA]],TablaControladores[EA])*$AA307:$AJ307)</f>
        <v>0</v>
      </c>
      <c r="U307" s="14" cm="1">
        <f t="array" ref="U307">SUM(_xlfn.XLOOKUP(TablaSeleccionControladores[[#Headers],[M4-CGE04060-0]:[M4-XPM18000-0]],TablaControladores[[REFERENCIA]:[REFERENCIA]],TablaControladores[EU])*$AA307:$AJ307)</f>
        <v>11</v>
      </c>
      <c r="V307" s="14" cm="1">
        <f t="array" ref="V307">SUM(_xlfn.XLOOKUP(TablaSeleccionControladores[[#Headers],[M4-CGE04060-0]:[M4-XPM18000-0]],TablaControladores[[REFERENCIA]:[REFERENCIA]],TablaControladores[ED])*$AA307:$AJ307)</f>
        <v>58</v>
      </c>
      <c r="W307" s="14" cm="1">
        <f t="array" ref="W307">SUM(_xlfn.XLOOKUP(TablaSeleccionControladores[[#Headers],[M4-CGE04060-0]:[M4-XPM18000-0]],TablaControladores[[REFERENCIA]:[REFERENCIA]],TablaControladores[SA])*$AA307:$AJ307)</f>
        <v>2</v>
      </c>
      <c r="X307" s="14" cm="1">
        <f t="array" ref="X307">SUM(_xlfn.XLOOKUP(TablaSeleccionControladores[[#Headers],[M4-CGE04060-0]:[M4-XPM18000-0]],TablaControladores[[REFERENCIA]:[REFERENCIA]],TablaControladores[SC])*$AA307:$AJ307)</f>
        <v>7</v>
      </c>
      <c r="Y307" s="14" cm="1">
        <f t="array" ref="Y307">SUM(_xlfn.XLOOKUP(TablaSeleccionControladores[[#Headers],[M4-CGE04060-0]:[M4-XPM18000-0]],TablaControladores[[REFERENCIA]:[REFERENCIA]],TablaControladores[SD])*$AA307:$AJ307)</f>
        <v>9</v>
      </c>
      <c r="Z307" s="14">
        <f>SUM(TablaSeleccionControladores[[#This Row],[EA]:[SD]])</f>
        <v>87</v>
      </c>
      <c r="AD307" s="14">
        <v>1</v>
      </c>
      <c r="AH307" s="14">
        <v>0</v>
      </c>
      <c r="AI307" s="14">
        <v>1</v>
      </c>
      <c r="AJ307" s="14">
        <v>3</v>
      </c>
    </row>
    <row r="308" spans="17:36" x14ac:dyDescent="0.25">
      <c r="Q308">
        <f t="shared" si="7"/>
        <v>198</v>
      </c>
      <c r="R308" t="s">
        <v>829</v>
      </c>
      <c r="S308">
        <f>SUM(TablaSeleccionControladores[[#This Row],[M4-CGE04060-0]:[M4-CGM09090-0H]])</f>
        <v>1</v>
      </c>
      <c r="T308" s="14" cm="1">
        <f t="array" ref="T308">SUM(_xlfn.XLOOKUP(TablaSeleccionControladores[[#Headers],[M4-CGE04060-0]:[M4-XPM18000-0]],TablaControladores[[REFERENCIA]:[REFERENCIA]],TablaControladores[EA])*$AA308:$AJ308)</f>
        <v>0</v>
      </c>
      <c r="U308" s="14" cm="1">
        <f t="array" ref="U308">SUM(_xlfn.XLOOKUP(TablaSeleccionControladores[[#Headers],[M4-CGE04060-0]:[M4-XPM18000-0]],TablaControladores[[REFERENCIA]:[REFERENCIA]],TablaControladores[EU])*$AA308:$AJ308)</f>
        <v>11</v>
      </c>
      <c r="V308" s="14" cm="1">
        <f t="array" ref="V308">SUM(_xlfn.XLOOKUP(TablaSeleccionControladores[[#Headers],[M4-CGE04060-0]:[M4-XPM18000-0]],TablaControladores[[REFERENCIA]:[REFERENCIA]],TablaControladores[ED])*$AA308:$AJ308)</f>
        <v>76</v>
      </c>
      <c r="W308" s="14" cm="1">
        <f t="array" ref="W308">SUM(_xlfn.XLOOKUP(TablaSeleccionControladores[[#Headers],[M4-CGE04060-0]:[M4-XPM18000-0]],TablaControladores[[REFERENCIA]:[REFERENCIA]],TablaControladores[SA])*$AA308:$AJ308)</f>
        <v>2</v>
      </c>
      <c r="X308" s="14" cm="1">
        <f t="array" ref="X308">SUM(_xlfn.XLOOKUP(TablaSeleccionControladores[[#Headers],[M4-CGE04060-0]:[M4-XPM18000-0]],TablaControladores[[REFERENCIA]:[REFERENCIA]],TablaControladores[SC])*$AA308:$AJ308)</f>
        <v>7</v>
      </c>
      <c r="Y308" s="14" cm="1">
        <f t="array" ref="Y308">SUM(_xlfn.XLOOKUP(TablaSeleccionControladores[[#Headers],[M4-CGE04060-0]:[M4-XPM18000-0]],TablaControladores[[REFERENCIA]:[REFERENCIA]],TablaControladores[SD])*$AA308:$AJ308)</f>
        <v>9</v>
      </c>
      <c r="Z308" s="14">
        <f>SUM(TablaSeleccionControladores[[#This Row],[EA]:[SD]])</f>
        <v>105</v>
      </c>
      <c r="AD308" s="14">
        <v>1</v>
      </c>
      <c r="AH308" s="14">
        <v>0</v>
      </c>
      <c r="AI308" s="14">
        <v>1</v>
      </c>
      <c r="AJ308" s="14">
        <v>4</v>
      </c>
    </row>
    <row r="309" spans="17:36" x14ac:dyDescent="0.25">
      <c r="Q309">
        <f t="shared" si="7"/>
        <v>199</v>
      </c>
      <c r="R309" t="s">
        <v>829</v>
      </c>
      <c r="S309">
        <f>SUM(TablaSeleccionControladores[[#This Row],[M4-CGE04060-0]:[M4-CGM09090-0H]])</f>
        <v>1</v>
      </c>
      <c r="T309" s="14" cm="1">
        <f t="array" ref="T309">SUM(_xlfn.XLOOKUP(TablaSeleccionControladores[[#Headers],[M4-CGE04060-0]:[M4-XPM18000-0]],TablaControladores[[REFERENCIA]:[REFERENCIA]],TablaControladores[EA])*$AA309:$AJ309)</f>
        <v>0</v>
      </c>
      <c r="U309" s="14" cm="1">
        <f t="array" ref="U309">SUM(_xlfn.XLOOKUP(TablaSeleccionControladores[[#Headers],[M4-CGE04060-0]:[M4-XPM18000-0]],TablaControladores[[REFERENCIA]:[REFERENCIA]],TablaControladores[EU])*$AA309:$AJ309)</f>
        <v>11</v>
      </c>
      <c r="V309" s="14" cm="1">
        <f t="array" ref="V309">SUM(_xlfn.XLOOKUP(TablaSeleccionControladores[[#Headers],[M4-CGE04060-0]:[M4-XPM18000-0]],TablaControladores[[REFERENCIA]:[REFERENCIA]],TablaControladores[ED])*$AA309:$AJ309)</f>
        <v>94</v>
      </c>
      <c r="W309" s="14" cm="1">
        <f t="array" ref="W309">SUM(_xlfn.XLOOKUP(TablaSeleccionControladores[[#Headers],[M4-CGE04060-0]:[M4-XPM18000-0]],TablaControladores[[REFERENCIA]:[REFERENCIA]],TablaControladores[SA])*$AA309:$AJ309)</f>
        <v>2</v>
      </c>
      <c r="X309" s="14" cm="1">
        <f t="array" ref="X309">SUM(_xlfn.XLOOKUP(TablaSeleccionControladores[[#Headers],[M4-CGE04060-0]:[M4-XPM18000-0]],TablaControladores[[REFERENCIA]:[REFERENCIA]],TablaControladores[SC])*$AA309:$AJ309)</f>
        <v>7</v>
      </c>
      <c r="Y309" s="14" cm="1">
        <f t="array" ref="Y309">SUM(_xlfn.XLOOKUP(TablaSeleccionControladores[[#Headers],[M4-CGE04060-0]:[M4-XPM18000-0]],TablaControladores[[REFERENCIA]:[REFERENCIA]],TablaControladores[SD])*$AA309:$AJ309)</f>
        <v>9</v>
      </c>
      <c r="Z309" s="14">
        <f>SUM(TablaSeleccionControladores[[#This Row],[EA]:[SD]])</f>
        <v>123</v>
      </c>
      <c r="AD309" s="14">
        <v>1</v>
      </c>
      <c r="AH309" s="14">
        <v>0</v>
      </c>
      <c r="AI309" s="14">
        <v>1</v>
      </c>
      <c r="AJ309" s="14">
        <v>5</v>
      </c>
    </row>
    <row r="310" spans="17:36" x14ac:dyDescent="0.25">
      <c r="Q310">
        <f t="shared" si="7"/>
        <v>200</v>
      </c>
      <c r="R310" t="s">
        <v>829</v>
      </c>
      <c r="S310">
        <f>SUM(TablaSeleccionControladores[[#This Row],[M4-CGE04060-0]:[M4-CGM09090-0H]])</f>
        <v>1</v>
      </c>
      <c r="T310" s="14" cm="1">
        <f t="array" ref="T310">SUM(_xlfn.XLOOKUP(TablaSeleccionControladores[[#Headers],[M4-CGE04060-0]:[M4-XPM18000-0]],TablaControladores[[REFERENCIA]:[REFERENCIA]],TablaControladores[EA])*$AA310:$AJ310)</f>
        <v>0</v>
      </c>
      <c r="U310" s="14" cm="1">
        <f t="array" ref="U310">SUM(_xlfn.XLOOKUP(TablaSeleccionControladores[[#Headers],[M4-CGE04060-0]:[M4-XPM18000-0]],TablaControladores[[REFERENCIA]:[REFERENCIA]],TablaControladores[EU])*$AA310:$AJ310)</f>
        <v>18</v>
      </c>
      <c r="V310" s="14" cm="1">
        <f t="array" ref="V310">SUM(_xlfn.XLOOKUP(TablaSeleccionControladores[[#Headers],[M4-CGE04060-0]:[M4-XPM18000-0]],TablaControladores[[REFERENCIA]:[REFERENCIA]],TablaControladores[ED])*$AA310:$AJ310)</f>
        <v>6</v>
      </c>
      <c r="W310" s="14" cm="1">
        <f t="array" ref="W310">SUM(_xlfn.XLOOKUP(TablaSeleccionControladores[[#Headers],[M4-CGE04060-0]:[M4-XPM18000-0]],TablaControladores[[REFERENCIA]:[REFERENCIA]],TablaControladores[SA])*$AA310:$AJ310)</f>
        <v>4</v>
      </c>
      <c r="X310" s="14" cm="1">
        <f t="array" ref="X310">SUM(_xlfn.XLOOKUP(TablaSeleccionControladores[[#Headers],[M4-CGE04060-0]:[M4-XPM18000-0]],TablaControladores[[REFERENCIA]:[REFERENCIA]],TablaControladores[SC])*$AA310:$AJ310)</f>
        <v>11</v>
      </c>
      <c r="Y310" s="14" cm="1">
        <f t="array" ref="Y310">SUM(_xlfn.XLOOKUP(TablaSeleccionControladores[[#Headers],[M4-CGE04060-0]:[M4-XPM18000-0]],TablaControladores[[REFERENCIA]:[REFERENCIA]],TablaControladores[SD])*$AA310:$AJ310)</f>
        <v>12</v>
      </c>
      <c r="Z310" s="14">
        <f>SUM(TablaSeleccionControladores[[#This Row],[EA]:[SD]])</f>
        <v>51</v>
      </c>
      <c r="AD310" s="14">
        <v>1</v>
      </c>
      <c r="AH310" s="14">
        <v>0</v>
      </c>
      <c r="AI310" s="14">
        <v>2</v>
      </c>
      <c r="AJ310" s="14">
        <v>0</v>
      </c>
    </row>
    <row r="311" spans="17:36" x14ac:dyDescent="0.25">
      <c r="Q311">
        <f t="shared" si="7"/>
        <v>201</v>
      </c>
      <c r="R311" t="s">
        <v>829</v>
      </c>
      <c r="S311">
        <f>SUM(TablaSeleccionControladores[[#This Row],[M4-CGE04060-0]:[M4-CGM09090-0H]])</f>
        <v>1</v>
      </c>
      <c r="T311" s="14" cm="1">
        <f t="array" ref="T311">SUM(_xlfn.XLOOKUP(TablaSeleccionControladores[[#Headers],[M4-CGE04060-0]:[M4-XPM18000-0]],TablaControladores[[REFERENCIA]:[REFERENCIA]],TablaControladores[EA])*$AA311:$AJ311)</f>
        <v>0</v>
      </c>
      <c r="U311" s="14" cm="1">
        <f t="array" ref="U311">SUM(_xlfn.XLOOKUP(TablaSeleccionControladores[[#Headers],[M4-CGE04060-0]:[M4-XPM18000-0]],TablaControladores[[REFERENCIA]:[REFERENCIA]],TablaControladores[EU])*$AA311:$AJ311)</f>
        <v>18</v>
      </c>
      <c r="V311" s="14" cm="1">
        <f t="array" ref="V311">SUM(_xlfn.XLOOKUP(TablaSeleccionControladores[[#Headers],[M4-CGE04060-0]:[M4-XPM18000-0]],TablaControladores[[REFERENCIA]:[REFERENCIA]],TablaControladores[ED])*$AA311:$AJ311)</f>
        <v>24</v>
      </c>
      <c r="W311" s="14" cm="1">
        <f t="array" ref="W311">SUM(_xlfn.XLOOKUP(TablaSeleccionControladores[[#Headers],[M4-CGE04060-0]:[M4-XPM18000-0]],TablaControladores[[REFERENCIA]:[REFERENCIA]],TablaControladores[SA])*$AA311:$AJ311)</f>
        <v>4</v>
      </c>
      <c r="X311" s="14" cm="1">
        <f t="array" ref="X311">SUM(_xlfn.XLOOKUP(TablaSeleccionControladores[[#Headers],[M4-CGE04060-0]:[M4-XPM18000-0]],TablaControladores[[REFERENCIA]:[REFERENCIA]],TablaControladores[SC])*$AA311:$AJ311)</f>
        <v>11</v>
      </c>
      <c r="Y311" s="14" cm="1">
        <f t="array" ref="Y311">SUM(_xlfn.XLOOKUP(TablaSeleccionControladores[[#Headers],[M4-CGE04060-0]:[M4-XPM18000-0]],TablaControladores[[REFERENCIA]:[REFERENCIA]],TablaControladores[SD])*$AA311:$AJ311)</f>
        <v>12</v>
      </c>
      <c r="Z311" s="14">
        <f>SUM(TablaSeleccionControladores[[#This Row],[EA]:[SD]])</f>
        <v>69</v>
      </c>
      <c r="AD311" s="14">
        <v>1</v>
      </c>
      <c r="AH311" s="14">
        <v>0</v>
      </c>
      <c r="AI311" s="14">
        <v>2</v>
      </c>
      <c r="AJ311" s="14">
        <v>1</v>
      </c>
    </row>
    <row r="312" spans="17:36" x14ac:dyDescent="0.25">
      <c r="Q312">
        <f t="shared" si="7"/>
        <v>202</v>
      </c>
      <c r="R312" t="s">
        <v>829</v>
      </c>
      <c r="S312">
        <f>SUM(TablaSeleccionControladores[[#This Row],[M4-CGE04060-0]:[M4-CGM09090-0H]])</f>
        <v>1</v>
      </c>
      <c r="T312" s="14" cm="1">
        <f t="array" ref="T312">SUM(_xlfn.XLOOKUP(TablaSeleccionControladores[[#Headers],[M4-CGE04060-0]:[M4-XPM18000-0]],TablaControladores[[REFERENCIA]:[REFERENCIA]],TablaControladores[EA])*$AA312:$AJ312)</f>
        <v>0</v>
      </c>
      <c r="U312" s="14" cm="1">
        <f t="array" ref="U312">SUM(_xlfn.XLOOKUP(TablaSeleccionControladores[[#Headers],[M4-CGE04060-0]:[M4-XPM18000-0]],TablaControladores[[REFERENCIA]:[REFERENCIA]],TablaControladores[EU])*$AA312:$AJ312)</f>
        <v>18</v>
      </c>
      <c r="V312" s="14" cm="1">
        <f t="array" ref="V312">SUM(_xlfn.XLOOKUP(TablaSeleccionControladores[[#Headers],[M4-CGE04060-0]:[M4-XPM18000-0]],TablaControladores[[REFERENCIA]:[REFERENCIA]],TablaControladores[ED])*$AA312:$AJ312)</f>
        <v>42</v>
      </c>
      <c r="W312" s="14" cm="1">
        <f t="array" ref="W312">SUM(_xlfn.XLOOKUP(TablaSeleccionControladores[[#Headers],[M4-CGE04060-0]:[M4-XPM18000-0]],TablaControladores[[REFERENCIA]:[REFERENCIA]],TablaControladores[SA])*$AA312:$AJ312)</f>
        <v>4</v>
      </c>
      <c r="X312" s="14" cm="1">
        <f t="array" ref="X312">SUM(_xlfn.XLOOKUP(TablaSeleccionControladores[[#Headers],[M4-CGE04060-0]:[M4-XPM18000-0]],TablaControladores[[REFERENCIA]:[REFERENCIA]],TablaControladores[SC])*$AA312:$AJ312)</f>
        <v>11</v>
      </c>
      <c r="Y312" s="14" cm="1">
        <f t="array" ref="Y312">SUM(_xlfn.XLOOKUP(TablaSeleccionControladores[[#Headers],[M4-CGE04060-0]:[M4-XPM18000-0]],TablaControladores[[REFERENCIA]:[REFERENCIA]],TablaControladores[SD])*$AA312:$AJ312)</f>
        <v>12</v>
      </c>
      <c r="Z312" s="14">
        <f>SUM(TablaSeleccionControladores[[#This Row],[EA]:[SD]])</f>
        <v>87</v>
      </c>
      <c r="AD312" s="14">
        <v>1</v>
      </c>
      <c r="AH312" s="14">
        <v>0</v>
      </c>
      <c r="AI312" s="14">
        <v>2</v>
      </c>
      <c r="AJ312" s="14">
        <v>2</v>
      </c>
    </row>
    <row r="313" spans="17:36" x14ac:dyDescent="0.25">
      <c r="Q313">
        <f t="shared" si="7"/>
        <v>203</v>
      </c>
      <c r="R313" t="s">
        <v>829</v>
      </c>
      <c r="S313">
        <f>SUM(TablaSeleccionControladores[[#This Row],[M4-CGE04060-0]:[M4-CGM09090-0H]])</f>
        <v>1</v>
      </c>
      <c r="T313" s="14" cm="1">
        <f t="array" ref="T313">SUM(_xlfn.XLOOKUP(TablaSeleccionControladores[[#Headers],[M4-CGE04060-0]:[M4-XPM18000-0]],TablaControladores[[REFERENCIA]:[REFERENCIA]],TablaControladores[EA])*$AA313:$AJ313)</f>
        <v>0</v>
      </c>
      <c r="U313" s="14" cm="1">
        <f t="array" ref="U313">SUM(_xlfn.XLOOKUP(TablaSeleccionControladores[[#Headers],[M4-CGE04060-0]:[M4-XPM18000-0]],TablaControladores[[REFERENCIA]:[REFERENCIA]],TablaControladores[EU])*$AA313:$AJ313)</f>
        <v>18</v>
      </c>
      <c r="V313" s="14" cm="1">
        <f t="array" ref="V313">SUM(_xlfn.XLOOKUP(TablaSeleccionControladores[[#Headers],[M4-CGE04060-0]:[M4-XPM18000-0]],TablaControladores[[REFERENCIA]:[REFERENCIA]],TablaControladores[ED])*$AA313:$AJ313)</f>
        <v>60</v>
      </c>
      <c r="W313" s="14" cm="1">
        <f t="array" ref="W313">SUM(_xlfn.XLOOKUP(TablaSeleccionControladores[[#Headers],[M4-CGE04060-0]:[M4-XPM18000-0]],TablaControladores[[REFERENCIA]:[REFERENCIA]],TablaControladores[SA])*$AA313:$AJ313)</f>
        <v>4</v>
      </c>
      <c r="X313" s="14" cm="1">
        <f t="array" ref="X313">SUM(_xlfn.XLOOKUP(TablaSeleccionControladores[[#Headers],[M4-CGE04060-0]:[M4-XPM18000-0]],TablaControladores[[REFERENCIA]:[REFERENCIA]],TablaControladores[SC])*$AA313:$AJ313)</f>
        <v>11</v>
      </c>
      <c r="Y313" s="14" cm="1">
        <f t="array" ref="Y313">SUM(_xlfn.XLOOKUP(TablaSeleccionControladores[[#Headers],[M4-CGE04060-0]:[M4-XPM18000-0]],TablaControladores[[REFERENCIA]:[REFERENCIA]],TablaControladores[SD])*$AA313:$AJ313)</f>
        <v>12</v>
      </c>
      <c r="Z313" s="14">
        <f>SUM(TablaSeleccionControladores[[#This Row],[EA]:[SD]])</f>
        <v>105</v>
      </c>
      <c r="AD313" s="14">
        <v>1</v>
      </c>
      <c r="AH313" s="14">
        <v>0</v>
      </c>
      <c r="AI313" s="14">
        <v>2</v>
      </c>
      <c r="AJ313" s="14">
        <v>3</v>
      </c>
    </row>
    <row r="314" spans="17:36" x14ac:dyDescent="0.25">
      <c r="Q314">
        <f t="shared" si="7"/>
        <v>204</v>
      </c>
      <c r="R314" t="s">
        <v>829</v>
      </c>
      <c r="S314">
        <f>SUM(TablaSeleccionControladores[[#This Row],[M4-CGE04060-0]:[M4-CGM09090-0H]])</f>
        <v>1</v>
      </c>
      <c r="T314" s="14" cm="1">
        <f t="array" ref="T314">SUM(_xlfn.XLOOKUP(TablaSeleccionControladores[[#Headers],[M4-CGE04060-0]:[M4-XPM18000-0]],TablaControladores[[REFERENCIA]:[REFERENCIA]],TablaControladores[EA])*$AA314:$AJ314)</f>
        <v>0</v>
      </c>
      <c r="U314" s="14" cm="1">
        <f t="array" ref="U314">SUM(_xlfn.XLOOKUP(TablaSeleccionControladores[[#Headers],[M4-CGE04060-0]:[M4-XPM18000-0]],TablaControladores[[REFERENCIA]:[REFERENCIA]],TablaControladores[EU])*$AA314:$AJ314)</f>
        <v>18</v>
      </c>
      <c r="V314" s="14" cm="1">
        <f t="array" ref="V314">SUM(_xlfn.XLOOKUP(TablaSeleccionControladores[[#Headers],[M4-CGE04060-0]:[M4-XPM18000-0]],TablaControladores[[REFERENCIA]:[REFERENCIA]],TablaControladores[ED])*$AA314:$AJ314)</f>
        <v>78</v>
      </c>
      <c r="W314" s="14" cm="1">
        <f t="array" ref="W314">SUM(_xlfn.XLOOKUP(TablaSeleccionControladores[[#Headers],[M4-CGE04060-0]:[M4-XPM18000-0]],TablaControladores[[REFERENCIA]:[REFERENCIA]],TablaControladores[SA])*$AA314:$AJ314)</f>
        <v>4</v>
      </c>
      <c r="X314" s="14" cm="1">
        <f t="array" ref="X314">SUM(_xlfn.XLOOKUP(TablaSeleccionControladores[[#Headers],[M4-CGE04060-0]:[M4-XPM18000-0]],TablaControladores[[REFERENCIA]:[REFERENCIA]],TablaControladores[SC])*$AA314:$AJ314)</f>
        <v>11</v>
      </c>
      <c r="Y314" s="14" cm="1">
        <f t="array" ref="Y314">SUM(_xlfn.XLOOKUP(TablaSeleccionControladores[[#Headers],[M4-CGE04060-0]:[M4-XPM18000-0]],TablaControladores[[REFERENCIA]:[REFERENCIA]],TablaControladores[SD])*$AA314:$AJ314)</f>
        <v>12</v>
      </c>
      <c r="Z314" s="14">
        <f>SUM(TablaSeleccionControladores[[#This Row],[EA]:[SD]])</f>
        <v>123</v>
      </c>
      <c r="AD314" s="14">
        <v>1</v>
      </c>
      <c r="AH314" s="14">
        <v>0</v>
      </c>
      <c r="AI314" s="14">
        <v>2</v>
      </c>
      <c r="AJ314" s="14">
        <v>4</v>
      </c>
    </row>
    <row r="315" spans="17:36" x14ac:dyDescent="0.25">
      <c r="Q315">
        <f t="shared" si="7"/>
        <v>205</v>
      </c>
      <c r="R315" t="s">
        <v>829</v>
      </c>
      <c r="S315">
        <f>SUM(TablaSeleccionControladores[[#This Row],[M4-CGE04060-0]:[M4-CGM09090-0H]])</f>
        <v>1</v>
      </c>
      <c r="T315" s="14" cm="1">
        <f t="array" ref="T315">SUM(_xlfn.XLOOKUP(TablaSeleccionControladores[[#Headers],[M4-CGE04060-0]:[M4-XPM18000-0]],TablaControladores[[REFERENCIA]:[REFERENCIA]],TablaControladores[EA])*$AA315:$AJ315)</f>
        <v>0</v>
      </c>
      <c r="U315" s="14" cm="1">
        <f t="array" ref="U315">SUM(_xlfn.XLOOKUP(TablaSeleccionControladores[[#Headers],[M4-CGE04060-0]:[M4-XPM18000-0]],TablaControladores[[REFERENCIA]:[REFERENCIA]],TablaControladores[EU])*$AA315:$AJ315)</f>
        <v>25</v>
      </c>
      <c r="V315" s="14" cm="1">
        <f t="array" ref="V315">SUM(_xlfn.XLOOKUP(TablaSeleccionControladores[[#Headers],[M4-CGE04060-0]:[M4-XPM18000-0]],TablaControladores[[REFERENCIA]:[REFERENCIA]],TablaControladores[ED])*$AA315:$AJ315)</f>
        <v>8</v>
      </c>
      <c r="W315" s="14" cm="1">
        <f t="array" ref="W315">SUM(_xlfn.XLOOKUP(TablaSeleccionControladores[[#Headers],[M4-CGE04060-0]:[M4-XPM18000-0]],TablaControladores[[REFERENCIA]:[REFERENCIA]],TablaControladores[SA])*$AA315:$AJ315)</f>
        <v>6</v>
      </c>
      <c r="X315" s="14" cm="1">
        <f t="array" ref="X315">SUM(_xlfn.XLOOKUP(TablaSeleccionControladores[[#Headers],[M4-CGE04060-0]:[M4-XPM18000-0]],TablaControladores[[REFERENCIA]:[REFERENCIA]],TablaControladores[SC])*$AA315:$AJ315)</f>
        <v>15</v>
      </c>
      <c r="Y315" s="14" cm="1">
        <f t="array" ref="Y315">SUM(_xlfn.XLOOKUP(TablaSeleccionControladores[[#Headers],[M4-CGE04060-0]:[M4-XPM18000-0]],TablaControladores[[REFERENCIA]:[REFERENCIA]],TablaControladores[SD])*$AA315:$AJ315)</f>
        <v>15</v>
      </c>
      <c r="Z315" s="14">
        <f>SUM(TablaSeleccionControladores[[#This Row],[EA]:[SD]])</f>
        <v>69</v>
      </c>
      <c r="AD315" s="14">
        <v>1</v>
      </c>
      <c r="AH315" s="14">
        <v>0</v>
      </c>
      <c r="AI315" s="14">
        <v>3</v>
      </c>
      <c r="AJ315" s="14">
        <v>0</v>
      </c>
    </row>
    <row r="316" spans="17:36" x14ac:dyDescent="0.25">
      <c r="Q316">
        <f t="shared" si="7"/>
        <v>206</v>
      </c>
      <c r="R316" t="s">
        <v>829</v>
      </c>
      <c r="S316">
        <f>SUM(TablaSeleccionControladores[[#This Row],[M4-CGE04060-0]:[M4-CGM09090-0H]])</f>
        <v>1</v>
      </c>
      <c r="T316" s="14" cm="1">
        <f t="array" ref="T316">SUM(_xlfn.XLOOKUP(TablaSeleccionControladores[[#Headers],[M4-CGE04060-0]:[M4-XPM18000-0]],TablaControladores[[REFERENCIA]:[REFERENCIA]],TablaControladores[EA])*$AA316:$AJ316)</f>
        <v>0</v>
      </c>
      <c r="U316" s="14" cm="1">
        <f t="array" ref="U316">SUM(_xlfn.XLOOKUP(TablaSeleccionControladores[[#Headers],[M4-CGE04060-0]:[M4-XPM18000-0]],TablaControladores[[REFERENCIA]:[REFERENCIA]],TablaControladores[EU])*$AA316:$AJ316)</f>
        <v>25</v>
      </c>
      <c r="V316" s="14" cm="1">
        <f t="array" ref="V316">SUM(_xlfn.XLOOKUP(TablaSeleccionControladores[[#Headers],[M4-CGE04060-0]:[M4-XPM18000-0]],TablaControladores[[REFERENCIA]:[REFERENCIA]],TablaControladores[ED])*$AA316:$AJ316)</f>
        <v>26</v>
      </c>
      <c r="W316" s="14" cm="1">
        <f t="array" ref="W316">SUM(_xlfn.XLOOKUP(TablaSeleccionControladores[[#Headers],[M4-CGE04060-0]:[M4-XPM18000-0]],TablaControladores[[REFERENCIA]:[REFERENCIA]],TablaControladores[SA])*$AA316:$AJ316)</f>
        <v>6</v>
      </c>
      <c r="X316" s="14" cm="1">
        <f t="array" ref="X316">SUM(_xlfn.XLOOKUP(TablaSeleccionControladores[[#Headers],[M4-CGE04060-0]:[M4-XPM18000-0]],TablaControladores[[REFERENCIA]:[REFERENCIA]],TablaControladores[SC])*$AA316:$AJ316)</f>
        <v>15</v>
      </c>
      <c r="Y316" s="14" cm="1">
        <f t="array" ref="Y316">SUM(_xlfn.XLOOKUP(TablaSeleccionControladores[[#Headers],[M4-CGE04060-0]:[M4-XPM18000-0]],TablaControladores[[REFERENCIA]:[REFERENCIA]],TablaControladores[SD])*$AA316:$AJ316)</f>
        <v>15</v>
      </c>
      <c r="Z316" s="14">
        <f>SUM(TablaSeleccionControladores[[#This Row],[EA]:[SD]])</f>
        <v>87</v>
      </c>
      <c r="AD316" s="14">
        <v>1</v>
      </c>
      <c r="AH316" s="14">
        <v>0</v>
      </c>
      <c r="AI316" s="14">
        <v>3</v>
      </c>
      <c r="AJ316" s="14">
        <v>1</v>
      </c>
    </row>
    <row r="317" spans="17:36" x14ac:dyDescent="0.25">
      <c r="Q317">
        <f t="shared" si="7"/>
        <v>207</v>
      </c>
      <c r="R317" t="s">
        <v>829</v>
      </c>
      <c r="S317">
        <f>SUM(TablaSeleccionControladores[[#This Row],[M4-CGE04060-0]:[M4-CGM09090-0H]])</f>
        <v>1</v>
      </c>
      <c r="T317" s="14" cm="1">
        <f t="array" ref="T317">SUM(_xlfn.XLOOKUP(TablaSeleccionControladores[[#Headers],[M4-CGE04060-0]:[M4-XPM18000-0]],TablaControladores[[REFERENCIA]:[REFERENCIA]],TablaControladores[EA])*$AA317:$AJ317)</f>
        <v>0</v>
      </c>
      <c r="U317" s="14" cm="1">
        <f t="array" ref="U317">SUM(_xlfn.XLOOKUP(TablaSeleccionControladores[[#Headers],[M4-CGE04060-0]:[M4-XPM18000-0]],TablaControladores[[REFERENCIA]:[REFERENCIA]],TablaControladores[EU])*$AA317:$AJ317)</f>
        <v>25</v>
      </c>
      <c r="V317" s="14" cm="1">
        <f t="array" ref="V317">SUM(_xlfn.XLOOKUP(TablaSeleccionControladores[[#Headers],[M4-CGE04060-0]:[M4-XPM18000-0]],TablaControladores[[REFERENCIA]:[REFERENCIA]],TablaControladores[ED])*$AA317:$AJ317)</f>
        <v>44</v>
      </c>
      <c r="W317" s="14" cm="1">
        <f t="array" ref="W317">SUM(_xlfn.XLOOKUP(TablaSeleccionControladores[[#Headers],[M4-CGE04060-0]:[M4-XPM18000-0]],TablaControladores[[REFERENCIA]:[REFERENCIA]],TablaControladores[SA])*$AA317:$AJ317)</f>
        <v>6</v>
      </c>
      <c r="X317" s="14" cm="1">
        <f t="array" ref="X317">SUM(_xlfn.XLOOKUP(TablaSeleccionControladores[[#Headers],[M4-CGE04060-0]:[M4-XPM18000-0]],TablaControladores[[REFERENCIA]:[REFERENCIA]],TablaControladores[SC])*$AA317:$AJ317)</f>
        <v>15</v>
      </c>
      <c r="Y317" s="14" cm="1">
        <f t="array" ref="Y317">SUM(_xlfn.XLOOKUP(TablaSeleccionControladores[[#Headers],[M4-CGE04060-0]:[M4-XPM18000-0]],TablaControladores[[REFERENCIA]:[REFERENCIA]],TablaControladores[SD])*$AA317:$AJ317)</f>
        <v>15</v>
      </c>
      <c r="Z317" s="14">
        <f>SUM(TablaSeleccionControladores[[#This Row],[EA]:[SD]])</f>
        <v>105</v>
      </c>
      <c r="AD317" s="14">
        <v>1</v>
      </c>
      <c r="AH317" s="14">
        <v>0</v>
      </c>
      <c r="AI317" s="14">
        <v>3</v>
      </c>
      <c r="AJ317" s="14">
        <v>2</v>
      </c>
    </row>
    <row r="318" spans="17:36" x14ac:dyDescent="0.25">
      <c r="Q318">
        <f t="shared" si="7"/>
        <v>208</v>
      </c>
      <c r="R318" t="s">
        <v>829</v>
      </c>
      <c r="S318">
        <f>SUM(TablaSeleccionControladores[[#This Row],[M4-CGE04060-0]:[M4-CGM09090-0H]])</f>
        <v>1</v>
      </c>
      <c r="T318" s="14" cm="1">
        <f t="array" ref="T318">SUM(_xlfn.XLOOKUP(TablaSeleccionControladores[[#Headers],[M4-CGE04060-0]:[M4-XPM18000-0]],TablaControladores[[REFERENCIA]:[REFERENCIA]],TablaControladores[EA])*$AA318:$AJ318)</f>
        <v>0</v>
      </c>
      <c r="U318" s="14" cm="1">
        <f t="array" ref="U318">SUM(_xlfn.XLOOKUP(TablaSeleccionControladores[[#Headers],[M4-CGE04060-0]:[M4-XPM18000-0]],TablaControladores[[REFERENCIA]:[REFERENCIA]],TablaControladores[EU])*$AA318:$AJ318)</f>
        <v>25</v>
      </c>
      <c r="V318" s="14" cm="1">
        <f t="array" ref="V318">SUM(_xlfn.XLOOKUP(TablaSeleccionControladores[[#Headers],[M4-CGE04060-0]:[M4-XPM18000-0]],TablaControladores[[REFERENCIA]:[REFERENCIA]],TablaControladores[ED])*$AA318:$AJ318)</f>
        <v>62</v>
      </c>
      <c r="W318" s="14" cm="1">
        <f t="array" ref="W318">SUM(_xlfn.XLOOKUP(TablaSeleccionControladores[[#Headers],[M4-CGE04060-0]:[M4-XPM18000-0]],TablaControladores[[REFERENCIA]:[REFERENCIA]],TablaControladores[SA])*$AA318:$AJ318)</f>
        <v>6</v>
      </c>
      <c r="X318" s="14" cm="1">
        <f t="array" ref="X318">SUM(_xlfn.XLOOKUP(TablaSeleccionControladores[[#Headers],[M4-CGE04060-0]:[M4-XPM18000-0]],TablaControladores[[REFERENCIA]:[REFERENCIA]],TablaControladores[SC])*$AA318:$AJ318)</f>
        <v>15</v>
      </c>
      <c r="Y318" s="14" cm="1">
        <f t="array" ref="Y318">SUM(_xlfn.XLOOKUP(TablaSeleccionControladores[[#Headers],[M4-CGE04060-0]:[M4-XPM18000-0]],TablaControladores[[REFERENCIA]:[REFERENCIA]],TablaControladores[SD])*$AA318:$AJ318)</f>
        <v>15</v>
      </c>
      <c r="Z318" s="14">
        <f>SUM(TablaSeleccionControladores[[#This Row],[EA]:[SD]])</f>
        <v>123</v>
      </c>
      <c r="AD318" s="14">
        <v>1</v>
      </c>
      <c r="AH318" s="14">
        <v>0</v>
      </c>
      <c r="AI318" s="14">
        <v>3</v>
      </c>
      <c r="AJ318" s="14">
        <v>3</v>
      </c>
    </row>
    <row r="319" spans="17:36" x14ac:dyDescent="0.25">
      <c r="Q319">
        <f t="shared" si="7"/>
        <v>209</v>
      </c>
      <c r="R319" t="s">
        <v>829</v>
      </c>
      <c r="S319">
        <f>SUM(TablaSeleccionControladores[[#This Row],[M4-CGE04060-0]:[M4-CGM09090-0H]])</f>
        <v>1</v>
      </c>
      <c r="T319" s="14" cm="1">
        <f t="array" ref="T319">SUM(_xlfn.XLOOKUP(TablaSeleccionControladores[[#Headers],[M4-CGE04060-0]:[M4-XPM18000-0]],TablaControladores[[REFERENCIA]:[REFERENCIA]],TablaControladores[EA])*$AA319:$AJ319)</f>
        <v>0</v>
      </c>
      <c r="U319" s="14" cm="1">
        <f t="array" ref="U319">SUM(_xlfn.XLOOKUP(TablaSeleccionControladores[[#Headers],[M4-CGE04060-0]:[M4-XPM18000-0]],TablaControladores[[REFERENCIA]:[REFERENCIA]],TablaControladores[EU])*$AA319:$AJ319)</f>
        <v>32</v>
      </c>
      <c r="V319" s="14" cm="1">
        <f t="array" ref="V319">SUM(_xlfn.XLOOKUP(TablaSeleccionControladores[[#Headers],[M4-CGE04060-0]:[M4-XPM18000-0]],TablaControladores[[REFERENCIA]:[REFERENCIA]],TablaControladores[ED])*$AA319:$AJ319)</f>
        <v>10</v>
      </c>
      <c r="W319" s="14" cm="1">
        <f t="array" ref="W319">SUM(_xlfn.XLOOKUP(TablaSeleccionControladores[[#Headers],[M4-CGE04060-0]:[M4-XPM18000-0]],TablaControladores[[REFERENCIA]:[REFERENCIA]],TablaControladores[SA])*$AA319:$AJ319)</f>
        <v>8</v>
      </c>
      <c r="X319" s="14" cm="1">
        <f t="array" ref="X319">SUM(_xlfn.XLOOKUP(TablaSeleccionControladores[[#Headers],[M4-CGE04060-0]:[M4-XPM18000-0]],TablaControladores[[REFERENCIA]:[REFERENCIA]],TablaControladores[SC])*$AA319:$AJ319)</f>
        <v>19</v>
      </c>
      <c r="Y319" s="14" cm="1">
        <f t="array" ref="Y319">SUM(_xlfn.XLOOKUP(TablaSeleccionControladores[[#Headers],[M4-CGE04060-0]:[M4-XPM18000-0]],TablaControladores[[REFERENCIA]:[REFERENCIA]],TablaControladores[SD])*$AA319:$AJ319)</f>
        <v>18</v>
      </c>
      <c r="Z319" s="14">
        <f>SUM(TablaSeleccionControladores[[#This Row],[EA]:[SD]])</f>
        <v>87</v>
      </c>
      <c r="AD319" s="14">
        <v>1</v>
      </c>
      <c r="AH319" s="14">
        <v>0</v>
      </c>
      <c r="AI319" s="14">
        <v>4</v>
      </c>
      <c r="AJ319" s="14">
        <v>0</v>
      </c>
    </row>
    <row r="320" spans="17:36" x14ac:dyDescent="0.25">
      <c r="Q320">
        <f t="shared" si="7"/>
        <v>210</v>
      </c>
      <c r="R320" t="s">
        <v>829</v>
      </c>
      <c r="S320">
        <f>SUM(TablaSeleccionControladores[[#This Row],[M4-CGE04060-0]:[M4-CGM09090-0H]])</f>
        <v>1</v>
      </c>
      <c r="T320" s="14" cm="1">
        <f t="array" ref="T320">SUM(_xlfn.XLOOKUP(TablaSeleccionControladores[[#Headers],[M4-CGE04060-0]:[M4-XPM18000-0]],TablaControladores[[REFERENCIA]:[REFERENCIA]],TablaControladores[EA])*$AA320:$AJ320)</f>
        <v>0</v>
      </c>
      <c r="U320" s="14" cm="1">
        <f t="array" ref="U320">SUM(_xlfn.XLOOKUP(TablaSeleccionControladores[[#Headers],[M4-CGE04060-0]:[M4-XPM18000-0]],TablaControladores[[REFERENCIA]:[REFERENCIA]],TablaControladores[EU])*$AA320:$AJ320)</f>
        <v>32</v>
      </c>
      <c r="V320" s="14" cm="1">
        <f t="array" ref="V320">SUM(_xlfn.XLOOKUP(TablaSeleccionControladores[[#Headers],[M4-CGE04060-0]:[M4-XPM18000-0]],TablaControladores[[REFERENCIA]:[REFERENCIA]],TablaControladores[ED])*$AA320:$AJ320)</f>
        <v>28</v>
      </c>
      <c r="W320" s="14" cm="1">
        <f t="array" ref="W320">SUM(_xlfn.XLOOKUP(TablaSeleccionControladores[[#Headers],[M4-CGE04060-0]:[M4-XPM18000-0]],TablaControladores[[REFERENCIA]:[REFERENCIA]],TablaControladores[SA])*$AA320:$AJ320)</f>
        <v>8</v>
      </c>
      <c r="X320" s="14" cm="1">
        <f t="array" ref="X320">SUM(_xlfn.XLOOKUP(TablaSeleccionControladores[[#Headers],[M4-CGE04060-0]:[M4-XPM18000-0]],TablaControladores[[REFERENCIA]:[REFERENCIA]],TablaControladores[SC])*$AA320:$AJ320)</f>
        <v>19</v>
      </c>
      <c r="Y320" s="14" cm="1">
        <f t="array" ref="Y320">SUM(_xlfn.XLOOKUP(TablaSeleccionControladores[[#Headers],[M4-CGE04060-0]:[M4-XPM18000-0]],TablaControladores[[REFERENCIA]:[REFERENCIA]],TablaControladores[SD])*$AA320:$AJ320)</f>
        <v>18</v>
      </c>
      <c r="Z320" s="14">
        <f>SUM(TablaSeleccionControladores[[#This Row],[EA]:[SD]])</f>
        <v>105</v>
      </c>
      <c r="AD320" s="14">
        <v>1</v>
      </c>
      <c r="AH320" s="14">
        <v>0</v>
      </c>
      <c r="AI320" s="14">
        <v>4</v>
      </c>
      <c r="AJ320" s="14">
        <v>1</v>
      </c>
    </row>
    <row r="321" spans="17:36" x14ac:dyDescent="0.25">
      <c r="Q321">
        <f t="shared" si="7"/>
        <v>211</v>
      </c>
      <c r="R321" t="s">
        <v>829</v>
      </c>
      <c r="S321">
        <f>SUM(TablaSeleccionControladores[[#This Row],[M4-CGE04060-0]:[M4-CGM09090-0H]])</f>
        <v>1</v>
      </c>
      <c r="T321" s="14" cm="1">
        <f t="array" ref="T321">SUM(_xlfn.XLOOKUP(TablaSeleccionControladores[[#Headers],[M4-CGE04060-0]:[M4-XPM18000-0]],TablaControladores[[REFERENCIA]:[REFERENCIA]],TablaControladores[EA])*$AA321:$AJ321)</f>
        <v>0</v>
      </c>
      <c r="U321" s="14" cm="1">
        <f t="array" ref="U321">SUM(_xlfn.XLOOKUP(TablaSeleccionControladores[[#Headers],[M4-CGE04060-0]:[M4-XPM18000-0]],TablaControladores[[REFERENCIA]:[REFERENCIA]],TablaControladores[EU])*$AA321:$AJ321)</f>
        <v>32</v>
      </c>
      <c r="V321" s="14" cm="1">
        <f t="array" ref="V321">SUM(_xlfn.XLOOKUP(TablaSeleccionControladores[[#Headers],[M4-CGE04060-0]:[M4-XPM18000-0]],TablaControladores[[REFERENCIA]:[REFERENCIA]],TablaControladores[ED])*$AA321:$AJ321)</f>
        <v>46</v>
      </c>
      <c r="W321" s="14" cm="1">
        <f t="array" ref="W321">SUM(_xlfn.XLOOKUP(TablaSeleccionControladores[[#Headers],[M4-CGE04060-0]:[M4-XPM18000-0]],TablaControladores[[REFERENCIA]:[REFERENCIA]],TablaControladores[SA])*$AA321:$AJ321)</f>
        <v>8</v>
      </c>
      <c r="X321" s="14" cm="1">
        <f t="array" ref="X321">SUM(_xlfn.XLOOKUP(TablaSeleccionControladores[[#Headers],[M4-CGE04060-0]:[M4-XPM18000-0]],TablaControladores[[REFERENCIA]:[REFERENCIA]],TablaControladores[SC])*$AA321:$AJ321)</f>
        <v>19</v>
      </c>
      <c r="Y321" s="14" cm="1">
        <f t="array" ref="Y321">SUM(_xlfn.XLOOKUP(TablaSeleccionControladores[[#Headers],[M4-CGE04060-0]:[M4-XPM18000-0]],TablaControladores[[REFERENCIA]:[REFERENCIA]],TablaControladores[SD])*$AA321:$AJ321)</f>
        <v>18</v>
      </c>
      <c r="Z321" s="14">
        <f>SUM(TablaSeleccionControladores[[#This Row],[EA]:[SD]])</f>
        <v>123</v>
      </c>
      <c r="AD321" s="14">
        <v>1</v>
      </c>
      <c r="AH321" s="14">
        <v>0</v>
      </c>
      <c r="AI321" s="14">
        <v>4</v>
      </c>
      <c r="AJ321" s="14">
        <v>2</v>
      </c>
    </row>
    <row r="322" spans="17:36" x14ac:dyDescent="0.25">
      <c r="Q322">
        <f t="shared" si="7"/>
        <v>212</v>
      </c>
      <c r="R322" t="s">
        <v>829</v>
      </c>
      <c r="S322">
        <f>SUM(TablaSeleccionControladores[[#This Row],[M4-CGE04060-0]:[M4-CGM09090-0H]])</f>
        <v>1</v>
      </c>
      <c r="T322" s="14" cm="1">
        <f t="array" ref="T322">SUM(_xlfn.XLOOKUP(TablaSeleccionControladores[[#Headers],[M4-CGE04060-0]:[M4-XPM18000-0]],TablaControladores[[REFERENCIA]:[REFERENCIA]],TablaControladores[EA])*$AA322:$AJ322)</f>
        <v>0</v>
      </c>
      <c r="U322" s="14" cm="1">
        <f t="array" ref="U322">SUM(_xlfn.XLOOKUP(TablaSeleccionControladores[[#Headers],[M4-CGE04060-0]:[M4-XPM18000-0]],TablaControladores[[REFERENCIA]:[REFERENCIA]],TablaControladores[EU])*$AA322:$AJ322)</f>
        <v>39</v>
      </c>
      <c r="V322" s="14" cm="1">
        <f t="array" ref="V322">SUM(_xlfn.XLOOKUP(TablaSeleccionControladores[[#Headers],[M4-CGE04060-0]:[M4-XPM18000-0]],TablaControladores[[REFERENCIA]:[REFERENCIA]],TablaControladores[ED])*$AA322:$AJ322)</f>
        <v>12</v>
      </c>
      <c r="W322" s="14" cm="1">
        <f t="array" ref="W322">SUM(_xlfn.XLOOKUP(TablaSeleccionControladores[[#Headers],[M4-CGE04060-0]:[M4-XPM18000-0]],TablaControladores[[REFERENCIA]:[REFERENCIA]],TablaControladores[SA])*$AA322:$AJ322)</f>
        <v>10</v>
      </c>
      <c r="X322" s="14" cm="1">
        <f t="array" ref="X322">SUM(_xlfn.XLOOKUP(TablaSeleccionControladores[[#Headers],[M4-CGE04060-0]:[M4-XPM18000-0]],TablaControladores[[REFERENCIA]:[REFERENCIA]],TablaControladores[SC])*$AA322:$AJ322)</f>
        <v>23</v>
      </c>
      <c r="Y322" s="14" cm="1">
        <f t="array" ref="Y322">SUM(_xlfn.XLOOKUP(TablaSeleccionControladores[[#Headers],[M4-CGE04060-0]:[M4-XPM18000-0]],TablaControladores[[REFERENCIA]:[REFERENCIA]],TablaControladores[SD])*$AA322:$AJ322)</f>
        <v>21</v>
      </c>
      <c r="Z322" s="14">
        <f>SUM(TablaSeleccionControladores[[#This Row],[EA]:[SD]])</f>
        <v>105</v>
      </c>
      <c r="AD322" s="14">
        <v>1</v>
      </c>
      <c r="AH322" s="14">
        <v>0</v>
      </c>
      <c r="AI322" s="14">
        <v>5</v>
      </c>
      <c r="AJ322" s="14">
        <v>0</v>
      </c>
    </row>
    <row r="323" spans="17:36" x14ac:dyDescent="0.25">
      <c r="Q323">
        <f t="shared" si="7"/>
        <v>213</v>
      </c>
      <c r="R323" t="s">
        <v>829</v>
      </c>
      <c r="S323">
        <f>SUM(TablaSeleccionControladores[[#This Row],[M4-CGE04060-0]:[M4-CGM09090-0H]])</f>
        <v>1</v>
      </c>
      <c r="T323" s="14" cm="1">
        <f t="array" ref="T323">SUM(_xlfn.XLOOKUP(TablaSeleccionControladores[[#Headers],[M4-CGE04060-0]:[M4-XPM18000-0]],TablaControladores[[REFERENCIA]:[REFERENCIA]],TablaControladores[EA])*$AA323:$AJ323)</f>
        <v>0</v>
      </c>
      <c r="U323" s="14" cm="1">
        <f t="array" ref="U323">SUM(_xlfn.XLOOKUP(TablaSeleccionControladores[[#Headers],[M4-CGE04060-0]:[M4-XPM18000-0]],TablaControladores[[REFERENCIA]:[REFERENCIA]],TablaControladores[EU])*$AA323:$AJ323)</f>
        <v>39</v>
      </c>
      <c r="V323" s="14" cm="1">
        <f t="array" ref="V323">SUM(_xlfn.XLOOKUP(TablaSeleccionControladores[[#Headers],[M4-CGE04060-0]:[M4-XPM18000-0]],TablaControladores[[REFERENCIA]:[REFERENCIA]],TablaControladores[ED])*$AA323:$AJ323)</f>
        <v>30</v>
      </c>
      <c r="W323" s="14" cm="1">
        <f t="array" ref="W323">SUM(_xlfn.XLOOKUP(TablaSeleccionControladores[[#Headers],[M4-CGE04060-0]:[M4-XPM18000-0]],TablaControladores[[REFERENCIA]:[REFERENCIA]],TablaControladores[SA])*$AA323:$AJ323)</f>
        <v>10</v>
      </c>
      <c r="X323" s="14" cm="1">
        <f t="array" ref="X323">SUM(_xlfn.XLOOKUP(TablaSeleccionControladores[[#Headers],[M4-CGE04060-0]:[M4-XPM18000-0]],TablaControladores[[REFERENCIA]:[REFERENCIA]],TablaControladores[SC])*$AA323:$AJ323)</f>
        <v>23</v>
      </c>
      <c r="Y323" s="14" cm="1">
        <f t="array" ref="Y323">SUM(_xlfn.XLOOKUP(TablaSeleccionControladores[[#Headers],[M4-CGE04060-0]:[M4-XPM18000-0]],TablaControladores[[REFERENCIA]:[REFERENCIA]],TablaControladores[SD])*$AA323:$AJ323)</f>
        <v>21</v>
      </c>
      <c r="Z323" s="14">
        <f>SUM(TablaSeleccionControladores[[#This Row],[EA]:[SD]])</f>
        <v>123</v>
      </c>
      <c r="AD323" s="14">
        <v>1</v>
      </c>
      <c r="AH323" s="14">
        <v>0</v>
      </c>
      <c r="AI323" s="14">
        <v>5</v>
      </c>
      <c r="AJ323" s="14">
        <v>1</v>
      </c>
    </row>
    <row r="324" spans="17:36" x14ac:dyDescent="0.25">
      <c r="Q324">
        <f t="shared" si="7"/>
        <v>214</v>
      </c>
      <c r="R324" t="s">
        <v>829</v>
      </c>
      <c r="S324">
        <f>SUM(TablaSeleccionControladores[[#This Row],[M4-CGE04060-0]:[M4-CGM09090-0H]])</f>
        <v>1</v>
      </c>
      <c r="T324" s="14" cm="1">
        <f t="array" ref="T324">SUM(_xlfn.XLOOKUP(TablaSeleccionControladores[[#Headers],[M4-CGE04060-0]:[M4-XPM18000-0]],TablaControladores[[REFERENCIA]:[REFERENCIA]],TablaControladores[EA])*$AA324:$AJ324)</f>
        <v>0</v>
      </c>
      <c r="U324" s="14" cm="1">
        <f t="array" ref="U324">SUM(_xlfn.XLOOKUP(TablaSeleccionControladores[[#Headers],[M4-CGE04060-0]:[M4-XPM18000-0]],TablaControladores[[REFERENCIA]:[REFERENCIA]],TablaControladores[EU])*$AA324:$AJ324)</f>
        <v>46</v>
      </c>
      <c r="V324" s="14" cm="1">
        <f t="array" ref="V324">SUM(_xlfn.XLOOKUP(TablaSeleccionControladores[[#Headers],[M4-CGE04060-0]:[M4-XPM18000-0]],TablaControladores[[REFERENCIA]:[REFERENCIA]],TablaControladores[ED])*$AA324:$AJ324)</f>
        <v>14</v>
      </c>
      <c r="W324" s="14" cm="1">
        <f t="array" ref="W324">SUM(_xlfn.XLOOKUP(TablaSeleccionControladores[[#Headers],[M4-CGE04060-0]:[M4-XPM18000-0]],TablaControladores[[REFERENCIA]:[REFERENCIA]],TablaControladores[SA])*$AA324:$AJ324)</f>
        <v>12</v>
      </c>
      <c r="X324" s="14" cm="1">
        <f t="array" ref="X324">SUM(_xlfn.XLOOKUP(TablaSeleccionControladores[[#Headers],[M4-CGE04060-0]:[M4-XPM18000-0]],TablaControladores[[REFERENCIA]:[REFERENCIA]],TablaControladores[SC])*$AA324:$AJ324)</f>
        <v>27</v>
      </c>
      <c r="Y324" s="14" cm="1">
        <f t="array" ref="Y324">SUM(_xlfn.XLOOKUP(TablaSeleccionControladores[[#Headers],[M4-CGE04060-0]:[M4-XPM18000-0]],TablaControladores[[REFERENCIA]:[REFERENCIA]],TablaControladores[SD])*$AA324:$AJ324)</f>
        <v>24</v>
      </c>
      <c r="Z324" s="14">
        <f>SUM(TablaSeleccionControladores[[#This Row],[EA]:[SD]])</f>
        <v>123</v>
      </c>
      <c r="AD324" s="14">
        <v>1</v>
      </c>
      <c r="AH324" s="14">
        <v>0</v>
      </c>
      <c r="AI324" s="14">
        <v>6</v>
      </c>
      <c r="AJ324" s="14">
        <v>0</v>
      </c>
    </row>
    <row r="325" spans="17:36" x14ac:dyDescent="0.25">
      <c r="Q325">
        <f t="shared" si="7"/>
        <v>215</v>
      </c>
      <c r="R325" t="s">
        <v>829</v>
      </c>
      <c r="S325">
        <f>SUM(TablaSeleccionControladores[[#This Row],[M4-CGE04060-0]:[M4-CGM09090-0H]])</f>
        <v>1</v>
      </c>
      <c r="T325" s="14" cm="1">
        <f t="array" ref="T325">SUM(_xlfn.XLOOKUP(TablaSeleccionControladores[[#Headers],[M4-CGE04060-0]:[M4-XPM18000-0]],TablaControladores[[REFERENCIA]:[REFERENCIA]],TablaControladores[EA])*$AA325:$AJ325)</f>
        <v>0</v>
      </c>
      <c r="U325" s="14" cm="1">
        <f t="array" ref="U325">SUM(_xlfn.XLOOKUP(TablaSeleccionControladores[[#Headers],[M4-CGE04060-0]:[M4-XPM18000-0]],TablaControladores[[REFERENCIA]:[REFERENCIA]],TablaControladores[EU])*$AA325:$AJ325)</f>
        <v>7</v>
      </c>
      <c r="V325" s="14" cm="1">
        <f t="array" ref="V325">SUM(_xlfn.XLOOKUP(TablaSeleccionControladores[[#Headers],[M4-CGE04060-0]:[M4-XPM18000-0]],TablaControladores[[REFERENCIA]:[REFERENCIA]],TablaControladores[ED])*$AA325:$AJ325)</f>
        <v>3</v>
      </c>
      <c r="W325" s="14" cm="1">
        <f t="array" ref="W325">SUM(_xlfn.XLOOKUP(TablaSeleccionControladores[[#Headers],[M4-CGE04060-0]:[M4-XPM18000-0]],TablaControladores[[REFERENCIA]:[REFERENCIA]],TablaControladores[SA])*$AA325:$AJ325)</f>
        <v>2</v>
      </c>
      <c r="X325" s="14" cm="1">
        <f t="array" ref="X325">SUM(_xlfn.XLOOKUP(TablaSeleccionControladores[[#Headers],[M4-CGE04060-0]:[M4-XPM18000-0]],TablaControladores[[REFERENCIA]:[REFERENCIA]],TablaControladores[SC])*$AA325:$AJ325)</f>
        <v>7</v>
      </c>
      <c r="Y325" s="14" cm="1">
        <f t="array" ref="Y325">SUM(_xlfn.XLOOKUP(TablaSeleccionControladores[[#Headers],[M4-CGE04060-0]:[M4-XPM18000-0]],TablaControladores[[REFERENCIA]:[REFERENCIA]],TablaControladores[SD])*$AA325:$AJ325)</f>
        <v>9</v>
      </c>
      <c r="Z325" s="14">
        <f>SUM(TablaSeleccionControladores[[#This Row],[EA]:[SD]])</f>
        <v>28</v>
      </c>
      <c r="AD325" s="14">
        <v>1</v>
      </c>
      <c r="AH325" s="14">
        <v>1</v>
      </c>
      <c r="AI325" s="14">
        <v>0</v>
      </c>
      <c r="AJ325" s="14">
        <v>0</v>
      </c>
    </row>
    <row r="326" spans="17:36" x14ac:dyDescent="0.25">
      <c r="Q326">
        <f t="shared" si="7"/>
        <v>216</v>
      </c>
      <c r="R326" t="s">
        <v>829</v>
      </c>
      <c r="S326">
        <f>SUM(TablaSeleccionControladores[[#This Row],[M4-CGE04060-0]:[M4-CGM09090-0H]])</f>
        <v>1</v>
      </c>
      <c r="T326" s="14" cm="1">
        <f t="array" ref="T326">SUM(_xlfn.XLOOKUP(TablaSeleccionControladores[[#Headers],[M4-CGE04060-0]:[M4-XPM18000-0]],TablaControladores[[REFERENCIA]:[REFERENCIA]],TablaControladores[EA])*$AA326:$AJ326)</f>
        <v>0</v>
      </c>
      <c r="U326" s="14" cm="1">
        <f t="array" ref="U326">SUM(_xlfn.XLOOKUP(TablaSeleccionControladores[[#Headers],[M4-CGE04060-0]:[M4-XPM18000-0]],TablaControladores[[REFERENCIA]:[REFERENCIA]],TablaControladores[EU])*$AA326:$AJ326)</f>
        <v>7</v>
      </c>
      <c r="V326" s="14" cm="1">
        <f t="array" ref="V326">SUM(_xlfn.XLOOKUP(TablaSeleccionControladores[[#Headers],[M4-CGE04060-0]:[M4-XPM18000-0]],TablaControladores[[REFERENCIA]:[REFERENCIA]],TablaControladores[ED])*$AA326:$AJ326)</f>
        <v>21</v>
      </c>
      <c r="W326" s="14" cm="1">
        <f t="array" ref="W326">SUM(_xlfn.XLOOKUP(TablaSeleccionControladores[[#Headers],[M4-CGE04060-0]:[M4-XPM18000-0]],TablaControladores[[REFERENCIA]:[REFERENCIA]],TablaControladores[SA])*$AA326:$AJ326)</f>
        <v>2</v>
      </c>
      <c r="X326" s="14" cm="1">
        <f t="array" ref="X326">SUM(_xlfn.XLOOKUP(TablaSeleccionControladores[[#Headers],[M4-CGE04060-0]:[M4-XPM18000-0]],TablaControladores[[REFERENCIA]:[REFERENCIA]],TablaControladores[SC])*$AA326:$AJ326)</f>
        <v>7</v>
      </c>
      <c r="Y326" s="14" cm="1">
        <f t="array" ref="Y326">SUM(_xlfn.XLOOKUP(TablaSeleccionControladores[[#Headers],[M4-CGE04060-0]:[M4-XPM18000-0]],TablaControladores[[REFERENCIA]:[REFERENCIA]],TablaControladores[SD])*$AA326:$AJ326)</f>
        <v>9</v>
      </c>
      <c r="Z326" s="14">
        <f>SUM(TablaSeleccionControladores[[#This Row],[EA]:[SD]])</f>
        <v>46</v>
      </c>
      <c r="AD326" s="14">
        <v>1</v>
      </c>
      <c r="AH326" s="14">
        <v>1</v>
      </c>
      <c r="AI326" s="14">
        <v>0</v>
      </c>
      <c r="AJ326" s="14">
        <v>1</v>
      </c>
    </row>
    <row r="327" spans="17:36" x14ac:dyDescent="0.25">
      <c r="Q327">
        <f t="shared" si="7"/>
        <v>217</v>
      </c>
      <c r="R327" t="s">
        <v>829</v>
      </c>
      <c r="S327">
        <f>SUM(TablaSeleccionControladores[[#This Row],[M4-CGE04060-0]:[M4-CGM09090-0H]])</f>
        <v>1</v>
      </c>
      <c r="T327" s="14" cm="1">
        <f t="array" ref="T327">SUM(_xlfn.XLOOKUP(TablaSeleccionControladores[[#Headers],[M4-CGE04060-0]:[M4-XPM18000-0]],TablaControladores[[REFERENCIA]:[REFERENCIA]],TablaControladores[EA])*$AA327:$AJ327)</f>
        <v>0</v>
      </c>
      <c r="U327" s="14" cm="1">
        <f t="array" ref="U327">SUM(_xlfn.XLOOKUP(TablaSeleccionControladores[[#Headers],[M4-CGE04060-0]:[M4-XPM18000-0]],TablaControladores[[REFERENCIA]:[REFERENCIA]],TablaControladores[EU])*$AA327:$AJ327)</f>
        <v>7</v>
      </c>
      <c r="V327" s="14" cm="1">
        <f t="array" ref="V327">SUM(_xlfn.XLOOKUP(TablaSeleccionControladores[[#Headers],[M4-CGE04060-0]:[M4-XPM18000-0]],TablaControladores[[REFERENCIA]:[REFERENCIA]],TablaControladores[ED])*$AA327:$AJ327)</f>
        <v>39</v>
      </c>
      <c r="W327" s="14" cm="1">
        <f t="array" ref="W327">SUM(_xlfn.XLOOKUP(TablaSeleccionControladores[[#Headers],[M4-CGE04060-0]:[M4-XPM18000-0]],TablaControladores[[REFERENCIA]:[REFERENCIA]],TablaControladores[SA])*$AA327:$AJ327)</f>
        <v>2</v>
      </c>
      <c r="X327" s="14" cm="1">
        <f t="array" ref="X327">SUM(_xlfn.XLOOKUP(TablaSeleccionControladores[[#Headers],[M4-CGE04060-0]:[M4-XPM18000-0]],TablaControladores[[REFERENCIA]:[REFERENCIA]],TablaControladores[SC])*$AA327:$AJ327)</f>
        <v>7</v>
      </c>
      <c r="Y327" s="14" cm="1">
        <f t="array" ref="Y327">SUM(_xlfn.XLOOKUP(TablaSeleccionControladores[[#Headers],[M4-CGE04060-0]:[M4-XPM18000-0]],TablaControladores[[REFERENCIA]:[REFERENCIA]],TablaControladores[SD])*$AA327:$AJ327)</f>
        <v>9</v>
      </c>
      <c r="Z327" s="14">
        <f>SUM(TablaSeleccionControladores[[#This Row],[EA]:[SD]])</f>
        <v>64</v>
      </c>
      <c r="AD327" s="14">
        <v>1</v>
      </c>
      <c r="AH327" s="14">
        <v>1</v>
      </c>
      <c r="AI327" s="14">
        <v>0</v>
      </c>
      <c r="AJ327" s="14">
        <v>2</v>
      </c>
    </row>
    <row r="328" spans="17:36" x14ac:dyDescent="0.25">
      <c r="Q328">
        <f t="shared" si="7"/>
        <v>218</v>
      </c>
      <c r="R328" t="s">
        <v>829</v>
      </c>
      <c r="S328">
        <f>SUM(TablaSeleccionControladores[[#This Row],[M4-CGE04060-0]:[M4-CGM09090-0H]])</f>
        <v>1</v>
      </c>
      <c r="T328" s="14" cm="1">
        <f t="array" ref="T328">SUM(_xlfn.XLOOKUP(TablaSeleccionControladores[[#Headers],[M4-CGE04060-0]:[M4-XPM18000-0]],TablaControladores[[REFERENCIA]:[REFERENCIA]],TablaControladores[EA])*$AA328:$AJ328)</f>
        <v>0</v>
      </c>
      <c r="U328" s="14" cm="1">
        <f t="array" ref="U328">SUM(_xlfn.XLOOKUP(TablaSeleccionControladores[[#Headers],[M4-CGE04060-0]:[M4-XPM18000-0]],TablaControladores[[REFERENCIA]:[REFERENCIA]],TablaControladores[EU])*$AA328:$AJ328)</f>
        <v>7</v>
      </c>
      <c r="V328" s="14" cm="1">
        <f t="array" ref="V328">SUM(_xlfn.XLOOKUP(TablaSeleccionControladores[[#Headers],[M4-CGE04060-0]:[M4-XPM18000-0]],TablaControladores[[REFERENCIA]:[REFERENCIA]],TablaControladores[ED])*$AA328:$AJ328)</f>
        <v>57</v>
      </c>
      <c r="W328" s="14" cm="1">
        <f t="array" ref="W328">SUM(_xlfn.XLOOKUP(TablaSeleccionControladores[[#Headers],[M4-CGE04060-0]:[M4-XPM18000-0]],TablaControladores[[REFERENCIA]:[REFERENCIA]],TablaControladores[SA])*$AA328:$AJ328)</f>
        <v>2</v>
      </c>
      <c r="X328" s="14" cm="1">
        <f t="array" ref="X328">SUM(_xlfn.XLOOKUP(TablaSeleccionControladores[[#Headers],[M4-CGE04060-0]:[M4-XPM18000-0]],TablaControladores[[REFERENCIA]:[REFERENCIA]],TablaControladores[SC])*$AA328:$AJ328)</f>
        <v>7</v>
      </c>
      <c r="Y328" s="14" cm="1">
        <f t="array" ref="Y328">SUM(_xlfn.XLOOKUP(TablaSeleccionControladores[[#Headers],[M4-CGE04060-0]:[M4-XPM18000-0]],TablaControladores[[REFERENCIA]:[REFERENCIA]],TablaControladores[SD])*$AA328:$AJ328)</f>
        <v>9</v>
      </c>
      <c r="Z328" s="14">
        <f>SUM(TablaSeleccionControladores[[#This Row],[EA]:[SD]])</f>
        <v>82</v>
      </c>
      <c r="AD328" s="14">
        <v>1</v>
      </c>
      <c r="AH328" s="14">
        <v>1</v>
      </c>
      <c r="AI328" s="14">
        <v>0</v>
      </c>
      <c r="AJ328" s="14">
        <v>3</v>
      </c>
    </row>
    <row r="329" spans="17:36" x14ac:dyDescent="0.25">
      <c r="Q329">
        <f t="shared" si="7"/>
        <v>219</v>
      </c>
      <c r="R329" t="s">
        <v>829</v>
      </c>
      <c r="S329">
        <f>SUM(TablaSeleccionControladores[[#This Row],[M4-CGE04060-0]:[M4-CGM09090-0H]])</f>
        <v>1</v>
      </c>
      <c r="T329" s="14" cm="1">
        <f t="array" ref="T329">SUM(_xlfn.XLOOKUP(TablaSeleccionControladores[[#Headers],[M4-CGE04060-0]:[M4-XPM18000-0]],TablaControladores[[REFERENCIA]:[REFERENCIA]],TablaControladores[EA])*$AA329:$AJ329)</f>
        <v>0</v>
      </c>
      <c r="U329" s="14" cm="1">
        <f t="array" ref="U329">SUM(_xlfn.XLOOKUP(TablaSeleccionControladores[[#Headers],[M4-CGE04060-0]:[M4-XPM18000-0]],TablaControladores[[REFERENCIA]:[REFERENCIA]],TablaControladores[EU])*$AA329:$AJ329)</f>
        <v>7</v>
      </c>
      <c r="V329" s="14" cm="1">
        <f t="array" ref="V329">SUM(_xlfn.XLOOKUP(TablaSeleccionControladores[[#Headers],[M4-CGE04060-0]:[M4-XPM18000-0]],TablaControladores[[REFERENCIA]:[REFERENCIA]],TablaControladores[ED])*$AA329:$AJ329)</f>
        <v>75</v>
      </c>
      <c r="W329" s="14" cm="1">
        <f t="array" ref="W329">SUM(_xlfn.XLOOKUP(TablaSeleccionControladores[[#Headers],[M4-CGE04060-0]:[M4-XPM18000-0]],TablaControladores[[REFERENCIA]:[REFERENCIA]],TablaControladores[SA])*$AA329:$AJ329)</f>
        <v>2</v>
      </c>
      <c r="X329" s="14" cm="1">
        <f t="array" ref="X329">SUM(_xlfn.XLOOKUP(TablaSeleccionControladores[[#Headers],[M4-CGE04060-0]:[M4-XPM18000-0]],TablaControladores[[REFERENCIA]:[REFERENCIA]],TablaControladores[SC])*$AA329:$AJ329)</f>
        <v>7</v>
      </c>
      <c r="Y329" s="14" cm="1">
        <f t="array" ref="Y329">SUM(_xlfn.XLOOKUP(TablaSeleccionControladores[[#Headers],[M4-CGE04060-0]:[M4-XPM18000-0]],TablaControladores[[REFERENCIA]:[REFERENCIA]],TablaControladores[SD])*$AA329:$AJ329)</f>
        <v>9</v>
      </c>
      <c r="Z329" s="14">
        <f>SUM(TablaSeleccionControladores[[#This Row],[EA]:[SD]])</f>
        <v>100</v>
      </c>
      <c r="AD329" s="14">
        <v>1</v>
      </c>
      <c r="AH329" s="14">
        <v>1</v>
      </c>
      <c r="AI329" s="14">
        <v>0</v>
      </c>
      <c r="AJ329" s="14">
        <v>4</v>
      </c>
    </row>
    <row r="330" spans="17:36" x14ac:dyDescent="0.25">
      <c r="Q330">
        <f t="shared" si="7"/>
        <v>220</v>
      </c>
      <c r="R330" t="s">
        <v>829</v>
      </c>
      <c r="S330">
        <f>SUM(TablaSeleccionControladores[[#This Row],[M4-CGE04060-0]:[M4-CGM09090-0H]])</f>
        <v>1</v>
      </c>
      <c r="T330" s="14" cm="1">
        <f t="array" ref="T330">SUM(_xlfn.XLOOKUP(TablaSeleccionControladores[[#Headers],[M4-CGE04060-0]:[M4-XPM18000-0]],TablaControladores[[REFERENCIA]:[REFERENCIA]],TablaControladores[EA])*$AA330:$AJ330)</f>
        <v>0</v>
      </c>
      <c r="U330" s="14" cm="1">
        <f t="array" ref="U330">SUM(_xlfn.XLOOKUP(TablaSeleccionControladores[[#Headers],[M4-CGE04060-0]:[M4-XPM18000-0]],TablaControladores[[REFERENCIA]:[REFERENCIA]],TablaControladores[EU])*$AA330:$AJ330)</f>
        <v>7</v>
      </c>
      <c r="V330" s="14" cm="1">
        <f t="array" ref="V330">SUM(_xlfn.XLOOKUP(TablaSeleccionControladores[[#Headers],[M4-CGE04060-0]:[M4-XPM18000-0]],TablaControladores[[REFERENCIA]:[REFERENCIA]],TablaControladores[ED])*$AA330:$AJ330)</f>
        <v>93</v>
      </c>
      <c r="W330" s="14" cm="1">
        <f t="array" ref="W330">SUM(_xlfn.XLOOKUP(TablaSeleccionControladores[[#Headers],[M4-CGE04060-0]:[M4-XPM18000-0]],TablaControladores[[REFERENCIA]:[REFERENCIA]],TablaControladores[SA])*$AA330:$AJ330)</f>
        <v>2</v>
      </c>
      <c r="X330" s="14" cm="1">
        <f t="array" ref="X330">SUM(_xlfn.XLOOKUP(TablaSeleccionControladores[[#Headers],[M4-CGE04060-0]:[M4-XPM18000-0]],TablaControladores[[REFERENCIA]:[REFERENCIA]],TablaControladores[SC])*$AA330:$AJ330)</f>
        <v>7</v>
      </c>
      <c r="Y330" s="14" cm="1">
        <f t="array" ref="Y330">SUM(_xlfn.XLOOKUP(TablaSeleccionControladores[[#Headers],[M4-CGE04060-0]:[M4-XPM18000-0]],TablaControladores[[REFERENCIA]:[REFERENCIA]],TablaControladores[SD])*$AA330:$AJ330)</f>
        <v>9</v>
      </c>
      <c r="Z330" s="14">
        <f>SUM(TablaSeleccionControladores[[#This Row],[EA]:[SD]])</f>
        <v>118</v>
      </c>
      <c r="AD330" s="14">
        <v>1</v>
      </c>
      <c r="AH330" s="14">
        <v>1</v>
      </c>
      <c r="AI330" s="14">
        <v>0</v>
      </c>
      <c r="AJ330" s="14">
        <v>5</v>
      </c>
    </row>
    <row r="331" spans="17:36" x14ac:dyDescent="0.25">
      <c r="Q331">
        <f t="shared" si="7"/>
        <v>221</v>
      </c>
      <c r="R331" t="s">
        <v>829</v>
      </c>
      <c r="S331">
        <f>SUM(TablaSeleccionControladores[[#This Row],[M4-CGE04060-0]:[M4-CGM09090-0H]])</f>
        <v>1</v>
      </c>
      <c r="T331" s="14" cm="1">
        <f t="array" ref="T331">SUM(_xlfn.XLOOKUP(TablaSeleccionControladores[[#Headers],[M4-CGE04060-0]:[M4-XPM18000-0]],TablaControladores[[REFERENCIA]:[REFERENCIA]],TablaControladores[EA])*$AA331:$AJ331)</f>
        <v>0</v>
      </c>
      <c r="U331" s="14" cm="1">
        <f t="array" ref="U331">SUM(_xlfn.XLOOKUP(TablaSeleccionControladores[[#Headers],[M4-CGE04060-0]:[M4-XPM18000-0]],TablaControladores[[REFERENCIA]:[REFERENCIA]],TablaControladores[EU])*$AA331:$AJ331)</f>
        <v>14</v>
      </c>
      <c r="V331" s="14" cm="1">
        <f t="array" ref="V331">SUM(_xlfn.XLOOKUP(TablaSeleccionControladores[[#Headers],[M4-CGE04060-0]:[M4-XPM18000-0]],TablaControladores[[REFERENCIA]:[REFERENCIA]],TablaControladores[ED])*$AA331:$AJ331)</f>
        <v>5</v>
      </c>
      <c r="W331" s="14" cm="1">
        <f t="array" ref="W331">SUM(_xlfn.XLOOKUP(TablaSeleccionControladores[[#Headers],[M4-CGE04060-0]:[M4-XPM18000-0]],TablaControladores[[REFERENCIA]:[REFERENCIA]],TablaControladores[SA])*$AA331:$AJ331)</f>
        <v>4</v>
      </c>
      <c r="X331" s="14" cm="1">
        <f t="array" ref="X331">SUM(_xlfn.XLOOKUP(TablaSeleccionControladores[[#Headers],[M4-CGE04060-0]:[M4-XPM18000-0]],TablaControladores[[REFERENCIA]:[REFERENCIA]],TablaControladores[SC])*$AA331:$AJ331)</f>
        <v>11</v>
      </c>
      <c r="Y331" s="14" cm="1">
        <f t="array" ref="Y331">SUM(_xlfn.XLOOKUP(TablaSeleccionControladores[[#Headers],[M4-CGE04060-0]:[M4-XPM18000-0]],TablaControladores[[REFERENCIA]:[REFERENCIA]],TablaControladores[SD])*$AA331:$AJ331)</f>
        <v>12</v>
      </c>
      <c r="Z331" s="14">
        <f>SUM(TablaSeleccionControladores[[#This Row],[EA]:[SD]])</f>
        <v>46</v>
      </c>
      <c r="AD331" s="14">
        <v>1</v>
      </c>
      <c r="AH331" s="14">
        <v>1</v>
      </c>
      <c r="AI331" s="14">
        <v>1</v>
      </c>
      <c r="AJ331" s="14">
        <v>0</v>
      </c>
    </row>
    <row r="332" spans="17:36" x14ac:dyDescent="0.25">
      <c r="Q332">
        <f t="shared" si="7"/>
        <v>222</v>
      </c>
      <c r="R332" t="s">
        <v>829</v>
      </c>
      <c r="S332">
        <f>SUM(TablaSeleccionControladores[[#This Row],[M4-CGE04060-0]:[M4-CGM09090-0H]])</f>
        <v>1</v>
      </c>
      <c r="T332" s="14" cm="1">
        <f t="array" ref="T332">SUM(_xlfn.XLOOKUP(TablaSeleccionControladores[[#Headers],[M4-CGE04060-0]:[M4-XPM18000-0]],TablaControladores[[REFERENCIA]:[REFERENCIA]],TablaControladores[EA])*$AA332:$AJ332)</f>
        <v>0</v>
      </c>
      <c r="U332" s="14" cm="1">
        <f t="array" ref="U332">SUM(_xlfn.XLOOKUP(TablaSeleccionControladores[[#Headers],[M4-CGE04060-0]:[M4-XPM18000-0]],TablaControladores[[REFERENCIA]:[REFERENCIA]],TablaControladores[EU])*$AA332:$AJ332)</f>
        <v>14</v>
      </c>
      <c r="V332" s="14" cm="1">
        <f t="array" ref="V332">SUM(_xlfn.XLOOKUP(TablaSeleccionControladores[[#Headers],[M4-CGE04060-0]:[M4-XPM18000-0]],TablaControladores[[REFERENCIA]:[REFERENCIA]],TablaControladores[ED])*$AA332:$AJ332)</f>
        <v>23</v>
      </c>
      <c r="W332" s="14" cm="1">
        <f t="array" ref="W332">SUM(_xlfn.XLOOKUP(TablaSeleccionControladores[[#Headers],[M4-CGE04060-0]:[M4-XPM18000-0]],TablaControladores[[REFERENCIA]:[REFERENCIA]],TablaControladores[SA])*$AA332:$AJ332)</f>
        <v>4</v>
      </c>
      <c r="X332" s="14" cm="1">
        <f t="array" ref="X332">SUM(_xlfn.XLOOKUP(TablaSeleccionControladores[[#Headers],[M4-CGE04060-0]:[M4-XPM18000-0]],TablaControladores[[REFERENCIA]:[REFERENCIA]],TablaControladores[SC])*$AA332:$AJ332)</f>
        <v>11</v>
      </c>
      <c r="Y332" s="14" cm="1">
        <f t="array" ref="Y332">SUM(_xlfn.XLOOKUP(TablaSeleccionControladores[[#Headers],[M4-CGE04060-0]:[M4-XPM18000-0]],TablaControladores[[REFERENCIA]:[REFERENCIA]],TablaControladores[SD])*$AA332:$AJ332)</f>
        <v>12</v>
      </c>
      <c r="Z332" s="14">
        <f>SUM(TablaSeleccionControladores[[#This Row],[EA]:[SD]])</f>
        <v>64</v>
      </c>
      <c r="AD332" s="14">
        <v>1</v>
      </c>
      <c r="AH332" s="14">
        <v>1</v>
      </c>
      <c r="AI332" s="14">
        <v>1</v>
      </c>
      <c r="AJ332" s="14">
        <v>1</v>
      </c>
    </row>
    <row r="333" spans="17:36" x14ac:dyDescent="0.25">
      <c r="Q333">
        <f t="shared" si="7"/>
        <v>223</v>
      </c>
      <c r="R333" t="s">
        <v>829</v>
      </c>
      <c r="S333">
        <f>SUM(TablaSeleccionControladores[[#This Row],[M4-CGE04060-0]:[M4-CGM09090-0H]])</f>
        <v>1</v>
      </c>
      <c r="T333" s="14" cm="1">
        <f t="array" ref="T333">SUM(_xlfn.XLOOKUP(TablaSeleccionControladores[[#Headers],[M4-CGE04060-0]:[M4-XPM18000-0]],TablaControladores[[REFERENCIA]:[REFERENCIA]],TablaControladores[EA])*$AA333:$AJ333)</f>
        <v>0</v>
      </c>
      <c r="U333" s="14" cm="1">
        <f t="array" ref="U333">SUM(_xlfn.XLOOKUP(TablaSeleccionControladores[[#Headers],[M4-CGE04060-0]:[M4-XPM18000-0]],TablaControladores[[REFERENCIA]:[REFERENCIA]],TablaControladores[EU])*$AA333:$AJ333)</f>
        <v>14</v>
      </c>
      <c r="V333" s="14" cm="1">
        <f t="array" ref="V333">SUM(_xlfn.XLOOKUP(TablaSeleccionControladores[[#Headers],[M4-CGE04060-0]:[M4-XPM18000-0]],TablaControladores[[REFERENCIA]:[REFERENCIA]],TablaControladores[ED])*$AA333:$AJ333)</f>
        <v>41</v>
      </c>
      <c r="W333" s="14" cm="1">
        <f t="array" ref="W333">SUM(_xlfn.XLOOKUP(TablaSeleccionControladores[[#Headers],[M4-CGE04060-0]:[M4-XPM18000-0]],TablaControladores[[REFERENCIA]:[REFERENCIA]],TablaControladores[SA])*$AA333:$AJ333)</f>
        <v>4</v>
      </c>
      <c r="X333" s="14" cm="1">
        <f t="array" ref="X333">SUM(_xlfn.XLOOKUP(TablaSeleccionControladores[[#Headers],[M4-CGE04060-0]:[M4-XPM18000-0]],TablaControladores[[REFERENCIA]:[REFERENCIA]],TablaControladores[SC])*$AA333:$AJ333)</f>
        <v>11</v>
      </c>
      <c r="Y333" s="14" cm="1">
        <f t="array" ref="Y333">SUM(_xlfn.XLOOKUP(TablaSeleccionControladores[[#Headers],[M4-CGE04060-0]:[M4-XPM18000-0]],TablaControladores[[REFERENCIA]:[REFERENCIA]],TablaControladores[SD])*$AA333:$AJ333)</f>
        <v>12</v>
      </c>
      <c r="Z333" s="14">
        <f>SUM(TablaSeleccionControladores[[#This Row],[EA]:[SD]])</f>
        <v>82</v>
      </c>
      <c r="AD333" s="14">
        <v>1</v>
      </c>
      <c r="AH333" s="14">
        <v>1</v>
      </c>
      <c r="AI333" s="14">
        <v>1</v>
      </c>
      <c r="AJ333" s="14">
        <v>2</v>
      </c>
    </row>
    <row r="334" spans="17:36" x14ac:dyDescent="0.25">
      <c r="Q334">
        <f t="shared" si="7"/>
        <v>224</v>
      </c>
      <c r="R334" t="s">
        <v>829</v>
      </c>
      <c r="S334">
        <f>SUM(TablaSeleccionControladores[[#This Row],[M4-CGE04060-0]:[M4-CGM09090-0H]])</f>
        <v>1</v>
      </c>
      <c r="T334" s="14" cm="1">
        <f t="array" ref="T334">SUM(_xlfn.XLOOKUP(TablaSeleccionControladores[[#Headers],[M4-CGE04060-0]:[M4-XPM18000-0]],TablaControladores[[REFERENCIA]:[REFERENCIA]],TablaControladores[EA])*$AA334:$AJ334)</f>
        <v>0</v>
      </c>
      <c r="U334" s="14" cm="1">
        <f t="array" ref="U334">SUM(_xlfn.XLOOKUP(TablaSeleccionControladores[[#Headers],[M4-CGE04060-0]:[M4-XPM18000-0]],TablaControladores[[REFERENCIA]:[REFERENCIA]],TablaControladores[EU])*$AA334:$AJ334)</f>
        <v>14</v>
      </c>
      <c r="V334" s="14" cm="1">
        <f t="array" ref="V334">SUM(_xlfn.XLOOKUP(TablaSeleccionControladores[[#Headers],[M4-CGE04060-0]:[M4-XPM18000-0]],TablaControladores[[REFERENCIA]:[REFERENCIA]],TablaControladores[ED])*$AA334:$AJ334)</f>
        <v>59</v>
      </c>
      <c r="W334" s="14" cm="1">
        <f t="array" ref="W334">SUM(_xlfn.XLOOKUP(TablaSeleccionControladores[[#Headers],[M4-CGE04060-0]:[M4-XPM18000-0]],TablaControladores[[REFERENCIA]:[REFERENCIA]],TablaControladores[SA])*$AA334:$AJ334)</f>
        <v>4</v>
      </c>
      <c r="X334" s="14" cm="1">
        <f t="array" ref="X334">SUM(_xlfn.XLOOKUP(TablaSeleccionControladores[[#Headers],[M4-CGE04060-0]:[M4-XPM18000-0]],TablaControladores[[REFERENCIA]:[REFERENCIA]],TablaControladores[SC])*$AA334:$AJ334)</f>
        <v>11</v>
      </c>
      <c r="Y334" s="14" cm="1">
        <f t="array" ref="Y334">SUM(_xlfn.XLOOKUP(TablaSeleccionControladores[[#Headers],[M4-CGE04060-0]:[M4-XPM18000-0]],TablaControladores[[REFERENCIA]:[REFERENCIA]],TablaControladores[SD])*$AA334:$AJ334)</f>
        <v>12</v>
      </c>
      <c r="Z334" s="14">
        <f>SUM(TablaSeleccionControladores[[#This Row],[EA]:[SD]])</f>
        <v>100</v>
      </c>
      <c r="AD334" s="14">
        <v>1</v>
      </c>
      <c r="AH334" s="14">
        <v>1</v>
      </c>
      <c r="AI334" s="14">
        <v>1</v>
      </c>
      <c r="AJ334" s="14">
        <v>3</v>
      </c>
    </row>
    <row r="335" spans="17:36" x14ac:dyDescent="0.25">
      <c r="Q335">
        <f t="shared" si="7"/>
        <v>225</v>
      </c>
      <c r="R335" t="s">
        <v>829</v>
      </c>
      <c r="S335">
        <f>SUM(TablaSeleccionControladores[[#This Row],[M4-CGE04060-0]:[M4-CGM09090-0H]])</f>
        <v>1</v>
      </c>
      <c r="T335" s="14" cm="1">
        <f t="array" ref="T335">SUM(_xlfn.XLOOKUP(TablaSeleccionControladores[[#Headers],[M4-CGE04060-0]:[M4-XPM18000-0]],TablaControladores[[REFERENCIA]:[REFERENCIA]],TablaControladores[EA])*$AA335:$AJ335)</f>
        <v>0</v>
      </c>
      <c r="U335" s="14" cm="1">
        <f t="array" ref="U335">SUM(_xlfn.XLOOKUP(TablaSeleccionControladores[[#Headers],[M4-CGE04060-0]:[M4-XPM18000-0]],TablaControladores[[REFERENCIA]:[REFERENCIA]],TablaControladores[EU])*$AA335:$AJ335)</f>
        <v>14</v>
      </c>
      <c r="V335" s="14" cm="1">
        <f t="array" ref="V335">SUM(_xlfn.XLOOKUP(TablaSeleccionControladores[[#Headers],[M4-CGE04060-0]:[M4-XPM18000-0]],TablaControladores[[REFERENCIA]:[REFERENCIA]],TablaControladores[ED])*$AA335:$AJ335)</f>
        <v>77</v>
      </c>
      <c r="W335" s="14" cm="1">
        <f t="array" ref="W335">SUM(_xlfn.XLOOKUP(TablaSeleccionControladores[[#Headers],[M4-CGE04060-0]:[M4-XPM18000-0]],TablaControladores[[REFERENCIA]:[REFERENCIA]],TablaControladores[SA])*$AA335:$AJ335)</f>
        <v>4</v>
      </c>
      <c r="X335" s="14" cm="1">
        <f t="array" ref="X335">SUM(_xlfn.XLOOKUP(TablaSeleccionControladores[[#Headers],[M4-CGE04060-0]:[M4-XPM18000-0]],TablaControladores[[REFERENCIA]:[REFERENCIA]],TablaControladores[SC])*$AA335:$AJ335)</f>
        <v>11</v>
      </c>
      <c r="Y335" s="14" cm="1">
        <f t="array" ref="Y335">SUM(_xlfn.XLOOKUP(TablaSeleccionControladores[[#Headers],[M4-CGE04060-0]:[M4-XPM18000-0]],TablaControladores[[REFERENCIA]:[REFERENCIA]],TablaControladores[SD])*$AA335:$AJ335)</f>
        <v>12</v>
      </c>
      <c r="Z335" s="14">
        <f>SUM(TablaSeleccionControladores[[#This Row],[EA]:[SD]])</f>
        <v>118</v>
      </c>
      <c r="AD335" s="14">
        <v>1</v>
      </c>
      <c r="AH335" s="14">
        <v>1</v>
      </c>
      <c r="AI335" s="14">
        <v>1</v>
      </c>
      <c r="AJ335" s="14">
        <v>4</v>
      </c>
    </row>
    <row r="336" spans="17:36" x14ac:dyDescent="0.25">
      <c r="Q336">
        <f t="shared" si="7"/>
        <v>226</v>
      </c>
      <c r="R336" t="s">
        <v>829</v>
      </c>
      <c r="S336">
        <f>SUM(TablaSeleccionControladores[[#This Row],[M4-CGE04060-0]:[M4-CGM09090-0H]])</f>
        <v>1</v>
      </c>
      <c r="T336" s="14" cm="1">
        <f t="array" ref="T336">SUM(_xlfn.XLOOKUP(TablaSeleccionControladores[[#Headers],[M4-CGE04060-0]:[M4-XPM18000-0]],TablaControladores[[REFERENCIA]:[REFERENCIA]],TablaControladores[EA])*$AA336:$AJ336)</f>
        <v>0</v>
      </c>
      <c r="U336" s="14" cm="1">
        <f t="array" ref="U336">SUM(_xlfn.XLOOKUP(TablaSeleccionControladores[[#Headers],[M4-CGE04060-0]:[M4-XPM18000-0]],TablaControladores[[REFERENCIA]:[REFERENCIA]],TablaControladores[EU])*$AA336:$AJ336)</f>
        <v>21</v>
      </c>
      <c r="V336" s="14" cm="1">
        <f t="array" ref="V336">SUM(_xlfn.XLOOKUP(TablaSeleccionControladores[[#Headers],[M4-CGE04060-0]:[M4-XPM18000-0]],TablaControladores[[REFERENCIA]:[REFERENCIA]],TablaControladores[ED])*$AA336:$AJ336)</f>
        <v>7</v>
      </c>
      <c r="W336" s="14" cm="1">
        <f t="array" ref="W336">SUM(_xlfn.XLOOKUP(TablaSeleccionControladores[[#Headers],[M4-CGE04060-0]:[M4-XPM18000-0]],TablaControladores[[REFERENCIA]:[REFERENCIA]],TablaControladores[SA])*$AA336:$AJ336)</f>
        <v>6</v>
      </c>
      <c r="X336" s="14" cm="1">
        <f t="array" ref="X336">SUM(_xlfn.XLOOKUP(TablaSeleccionControladores[[#Headers],[M4-CGE04060-0]:[M4-XPM18000-0]],TablaControladores[[REFERENCIA]:[REFERENCIA]],TablaControladores[SC])*$AA336:$AJ336)</f>
        <v>15</v>
      </c>
      <c r="Y336" s="14" cm="1">
        <f t="array" ref="Y336">SUM(_xlfn.XLOOKUP(TablaSeleccionControladores[[#Headers],[M4-CGE04060-0]:[M4-XPM18000-0]],TablaControladores[[REFERENCIA]:[REFERENCIA]],TablaControladores[SD])*$AA336:$AJ336)</f>
        <v>15</v>
      </c>
      <c r="Z336" s="14">
        <f>SUM(TablaSeleccionControladores[[#This Row],[EA]:[SD]])</f>
        <v>64</v>
      </c>
      <c r="AD336" s="14">
        <v>1</v>
      </c>
      <c r="AH336" s="14">
        <v>1</v>
      </c>
      <c r="AI336" s="14">
        <v>2</v>
      </c>
      <c r="AJ336" s="14">
        <v>0</v>
      </c>
    </row>
    <row r="337" spans="17:36" x14ac:dyDescent="0.25">
      <c r="Q337">
        <f t="shared" si="7"/>
        <v>227</v>
      </c>
      <c r="R337" t="s">
        <v>829</v>
      </c>
      <c r="S337">
        <f>SUM(TablaSeleccionControladores[[#This Row],[M4-CGE04060-0]:[M4-CGM09090-0H]])</f>
        <v>1</v>
      </c>
      <c r="T337" s="14" cm="1">
        <f t="array" ref="T337">SUM(_xlfn.XLOOKUP(TablaSeleccionControladores[[#Headers],[M4-CGE04060-0]:[M4-XPM18000-0]],TablaControladores[[REFERENCIA]:[REFERENCIA]],TablaControladores[EA])*$AA337:$AJ337)</f>
        <v>0</v>
      </c>
      <c r="U337" s="14" cm="1">
        <f t="array" ref="U337">SUM(_xlfn.XLOOKUP(TablaSeleccionControladores[[#Headers],[M4-CGE04060-0]:[M4-XPM18000-0]],TablaControladores[[REFERENCIA]:[REFERENCIA]],TablaControladores[EU])*$AA337:$AJ337)</f>
        <v>21</v>
      </c>
      <c r="V337" s="14" cm="1">
        <f t="array" ref="V337">SUM(_xlfn.XLOOKUP(TablaSeleccionControladores[[#Headers],[M4-CGE04060-0]:[M4-XPM18000-0]],TablaControladores[[REFERENCIA]:[REFERENCIA]],TablaControladores[ED])*$AA337:$AJ337)</f>
        <v>25</v>
      </c>
      <c r="W337" s="14" cm="1">
        <f t="array" ref="W337">SUM(_xlfn.XLOOKUP(TablaSeleccionControladores[[#Headers],[M4-CGE04060-0]:[M4-XPM18000-0]],TablaControladores[[REFERENCIA]:[REFERENCIA]],TablaControladores[SA])*$AA337:$AJ337)</f>
        <v>6</v>
      </c>
      <c r="X337" s="14" cm="1">
        <f t="array" ref="X337">SUM(_xlfn.XLOOKUP(TablaSeleccionControladores[[#Headers],[M4-CGE04060-0]:[M4-XPM18000-0]],TablaControladores[[REFERENCIA]:[REFERENCIA]],TablaControladores[SC])*$AA337:$AJ337)</f>
        <v>15</v>
      </c>
      <c r="Y337" s="14" cm="1">
        <f t="array" ref="Y337">SUM(_xlfn.XLOOKUP(TablaSeleccionControladores[[#Headers],[M4-CGE04060-0]:[M4-XPM18000-0]],TablaControladores[[REFERENCIA]:[REFERENCIA]],TablaControladores[SD])*$AA337:$AJ337)</f>
        <v>15</v>
      </c>
      <c r="Z337" s="14">
        <f>SUM(TablaSeleccionControladores[[#This Row],[EA]:[SD]])</f>
        <v>82</v>
      </c>
      <c r="AD337" s="14">
        <v>1</v>
      </c>
      <c r="AH337" s="14">
        <v>1</v>
      </c>
      <c r="AI337" s="14">
        <v>2</v>
      </c>
      <c r="AJ337" s="14">
        <v>1</v>
      </c>
    </row>
    <row r="338" spans="17:36" x14ac:dyDescent="0.25">
      <c r="Q338">
        <f t="shared" si="7"/>
        <v>228</v>
      </c>
      <c r="R338" t="s">
        <v>829</v>
      </c>
      <c r="S338">
        <f>SUM(TablaSeleccionControladores[[#This Row],[M4-CGE04060-0]:[M4-CGM09090-0H]])</f>
        <v>1</v>
      </c>
      <c r="T338" s="14" cm="1">
        <f t="array" ref="T338">SUM(_xlfn.XLOOKUP(TablaSeleccionControladores[[#Headers],[M4-CGE04060-0]:[M4-XPM18000-0]],TablaControladores[[REFERENCIA]:[REFERENCIA]],TablaControladores[EA])*$AA338:$AJ338)</f>
        <v>0</v>
      </c>
      <c r="U338" s="14" cm="1">
        <f t="array" ref="U338">SUM(_xlfn.XLOOKUP(TablaSeleccionControladores[[#Headers],[M4-CGE04060-0]:[M4-XPM18000-0]],TablaControladores[[REFERENCIA]:[REFERENCIA]],TablaControladores[EU])*$AA338:$AJ338)</f>
        <v>21</v>
      </c>
      <c r="V338" s="14" cm="1">
        <f t="array" ref="V338">SUM(_xlfn.XLOOKUP(TablaSeleccionControladores[[#Headers],[M4-CGE04060-0]:[M4-XPM18000-0]],TablaControladores[[REFERENCIA]:[REFERENCIA]],TablaControladores[ED])*$AA338:$AJ338)</f>
        <v>43</v>
      </c>
      <c r="W338" s="14" cm="1">
        <f t="array" ref="W338">SUM(_xlfn.XLOOKUP(TablaSeleccionControladores[[#Headers],[M4-CGE04060-0]:[M4-XPM18000-0]],TablaControladores[[REFERENCIA]:[REFERENCIA]],TablaControladores[SA])*$AA338:$AJ338)</f>
        <v>6</v>
      </c>
      <c r="X338" s="14" cm="1">
        <f t="array" ref="X338">SUM(_xlfn.XLOOKUP(TablaSeleccionControladores[[#Headers],[M4-CGE04060-0]:[M4-XPM18000-0]],TablaControladores[[REFERENCIA]:[REFERENCIA]],TablaControladores[SC])*$AA338:$AJ338)</f>
        <v>15</v>
      </c>
      <c r="Y338" s="14" cm="1">
        <f t="array" ref="Y338">SUM(_xlfn.XLOOKUP(TablaSeleccionControladores[[#Headers],[M4-CGE04060-0]:[M4-XPM18000-0]],TablaControladores[[REFERENCIA]:[REFERENCIA]],TablaControladores[SD])*$AA338:$AJ338)</f>
        <v>15</v>
      </c>
      <c r="Z338" s="14">
        <f>SUM(TablaSeleccionControladores[[#This Row],[EA]:[SD]])</f>
        <v>100</v>
      </c>
      <c r="AD338" s="14">
        <v>1</v>
      </c>
      <c r="AH338" s="14">
        <v>1</v>
      </c>
      <c r="AI338" s="14">
        <v>2</v>
      </c>
      <c r="AJ338" s="14">
        <v>2</v>
      </c>
    </row>
    <row r="339" spans="17:36" x14ac:dyDescent="0.25">
      <c r="Q339">
        <f t="shared" si="7"/>
        <v>229</v>
      </c>
      <c r="R339" t="s">
        <v>829</v>
      </c>
      <c r="S339">
        <f>SUM(TablaSeleccionControladores[[#This Row],[M4-CGE04060-0]:[M4-CGM09090-0H]])</f>
        <v>1</v>
      </c>
      <c r="T339" s="14" cm="1">
        <f t="array" ref="T339">SUM(_xlfn.XLOOKUP(TablaSeleccionControladores[[#Headers],[M4-CGE04060-0]:[M4-XPM18000-0]],TablaControladores[[REFERENCIA]:[REFERENCIA]],TablaControladores[EA])*$AA339:$AJ339)</f>
        <v>0</v>
      </c>
      <c r="U339" s="14" cm="1">
        <f t="array" ref="U339">SUM(_xlfn.XLOOKUP(TablaSeleccionControladores[[#Headers],[M4-CGE04060-0]:[M4-XPM18000-0]],TablaControladores[[REFERENCIA]:[REFERENCIA]],TablaControladores[EU])*$AA339:$AJ339)</f>
        <v>21</v>
      </c>
      <c r="V339" s="14" cm="1">
        <f t="array" ref="V339">SUM(_xlfn.XLOOKUP(TablaSeleccionControladores[[#Headers],[M4-CGE04060-0]:[M4-XPM18000-0]],TablaControladores[[REFERENCIA]:[REFERENCIA]],TablaControladores[ED])*$AA339:$AJ339)</f>
        <v>61</v>
      </c>
      <c r="W339" s="14" cm="1">
        <f t="array" ref="W339">SUM(_xlfn.XLOOKUP(TablaSeleccionControladores[[#Headers],[M4-CGE04060-0]:[M4-XPM18000-0]],TablaControladores[[REFERENCIA]:[REFERENCIA]],TablaControladores[SA])*$AA339:$AJ339)</f>
        <v>6</v>
      </c>
      <c r="X339" s="14" cm="1">
        <f t="array" ref="X339">SUM(_xlfn.XLOOKUP(TablaSeleccionControladores[[#Headers],[M4-CGE04060-0]:[M4-XPM18000-0]],TablaControladores[[REFERENCIA]:[REFERENCIA]],TablaControladores[SC])*$AA339:$AJ339)</f>
        <v>15</v>
      </c>
      <c r="Y339" s="14" cm="1">
        <f t="array" ref="Y339">SUM(_xlfn.XLOOKUP(TablaSeleccionControladores[[#Headers],[M4-CGE04060-0]:[M4-XPM18000-0]],TablaControladores[[REFERENCIA]:[REFERENCIA]],TablaControladores[SD])*$AA339:$AJ339)</f>
        <v>15</v>
      </c>
      <c r="Z339" s="14">
        <f>SUM(TablaSeleccionControladores[[#This Row],[EA]:[SD]])</f>
        <v>118</v>
      </c>
      <c r="AD339" s="14">
        <v>1</v>
      </c>
      <c r="AH339" s="14">
        <v>1</v>
      </c>
      <c r="AI339" s="14">
        <v>2</v>
      </c>
      <c r="AJ339" s="14">
        <v>3</v>
      </c>
    </row>
    <row r="340" spans="17:36" x14ac:dyDescent="0.25">
      <c r="Q340">
        <f t="shared" si="7"/>
        <v>230</v>
      </c>
      <c r="R340" t="s">
        <v>829</v>
      </c>
      <c r="S340">
        <f>SUM(TablaSeleccionControladores[[#This Row],[M4-CGE04060-0]:[M4-CGM09090-0H]])</f>
        <v>1</v>
      </c>
      <c r="T340" s="14" cm="1">
        <f t="array" ref="T340">SUM(_xlfn.XLOOKUP(TablaSeleccionControladores[[#Headers],[M4-CGE04060-0]:[M4-XPM18000-0]],TablaControladores[[REFERENCIA]:[REFERENCIA]],TablaControladores[EA])*$AA340:$AJ340)</f>
        <v>0</v>
      </c>
      <c r="U340" s="14" cm="1">
        <f t="array" ref="U340">SUM(_xlfn.XLOOKUP(TablaSeleccionControladores[[#Headers],[M4-CGE04060-0]:[M4-XPM18000-0]],TablaControladores[[REFERENCIA]:[REFERENCIA]],TablaControladores[EU])*$AA340:$AJ340)</f>
        <v>28</v>
      </c>
      <c r="V340" s="14" cm="1">
        <f t="array" ref="V340">SUM(_xlfn.XLOOKUP(TablaSeleccionControladores[[#Headers],[M4-CGE04060-0]:[M4-XPM18000-0]],TablaControladores[[REFERENCIA]:[REFERENCIA]],TablaControladores[ED])*$AA340:$AJ340)</f>
        <v>9</v>
      </c>
      <c r="W340" s="14" cm="1">
        <f t="array" ref="W340">SUM(_xlfn.XLOOKUP(TablaSeleccionControladores[[#Headers],[M4-CGE04060-0]:[M4-XPM18000-0]],TablaControladores[[REFERENCIA]:[REFERENCIA]],TablaControladores[SA])*$AA340:$AJ340)</f>
        <v>8</v>
      </c>
      <c r="X340" s="14" cm="1">
        <f t="array" ref="X340">SUM(_xlfn.XLOOKUP(TablaSeleccionControladores[[#Headers],[M4-CGE04060-0]:[M4-XPM18000-0]],TablaControladores[[REFERENCIA]:[REFERENCIA]],TablaControladores[SC])*$AA340:$AJ340)</f>
        <v>19</v>
      </c>
      <c r="Y340" s="14" cm="1">
        <f t="array" ref="Y340">SUM(_xlfn.XLOOKUP(TablaSeleccionControladores[[#Headers],[M4-CGE04060-0]:[M4-XPM18000-0]],TablaControladores[[REFERENCIA]:[REFERENCIA]],TablaControladores[SD])*$AA340:$AJ340)</f>
        <v>18</v>
      </c>
      <c r="Z340" s="14">
        <f>SUM(TablaSeleccionControladores[[#This Row],[EA]:[SD]])</f>
        <v>82</v>
      </c>
      <c r="AD340" s="14">
        <v>1</v>
      </c>
      <c r="AH340" s="14">
        <v>1</v>
      </c>
      <c r="AI340" s="14">
        <v>3</v>
      </c>
      <c r="AJ340" s="14">
        <v>0</v>
      </c>
    </row>
    <row r="341" spans="17:36" x14ac:dyDescent="0.25">
      <c r="Q341">
        <f t="shared" si="7"/>
        <v>231</v>
      </c>
      <c r="R341" t="s">
        <v>829</v>
      </c>
      <c r="S341">
        <f>SUM(TablaSeleccionControladores[[#This Row],[M4-CGE04060-0]:[M4-CGM09090-0H]])</f>
        <v>1</v>
      </c>
      <c r="T341" s="14" cm="1">
        <f t="array" ref="T341">SUM(_xlfn.XLOOKUP(TablaSeleccionControladores[[#Headers],[M4-CGE04060-0]:[M4-XPM18000-0]],TablaControladores[[REFERENCIA]:[REFERENCIA]],TablaControladores[EA])*$AA341:$AJ341)</f>
        <v>0</v>
      </c>
      <c r="U341" s="14" cm="1">
        <f t="array" ref="U341">SUM(_xlfn.XLOOKUP(TablaSeleccionControladores[[#Headers],[M4-CGE04060-0]:[M4-XPM18000-0]],TablaControladores[[REFERENCIA]:[REFERENCIA]],TablaControladores[EU])*$AA341:$AJ341)</f>
        <v>28</v>
      </c>
      <c r="V341" s="14" cm="1">
        <f t="array" ref="V341">SUM(_xlfn.XLOOKUP(TablaSeleccionControladores[[#Headers],[M4-CGE04060-0]:[M4-XPM18000-0]],TablaControladores[[REFERENCIA]:[REFERENCIA]],TablaControladores[ED])*$AA341:$AJ341)</f>
        <v>27</v>
      </c>
      <c r="W341" s="14" cm="1">
        <f t="array" ref="W341">SUM(_xlfn.XLOOKUP(TablaSeleccionControladores[[#Headers],[M4-CGE04060-0]:[M4-XPM18000-0]],TablaControladores[[REFERENCIA]:[REFERENCIA]],TablaControladores[SA])*$AA341:$AJ341)</f>
        <v>8</v>
      </c>
      <c r="X341" s="14" cm="1">
        <f t="array" ref="X341">SUM(_xlfn.XLOOKUP(TablaSeleccionControladores[[#Headers],[M4-CGE04060-0]:[M4-XPM18000-0]],TablaControladores[[REFERENCIA]:[REFERENCIA]],TablaControladores[SC])*$AA341:$AJ341)</f>
        <v>19</v>
      </c>
      <c r="Y341" s="14" cm="1">
        <f t="array" ref="Y341">SUM(_xlfn.XLOOKUP(TablaSeleccionControladores[[#Headers],[M4-CGE04060-0]:[M4-XPM18000-0]],TablaControladores[[REFERENCIA]:[REFERENCIA]],TablaControladores[SD])*$AA341:$AJ341)</f>
        <v>18</v>
      </c>
      <c r="Z341" s="14">
        <f>SUM(TablaSeleccionControladores[[#This Row],[EA]:[SD]])</f>
        <v>100</v>
      </c>
      <c r="AD341" s="14">
        <v>1</v>
      </c>
      <c r="AH341" s="14">
        <v>1</v>
      </c>
      <c r="AI341" s="14">
        <v>3</v>
      </c>
      <c r="AJ341" s="14">
        <v>1</v>
      </c>
    </row>
    <row r="342" spans="17:36" x14ac:dyDescent="0.25">
      <c r="Q342">
        <f t="shared" si="7"/>
        <v>232</v>
      </c>
      <c r="R342" t="s">
        <v>829</v>
      </c>
      <c r="S342">
        <f>SUM(TablaSeleccionControladores[[#This Row],[M4-CGE04060-0]:[M4-CGM09090-0H]])</f>
        <v>1</v>
      </c>
      <c r="T342" s="14" cm="1">
        <f t="array" ref="T342">SUM(_xlfn.XLOOKUP(TablaSeleccionControladores[[#Headers],[M4-CGE04060-0]:[M4-XPM18000-0]],TablaControladores[[REFERENCIA]:[REFERENCIA]],TablaControladores[EA])*$AA342:$AJ342)</f>
        <v>0</v>
      </c>
      <c r="U342" s="14" cm="1">
        <f t="array" ref="U342">SUM(_xlfn.XLOOKUP(TablaSeleccionControladores[[#Headers],[M4-CGE04060-0]:[M4-XPM18000-0]],TablaControladores[[REFERENCIA]:[REFERENCIA]],TablaControladores[EU])*$AA342:$AJ342)</f>
        <v>28</v>
      </c>
      <c r="V342" s="14" cm="1">
        <f t="array" ref="V342">SUM(_xlfn.XLOOKUP(TablaSeleccionControladores[[#Headers],[M4-CGE04060-0]:[M4-XPM18000-0]],TablaControladores[[REFERENCIA]:[REFERENCIA]],TablaControladores[ED])*$AA342:$AJ342)</f>
        <v>45</v>
      </c>
      <c r="W342" s="14" cm="1">
        <f t="array" ref="W342">SUM(_xlfn.XLOOKUP(TablaSeleccionControladores[[#Headers],[M4-CGE04060-0]:[M4-XPM18000-0]],TablaControladores[[REFERENCIA]:[REFERENCIA]],TablaControladores[SA])*$AA342:$AJ342)</f>
        <v>8</v>
      </c>
      <c r="X342" s="14" cm="1">
        <f t="array" ref="X342">SUM(_xlfn.XLOOKUP(TablaSeleccionControladores[[#Headers],[M4-CGE04060-0]:[M4-XPM18000-0]],TablaControladores[[REFERENCIA]:[REFERENCIA]],TablaControladores[SC])*$AA342:$AJ342)</f>
        <v>19</v>
      </c>
      <c r="Y342" s="14" cm="1">
        <f t="array" ref="Y342">SUM(_xlfn.XLOOKUP(TablaSeleccionControladores[[#Headers],[M4-CGE04060-0]:[M4-XPM18000-0]],TablaControladores[[REFERENCIA]:[REFERENCIA]],TablaControladores[SD])*$AA342:$AJ342)</f>
        <v>18</v>
      </c>
      <c r="Z342" s="14">
        <f>SUM(TablaSeleccionControladores[[#This Row],[EA]:[SD]])</f>
        <v>118</v>
      </c>
      <c r="AD342" s="14">
        <v>1</v>
      </c>
      <c r="AH342" s="14">
        <v>1</v>
      </c>
      <c r="AI342" s="14">
        <v>3</v>
      </c>
      <c r="AJ342" s="14">
        <v>2</v>
      </c>
    </row>
    <row r="343" spans="17:36" x14ac:dyDescent="0.25">
      <c r="Q343">
        <f t="shared" si="7"/>
        <v>233</v>
      </c>
      <c r="R343" t="s">
        <v>829</v>
      </c>
      <c r="S343">
        <f>SUM(TablaSeleccionControladores[[#This Row],[M4-CGE04060-0]:[M4-CGM09090-0H]])</f>
        <v>1</v>
      </c>
      <c r="T343" s="14" cm="1">
        <f t="array" ref="T343">SUM(_xlfn.XLOOKUP(TablaSeleccionControladores[[#Headers],[M4-CGE04060-0]:[M4-XPM18000-0]],TablaControladores[[REFERENCIA]:[REFERENCIA]],TablaControladores[EA])*$AA343:$AJ343)</f>
        <v>0</v>
      </c>
      <c r="U343" s="14" cm="1">
        <f t="array" ref="U343">SUM(_xlfn.XLOOKUP(TablaSeleccionControladores[[#Headers],[M4-CGE04060-0]:[M4-XPM18000-0]],TablaControladores[[REFERENCIA]:[REFERENCIA]],TablaControladores[EU])*$AA343:$AJ343)</f>
        <v>35</v>
      </c>
      <c r="V343" s="14" cm="1">
        <f t="array" ref="V343">SUM(_xlfn.XLOOKUP(TablaSeleccionControladores[[#Headers],[M4-CGE04060-0]:[M4-XPM18000-0]],TablaControladores[[REFERENCIA]:[REFERENCIA]],TablaControladores[ED])*$AA343:$AJ343)</f>
        <v>11</v>
      </c>
      <c r="W343" s="14" cm="1">
        <f t="array" ref="W343">SUM(_xlfn.XLOOKUP(TablaSeleccionControladores[[#Headers],[M4-CGE04060-0]:[M4-XPM18000-0]],TablaControladores[[REFERENCIA]:[REFERENCIA]],TablaControladores[SA])*$AA343:$AJ343)</f>
        <v>10</v>
      </c>
      <c r="X343" s="14" cm="1">
        <f t="array" ref="X343">SUM(_xlfn.XLOOKUP(TablaSeleccionControladores[[#Headers],[M4-CGE04060-0]:[M4-XPM18000-0]],TablaControladores[[REFERENCIA]:[REFERENCIA]],TablaControladores[SC])*$AA343:$AJ343)</f>
        <v>23</v>
      </c>
      <c r="Y343" s="14" cm="1">
        <f t="array" ref="Y343">SUM(_xlfn.XLOOKUP(TablaSeleccionControladores[[#Headers],[M4-CGE04060-0]:[M4-XPM18000-0]],TablaControladores[[REFERENCIA]:[REFERENCIA]],TablaControladores[SD])*$AA343:$AJ343)</f>
        <v>21</v>
      </c>
      <c r="Z343" s="14">
        <f>SUM(TablaSeleccionControladores[[#This Row],[EA]:[SD]])</f>
        <v>100</v>
      </c>
      <c r="AD343" s="14">
        <v>1</v>
      </c>
      <c r="AH343" s="14">
        <v>1</v>
      </c>
      <c r="AI343" s="14">
        <v>4</v>
      </c>
      <c r="AJ343" s="14">
        <v>0</v>
      </c>
    </row>
    <row r="344" spans="17:36" x14ac:dyDescent="0.25">
      <c r="Q344">
        <f t="shared" si="7"/>
        <v>234</v>
      </c>
      <c r="R344" t="s">
        <v>829</v>
      </c>
      <c r="S344">
        <f>SUM(TablaSeleccionControladores[[#This Row],[M4-CGE04060-0]:[M4-CGM09090-0H]])</f>
        <v>1</v>
      </c>
      <c r="T344" s="14" cm="1">
        <f t="array" ref="T344">SUM(_xlfn.XLOOKUP(TablaSeleccionControladores[[#Headers],[M4-CGE04060-0]:[M4-XPM18000-0]],TablaControladores[[REFERENCIA]:[REFERENCIA]],TablaControladores[EA])*$AA344:$AJ344)</f>
        <v>0</v>
      </c>
      <c r="U344" s="14" cm="1">
        <f t="array" ref="U344">SUM(_xlfn.XLOOKUP(TablaSeleccionControladores[[#Headers],[M4-CGE04060-0]:[M4-XPM18000-0]],TablaControladores[[REFERENCIA]:[REFERENCIA]],TablaControladores[EU])*$AA344:$AJ344)</f>
        <v>35</v>
      </c>
      <c r="V344" s="14" cm="1">
        <f t="array" ref="V344">SUM(_xlfn.XLOOKUP(TablaSeleccionControladores[[#Headers],[M4-CGE04060-0]:[M4-XPM18000-0]],TablaControladores[[REFERENCIA]:[REFERENCIA]],TablaControladores[ED])*$AA344:$AJ344)</f>
        <v>29</v>
      </c>
      <c r="W344" s="14" cm="1">
        <f t="array" ref="W344">SUM(_xlfn.XLOOKUP(TablaSeleccionControladores[[#Headers],[M4-CGE04060-0]:[M4-XPM18000-0]],TablaControladores[[REFERENCIA]:[REFERENCIA]],TablaControladores[SA])*$AA344:$AJ344)</f>
        <v>10</v>
      </c>
      <c r="X344" s="14" cm="1">
        <f t="array" ref="X344">SUM(_xlfn.XLOOKUP(TablaSeleccionControladores[[#Headers],[M4-CGE04060-0]:[M4-XPM18000-0]],TablaControladores[[REFERENCIA]:[REFERENCIA]],TablaControladores[SC])*$AA344:$AJ344)</f>
        <v>23</v>
      </c>
      <c r="Y344" s="14" cm="1">
        <f t="array" ref="Y344">SUM(_xlfn.XLOOKUP(TablaSeleccionControladores[[#Headers],[M4-CGE04060-0]:[M4-XPM18000-0]],TablaControladores[[REFERENCIA]:[REFERENCIA]],TablaControladores[SD])*$AA344:$AJ344)</f>
        <v>21</v>
      </c>
      <c r="Z344" s="14">
        <f>SUM(TablaSeleccionControladores[[#This Row],[EA]:[SD]])</f>
        <v>118</v>
      </c>
      <c r="AD344" s="14">
        <v>1</v>
      </c>
      <c r="AH344" s="14">
        <v>1</v>
      </c>
      <c r="AI344" s="14">
        <v>4</v>
      </c>
      <c r="AJ344" s="14">
        <v>1</v>
      </c>
    </row>
    <row r="345" spans="17:36" x14ac:dyDescent="0.25">
      <c r="Q345">
        <f t="shared" si="7"/>
        <v>235</v>
      </c>
      <c r="R345" t="s">
        <v>829</v>
      </c>
      <c r="S345">
        <f>SUM(TablaSeleccionControladores[[#This Row],[M4-CGE04060-0]:[M4-CGM09090-0H]])</f>
        <v>1</v>
      </c>
      <c r="T345" s="14" cm="1">
        <f t="array" ref="T345">SUM(_xlfn.XLOOKUP(TablaSeleccionControladores[[#Headers],[M4-CGE04060-0]:[M4-XPM18000-0]],TablaControladores[[REFERENCIA]:[REFERENCIA]],TablaControladores[EA])*$AA345:$AJ345)</f>
        <v>0</v>
      </c>
      <c r="U345" s="14" cm="1">
        <f t="array" ref="U345">SUM(_xlfn.XLOOKUP(TablaSeleccionControladores[[#Headers],[M4-CGE04060-0]:[M4-XPM18000-0]],TablaControladores[[REFERENCIA]:[REFERENCIA]],TablaControladores[EU])*$AA345:$AJ345)</f>
        <v>10</v>
      </c>
      <c r="V345" s="14" cm="1">
        <f t="array" ref="V345">SUM(_xlfn.XLOOKUP(TablaSeleccionControladores[[#Headers],[M4-CGE04060-0]:[M4-XPM18000-0]],TablaControladores[[REFERENCIA]:[REFERENCIA]],TablaControladores[ED])*$AA345:$AJ345)</f>
        <v>4</v>
      </c>
      <c r="W345" s="14" cm="1">
        <f t="array" ref="W345">SUM(_xlfn.XLOOKUP(TablaSeleccionControladores[[#Headers],[M4-CGE04060-0]:[M4-XPM18000-0]],TablaControladores[[REFERENCIA]:[REFERENCIA]],TablaControladores[SA])*$AA345:$AJ345)</f>
        <v>4</v>
      </c>
      <c r="X345" s="14" cm="1">
        <f t="array" ref="X345">SUM(_xlfn.XLOOKUP(TablaSeleccionControladores[[#Headers],[M4-CGE04060-0]:[M4-XPM18000-0]],TablaControladores[[REFERENCIA]:[REFERENCIA]],TablaControladores[SC])*$AA345:$AJ345)</f>
        <v>11</v>
      </c>
      <c r="Y345" s="14" cm="1">
        <f t="array" ref="Y345">SUM(_xlfn.XLOOKUP(TablaSeleccionControladores[[#Headers],[M4-CGE04060-0]:[M4-XPM18000-0]],TablaControladores[[REFERENCIA]:[REFERENCIA]],TablaControladores[SD])*$AA345:$AJ345)</f>
        <v>12</v>
      </c>
      <c r="Z345" s="14">
        <f>SUM(TablaSeleccionControladores[[#This Row],[EA]:[SD]])</f>
        <v>41</v>
      </c>
      <c r="AD345" s="14">
        <v>1</v>
      </c>
      <c r="AH345" s="14">
        <v>2</v>
      </c>
      <c r="AI345" s="14">
        <v>0</v>
      </c>
      <c r="AJ345" s="14">
        <v>0</v>
      </c>
    </row>
    <row r="346" spans="17:36" x14ac:dyDescent="0.25">
      <c r="Q346">
        <f t="shared" si="7"/>
        <v>236</v>
      </c>
      <c r="R346" t="s">
        <v>829</v>
      </c>
      <c r="S346">
        <f>SUM(TablaSeleccionControladores[[#This Row],[M4-CGE04060-0]:[M4-CGM09090-0H]])</f>
        <v>1</v>
      </c>
      <c r="T346" s="14" cm="1">
        <f t="array" ref="T346">SUM(_xlfn.XLOOKUP(TablaSeleccionControladores[[#Headers],[M4-CGE04060-0]:[M4-XPM18000-0]],TablaControladores[[REFERENCIA]:[REFERENCIA]],TablaControladores[EA])*$AA346:$AJ346)</f>
        <v>0</v>
      </c>
      <c r="U346" s="14" cm="1">
        <f t="array" ref="U346">SUM(_xlfn.XLOOKUP(TablaSeleccionControladores[[#Headers],[M4-CGE04060-0]:[M4-XPM18000-0]],TablaControladores[[REFERENCIA]:[REFERENCIA]],TablaControladores[EU])*$AA346:$AJ346)</f>
        <v>10</v>
      </c>
      <c r="V346" s="14" cm="1">
        <f t="array" ref="V346">SUM(_xlfn.XLOOKUP(TablaSeleccionControladores[[#Headers],[M4-CGE04060-0]:[M4-XPM18000-0]],TablaControladores[[REFERENCIA]:[REFERENCIA]],TablaControladores[ED])*$AA346:$AJ346)</f>
        <v>22</v>
      </c>
      <c r="W346" s="14" cm="1">
        <f t="array" ref="W346">SUM(_xlfn.XLOOKUP(TablaSeleccionControladores[[#Headers],[M4-CGE04060-0]:[M4-XPM18000-0]],TablaControladores[[REFERENCIA]:[REFERENCIA]],TablaControladores[SA])*$AA346:$AJ346)</f>
        <v>4</v>
      </c>
      <c r="X346" s="14" cm="1">
        <f t="array" ref="X346">SUM(_xlfn.XLOOKUP(TablaSeleccionControladores[[#Headers],[M4-CGE04060-0]:[M4-XPM18000-0]],TablaControladores[[REFERENCIA]:[REFERENCIA]],TablaControladores[SC])*$AA346:$AJ346)</f>
        <v>11</v>
      </c>
      <c r="Y346" s="14" cm="1">
        <f t="array" ref="Y346">SUM(_xlfn.XLOOKUP(TablaSeleccionControladores[[#Headers],[M4-CGE04060-0]:[M4-XPM18000-0]],TablaControladores[[REFERENCIA]:[REFERENCIA]],TablaControladores[SD])*$AA346:$AJ346)</f>
        <v>12</v>
      </c>
      <c r="Z346" s="14">
        <f>SUM(TablaSeleccionControladores[[#This Row],[EA]:[SD]])</f>
        <v>59</v>
      </c>
      <c r="AD346" s="14">
        <v>1</v>
      </c>
      <c r="AH346" s="14">
        <v>2</v>
      </c>
      <c r="AI346" s="14">
        <v>0</v>
      </c>
      <c r="AJ346" s="14">
        <v>1</v>
      </c>
    </row>
    <row r="347" spans="17:36" x14ac:dyDescent="0.25">
      <c r="Q347">
        <f t="shared" si="7"/>
        <v>237</v>
      </c>
      <c r="R347" t="s">
        <v>829</v>
      </c>
      <c r="S347">
        <f>SUM(TablaSeleccionControladores[[#This Row],[M4-CGE04060-0]:[M4-CGM09090-0H]])</f>
        <v>1</v>
      </c>
      <c r="T347" s="14" cm="1">
        <f t="array" ref="T347">SUM(_xlfn.XLOOKUP(TablaSeleccionControladores[[#Headers],[M4-CGE04060-0]:[M4-XPM18000-0]],TablaControladores[[REFERENCIA]:[REFERENCIA]],TablaControladores[EA])*$AA347:$AJ347)</f>
        <v>0</v>
      </c>
      <c r="U347" s="14" cm="1">
        <f t="array" ref="U347">SUM(_xlfn.XLOOKUP(TablaSeleccionControladores[[#Headers],[M4-CGE04060-0]:[M4-XPM18000-0]],TablaControladores[[REFERENCIA]:[REFERENCIA]],TablaControladores[EU])*$AA347:$AJ347)</f>
        <v>10</v>
      </c>
      <c r="V347" s="14" cm="1">
        <f t="array" ref="V347">SUM(_xlfn.XLOOKUP(TablaSeleccionControladores[[#Headers],[M4-CGE04060-0]:[M4-XPM18000-0]],TablaControladores[[REFERENCIA]:[REFERENCIA]],TablaControladores[ED])*$AA347:$AJ347)</f>
        <v>40</v>
      </c>
      <c r="W347" s="14" cm="1">
        <f t="array" ref="W347">SUM(_xlfn.XLOOKUP(TablaSeleccionControladores[[#Headers],[M4-CGE04060-0]:[M4-XPM18000-0]],TablaControladores[[REFERENCIA]:[REFERENCIA]],TablaControladores[SA])*$AA347:$AJ347)</f>
        <v>4</v>
      </c>
      <c r="X347" s="14" cm="1">
        <f t="array" ref="X347">SUM(_xlfn.XLOOKUP(TablaSeleccionControladores[[#Headers],[M4-CGE04060-0]:[M4-XPM18000-0]],TablaControladores[[REFERENCIA]:[REFERENCIA]],TablaControladores[SC])*$AA347:$AJ347)</f>
        <v>11</v>
      </c>
      <c r="Y347" s="14" cm="1">
        <f t="array" ref="Y347">SUM(_xlfn.XLOOKUP(TablaSeleccionControladores[[#Headers],[M4-CGE04060-0]:[M4-XPM18000-0]],TablaControladores[[REFERENCIA]:[REFERENCIA]],TablaControladores[SD])*$AA347:$AJ347)</f>
        <v>12</v>
      </c>
      <c r="Z347" s="14">
        <f>SUM(TablaSeleccionControladores[[#This Row],[EA]:[SD]])</f>
        <v>77</v>
      </c>
      <c r="AD347" s="14">
        <v>1</v>
      </c>
      <c r="AH347" s="14">
        <v>2</v>
      </c>
      <c r="AI347" s="14">
        <v>0</v>
      </c>
      <c r="AJ347" s="14">
        <v>2</v>
      </c>
    </row>
    <row r="348" spans="17:36" x14ac:dyDescent="0.25">
      <c r="Q348">
        <f t="shared" si="7"/>
        <v>238</v>
      </c>
      <c r="R348" t="s">
        <v>829</v>
      </c>
      <c r="S348">
        <f>SUM(TablaSeleccionControladores[[#This Row],[M4-CGE04060-0]:[M4-CGM09090-0H]])</f>
        <v>1</v>
      </c>
      <c r="T348" s="14" cm="1">
        <f t="array" ref="T348">SUM(_xlfn.XLOOKUP(TablaSeleccionControladores[[#Headers],[M4-CGE04060-0]:[M4-XPM18000-0]],TablaControladores[[REFERENCIA]:[REFERENCIA]],TablaControladores[EA])*$AA348:$AJ348)</f>
        <v>0</v>
      </c>
      <c r="U348" s="14" cm="1">
        <f t="array" ref="U348">SUM(_xlfn.XLOOKUP(TablaSeleccionControladores[[#Headers],[M4-CGE04060-0]:[M4-XPM18000-0]],TablaControladores[[REFERENCIA]:[REFERENCIA]],TablaControladores[EU])*$AA348:$AJ348)</f>
        <v>10</v>
      </c>
      <c r="V348" s="14" cm="1">
        <f t="array" ref="V348">SUM(_xlfn.XLOOKUP(TablaSeleccionControladores[[#Headers],[M4-CGE04060-0]:[M4-XPM18000-0]],TablaControladores[[REFERENCIA]:[REFERENCIA]],TablaControladores[ED])*$AA348:$AJ348)</f>
        <v>58</v>
      </c>
      <c r="W348" s="14" cm="1">
        <f t="array" ref="W348">SUM(_xlfn.XLOOKUP(TablaSeleccionControladores[[#Headers],[M4-CGE04060-0]:[M4-XPM18000-0]],TablaControladores[[REFERENCIA]:[REFERENCIA]],TablaControladores[SA])*$AA348:$AJ348)</f>
        <v>4</v>
      </c>
      <c r="X348" s="14" cm="1">
        <f t="array" ref="X348">SUM(_xlfn.XLOOKUP(TablaSeleccionControladores[[#Headers],[M4-CGE04060-0]:[M4-XPM18000-0]],TablaControladores[[REFERENCIA]:[REFERENCIA]],TablaControladores[SC])*$AA348:$AJ348)</f>
        <v>11</v>
      </c>
      <c r="Y348" s="14" cm="1">
        <f t="array" ref="Y348">SUM(_xlfn.XLOOKUP(TablaSeleccionControladores[[#Headers],[M4-CGE04060-0]:[M4-XPM18000-0]],TablaControladores[[REFERENCIA]:[REFERENCIA]],TablaControladores[SD])*$AA348:$AJ348)</f>
        <v>12</v>
      </c>
      <c r="Z348" s="14">
        <f>SUM(TablaSeleccionControladores[[#This Row],[EA]:[SD]])</f>
        <v>95</v>
      </c>
      <c r="AD348" s="14">
        <v>1</v>
      </c>
      <c r="AH348" s="14">
        <v>2</v>
      </c>
      <c r="AI348" s="14">
        <v>0</v>
      </c>
      <c r="AJ348" s="14">
        <v>3</v>
      </c>
    </row>
    <row r="349" spans="17:36" x14ac:dyDescent="0.25">
      <c r="Q349">
        <f t="shared" si="7"/>
        <v>239</v>
      </c>
      <c r="R349" t="s">
        <v>829</v>
      </c>
      <c r="S349">
        <f>SUM(TablaSeleccionControladores[[#This Row],[M4-CGE04060-0]:[M4-CGM09090-0H]])</f>
        <v>1</v>
      </c>
      <c r="T349" s="14" cm="1">
        <f t="array" ref="T349">SUM(_xlfn.XLOOKUP(TablaSeleccionControladores[[#Headers],[M4-CGE04060-0]:[M4-XPM18000-0]],TablaControladores[[REFERENCIA]:[REFERENCIA]],TablaControladores[EA])*$AA349:$AJ349)</f>
        <v>0</v>
      </c>
      <c r="U349" s="14" cm="1">
        <f t="array" ref="U349">SUM(_xlfn.XLOOKUP(TablaSeleccionControladores[[#Headers],[M4-CGE04060-0]:[M4-XPM18000-0]],TablaControladores[[REFERENCIA]:[REFERENCIA]],TablaControladores[EU])*$AA349:$AJ349)</f>
        <v>10</v>
      </c>
      <c r="V349" s="14" cm="1">
        <f t="array" ref="V349">SUM(_xlfn.XLOOKUP(TablaSeleccionControladores[[#Headers],[M4-CGE04060-0]:[M4-XPM18000-0]],TablaControladores[[REFERENCIA]:[REFERENCIA]],TablaControladores[ED])*$AA349:$AJ349)</f>
        <v>76</v>
      </c>
      <c r="W349" s="14" cm="1">
        <f t="array" ref="W349">SUM(_xlfn.XLOOKUP(TablaSeleccionControladores[[#Headers],[M4-CGE04060-0]:[M4-XPM18000-0]],TablaControladores[[REFERENCIA]:[REFERENCIA]],TablaControladores[SA])*$AA349:$AJ349)</f>
        <v>4</v>
      </c>
      <c r="X349" s="14" cm="1">
        <f t="array" ref="X349">SUM(_xlfn.XLOOKUP(TablaSeleccionControladores[[#Headers],[M4-CGE04060-0]:[M4-XPM18000-0]],TablaControladores[[REFERENCIA]:[REFERENCIA]],TablaControladores[SC])*$AA349:$AJ349)</f>
        <v>11</v>
      </c>
      <c r="Y349" s="14" cm="1">
        <f t="array" ref="Y349">SUM(_xlfn.XLOOKUP(TablaSeleccionControladores[[#Headers],[M4-CGE04060-0]:[M4-XPM18000-0]],TablaControladores[[REFERENCIA]:[REFERENCIA]],TablaControladores[SD])*$AA349:$AJ349)</f>
        <v>12</v>
      </c>
      <c r="Z349" s="14">
        <f>SUM(TablaSeleccionControladores[[#This Row],[EA]:[SD]])</f>
        <v>113</v>
      </c>
      <c r="AD349" s="14">
        <v>1</v>
      </c>
      <c r="AH349" s="14">
        <v>2</v>
      </c>
      <c r="AI349" s="14">
        <v>0</v>
      </c>
      <c r="AJ349" s="14">
        <v>4</v>
      </c>
    </row>
    <row r="350" spans="17:36" x14ac:dyDescent="0.25">
      <c r="Q350">
        <f t="shared" si="7"/>
        <v>240</v>
      </c>
      <c r="R350" t="s">
        <v>829</v>
      </c>
      <c r="S350">
        <f>SUM(TablaSeleccionControladores[[#This Row],[M4-CGE04060-0]:[M4-CGM09090-0H]])</f>
        <v>1</v>
      </c>
      <c r="T350" s="14" cm="1">
        <f t="array" ref="T350">SUM(_xlfn.XLOOKUP(TablaSeleccionControladores[[#Headers],[M4-CGE04060-0]:[M4-XPM18000-0]],TablaControladores[[REFERENCIA]:[REFERENCIA]],TablaControladores[EA])*$AA350:$AJ350)</f>
        <v>0</v>
      </c>
      <c r="U350" s="14" cm="1">
        <f t="array" ref="U350">SUM(_xlfn.XLOOKUP(TablaSeleccionControladores[[#Headers],[M4-CGE04060-0]:[M4-XPM18000-0]],TablaControladores[[REFERENCIA]:[REFERENCIA]],TablaControladores[EU])*$AA350:$AJ350)</f>
        <v>17</v>
      </c>
      <c r="V350" s="14" cm="1">
        <f t="array" ref="V350">SUM(_xlfn.XLOOKUP(TablaSeleccionControladores[[#Headers],[M4-CGE04060-0]:[M4-XPM18000-0]],TablaControladores[[REFERENCIA]:[REFERENCIA]],TablaControladores[ED])*$AA350:$AJ350)</f>
        <v>6</v>
      </c>
      <c r="W350" s="14" cm="1">
        <f t="array" ref="W350">SUM(_xlfn.XLOOKUP(TablaSeleccionControladores[[#Headers],[M4-CGE04060-0]:[M4-XPM18000-0]],TablaControladores[[REFERENCIA]:[REFERENCIA]],TablaControladores[SA])*$AA350:$AJ350)</f>
        <v>6</v>
      </c>
      <c r="X350" s="14" cm="1">
        <f t="array" ref="X350">SUM(_xlfn.XLOOKUP(TablaSeleccionControladores[[#Headers],[M4-CGE04060-0]:[M4-XPM18000-0]],TablaControladores[[REFERENCIA]:[REFERENCIA]],TablaControladores[SC])*$AA350:$AJ350)</f>
        <v>15</v>
      </c>
      <c r="Y350" s="14" cm="1">
        <f t="array" ref="Y350">SUM(_xlfn.XLOOKUP(TablaSeleccionControladores[[#Headers],[M4-CGE04060-0]:[M4-XPM18000-0]],TablaControladores[[REFERENCIA]:[REFERENCIA]],TablaControladores[SD])*$AA350:$AJ350)</f>
        <v>15</v>
      </c>
      <c r="Z350" s="14">
        <f>SUM(TablaSeleccionControladores[[#This Row],[EA]:[SD]])</f>
        <v>59</v>
      </c>
      <c r="AD350" s="14">
        <v>1</v>
      </c>
      <c r="AH350" s="14">
        <v>2</v>
      </c>
      <c r="AI350" s="14">
        <v>1</v>
      </c>
      <c r="AJ350" s="14">
        <v>0</v>
      </c>
    </row>
    <row r="351" spans="17:36" x14ac:dyDescent="0.25">
      <c r="Q351">
        <f t="shared" si="7"/>
        <v>241</v>
      </c>
      <c r="R351" t="s">
        <v>829</v>
      </c>
      <c r="S351">
        <f>SUM(TablaSeleccionControladores[[#This Row],[M4-CGE04060-0]:[M4-CGM09090-0H]])</f>
        <v>1</v>
      </c>
      <c r="T351" s="14" cm="1">
        <f t="array" ref="T351">SUM(_xlfn.XLOOKUP(TablaSeleccionControladores[[#Headers],[M4-CGE04060-0]:[M4-XPM18000-0]],TablaControladores[[REFERENCIA]:[REFERENCIA]],TablaControladores[EA])*$AA351:$AJ351)</f>
        <v>0</v>
      </c>
      <c r="U351" s="14" cm="1">
        <f t="array" ref="U351">SUM(_xlfn.XLOOKUP(TablaSeleccionControladores[[#Headers],[M4-CGE04060-0]:[M4-XPM18000-0]],TablaControladores[[REFERENCIA]:[REFERENCIA]],TablaControladores[EU])*$AA351:$AJ351)</f>
        <v>17</v>
      </c>
      <c r="V351" s="14" cm="1">
        <f t="array" ref="V351">SUM(_xlfn.XLOOKUP(TablaSeleccionControladores[[#Headers],[M4-CGE04060-0]:[M4-XPM18000-0]],TablaControladores[[REFERENCIA]:[REFERENCIA]],TablaControladores[ED])*$AA351:$AJ351)</f>
        <v>24</v>
      </c>
      <c r="W351" s="14" cm="1">
        <f t="array" ref="W351">SUM(_xlfn.XLOOKUP(TablaSeleccionControladores[[#Headers],[M4-CGE04060-0]:[M4-XPM18000-0]],TablaControladores[[REFERENCIA]:[REFERENCIA]],TablaControladores[SA])*$AA351:$AJ351)</f>
        <v>6</v>
      </c>
      <c r="X351" s="14" cm="1">
        <f t="array" ref="X351">SUM(_xlfn.XLOOKUP(TablaSeleccionControladores[[#Headers],[M4-CGE04060-0]:[M4-XPM18000-0]],TablaControladores[[REFERENCIA]:[REFERENCIA]],TablaControladores[SC])*$AA351:$AJ351)</f>
        <v>15</v>
      </c>
      <c r="Y351" s="14" cm="1">
        <f t="array" ref="Y351">SUM(_xlfn.XLOOKUP(TablaSeleccionControladores[[#Headers],[M4-CGE04060-0]:[M4-XPM18000-0]],TablaControladores[[REFERENCIA]:[REFERENCIA]],TablaControladores[SD])*$AA351:$AJ351)</f>
        <v>15</v>
      </c>
      <c r="Z351" s="14">
        <f>SUM(TablaSeleccionControladores[[#This Row],[EA]:[SD]])</f>
        <v>77</v>
      </c>
      <c r="AD351" s="14">
        <v>1</v>
      </c>
      <c r="AH351" s="14">
        <v>2</v>
      </c>
      <c r="AI351" s="14">
        <v>1</v>
      </c>
      <c r="AJ351" s="14">
        <v>1</v>
      </c>
    </row>
    <row r="352" spans="17:36" x14ac:dyDescent="0.25">
      <c r="Q352">
        <f t="shared" si="7"/>
        <v>242</v>
      </c>
      <c r="R352" t="s">
        <v>829</v>
      </c>
      <c r="S352">
        <f>SUM(TablaSeleccionControladores[[#This Row],[M4-CGE04060-0]:[M4-CGM09090-0H]])</f>
        <v>1</v>
      </c>
      <c r="T352" s="14" cm="1">
        <f t="array" ref="T352">SUM(_xlfn.XLOOKUP(TablaSeleccionControladores[[#Headers],[M4-CGE04060-0]:[M4-XPM18000-0]],TablaControladores[[REFERENCIA]:[REFERENCIA]],TablaControladores[EA])*$AA352:$AJ352)</f>
        <v>0</v>
      </c>
      <c r="U352" s="14" cm="1">
        <f t="array" ref="U352">SUM(_xlfn.XLOOKUP(TablaSeleccionControladores[[#Headers],[M4-CGE04060-0]:[M4-XPM18000-0]],TablaControladores[[REFERENCIA]:[REFERENCIA]],TablaControladores[EU])*$AA352:$AJ352)</f>
        <v>17</v>
      </c>
      <c r="V352" s="14" cm="1">
        <f t="array" ref="V352">SUM(_xlfn.XLOOKUP(TablaSeleccionControladores[[#Headers],[M4-CGE04060-0]:[M4-XPM18000-0]],TablaControladores[[REFERENCIA]:[REFERENCIA]],TablaControladores[ED])*$AA352:$AJ352)</f>
        <v>42</v>
      </c>
      <c r="W352" s="14" cm="1">
        <f t="array" ref="W352">SUM(_xlfn.XLOOKUP(TablaSeleccionControladores[[#Headers],[M4-CGE04060-0]:[M4-XPM18000-0]],TablaControladores[[REFERENCIA]:[REFERENCIA]],TablaControladores[SA])*$AA352:$AJ352)</f>
        <v>6</v>
      </c>
      <c r="X352" s="14" cm="1">
        <f t="array" ref="X352">SUM(_xlfn.XLOOKUP(TablaSeleccionControladores[[#Headers],[M4-CGE04060-0]:[M4-XPM18000-0]],TablaControladores[[REFERENCIA]:[REFERENCIA]],TablaControladores[SC])*$AA352:$AJ352)</f>
        <v>15</v>
      </c>
      <c r="Y352" s="14" cm="1">
        <f t="array" ref="Y352">SUM(_xlfn.XLOOKUP(TablaSeleccionControladores[[#Headers],[M4-CGE04060-0]:[M4-XPM18000-0]],TablaControladores[[REFERENCIA]:[REFERENCIA]],TablaControladores[SD])*$AA352:$AJ352)</f>
        <v>15</v>
      </c>
      <c r="Z352" s="14">
        <f>SUM(TablaSeleccionControladores[[#This Row],[EA]:[SD]])</f>
        <v>95</v>
      </c>
      <c r="AD352" s="14">
        <v>1</v>
      </c>
      <c r="AH352" s="14">
        <v>2</v>
      </c>
      <c r="AI352" s="14">
        <v>1</v>
      </c>
      <c r="AJ352" s="14">
        <v>2</v>
      </c>
    </row>
    <row r="353" spans="17:36" x14ac:dyDescent="0.25">
      <c r="Q353">
        <f t="shared" si="7"/>
        <v>243</v>
      </c>
      <c r="R353" t="s">
        <v>829</v>
      </c>
      <c r="S353">
        <f>SUM(TablaSeleccionControladores[[#This Row],[M4-CGE04060-0]:[M4-CGM09090-0H]])</f>
        <v>1</v>
      </c>
      <c r="T353" s="14" cm="1">
        <f t="array" ref="T353">SUM(_xlfn.XLOOKUP(TablaSeleccionControladores[[#Headers],[M4-CGE04060-0]:[M4-XPM18000-0]],TablaControladores[[REFERENCIA]:[REFERENCIA]],TablaControladores[EA])*$AA353:$AJ353)</f>
        <v>0</v>
      </c>
      <c r="U353" s="14" cm="1">
        <f t="array" ref="U353">SUM(_xlfn.XLOOKUP(TablaSeleccionControladores[[#Headers],[M4-CGE04060-0]:[M4-XPM18000-0]],TablaControladores[[REFERENCIA]:[REFERENCIA]],TablaControladores[EU])*$AA353:$AJ353)</f>
        <v>17</v>
      </c>
      <c r="V353" s="14" cm="1">
        <f t="array" ref="V353">SUM(_xlfn.XLOOKUP(TablaSeleccionControladores[[#Headers],[M4-CGE04060-0]:[M4-XPM18000-0]],TablaControladores[[REFERENCIA]:[REFERENCIA]],TablaControladores[ED])*$AA353:$AJ353)</f>
        <v>60</v>
      </c>
      <c r="W353" s="14" cm="1">
        <f t="array" ref="W353">SUM(_xlfn.XLOOKUP(TablaSeleccionControladores[[#Headers],[M4-CGE04060-0]:[M4-XPM18000-0]],TablaControladores[[REFERENCIA]:[REFERENCIA]],TablaControladores[SA])*$AA353:$AJ353)</f>
        <v>6</v>
      </c>
      <c r="X353" s="14" cm="1">
        <f t="array" ref="X353">SUM(_xlfn.XLOOKUP(TablaSeleccionControladores[[#Headers],[M4-CGE04060-0]:[M4-XPM18000-0]],TablaControladores[[REFERENCIA]:[REFERENCIA]],TablaControladores[SC])*$AA353:$AJ353)</f>
        <v>15</v>
      </c>
      <c r="Y353" s="14" cm="1">
        <f t="array" ref="Y353">SUM(_xlfn.XLOOKUP(TablaSeleccionControladores[[#Headers],[M4-CGE04060-0]:[M4-XPM18000-0]],TablaControladores[[REFERENCIA]:[REFERENCIA]],TablaControladores[SD])*$AA353:$AJ353)</f>
        <v>15</v>
      </c>
      <c r="Z353" s="14">
        <f>SUM(TablaSeleccionControladores[[#This Row],[EA]:[SD]])</f>
        <v>113</v>
      </c>
      <c r="AD353" s="14">
        <v>1</v>
      </c>
      <c r="AH353" s="14">
        <v>2</v>
      </c>
      <c r="AI353" s="14">
        <v>1</v>
      </c>
      <c r="AJ353" s="14">
        <v>3</v>
      </c>
    </row>
    <row r="354" spans="17:36" x14ac:dyDescent="0.25">
      <c r="Q354">
        <f t="shared" si="7"/>
        <v>244</v>
      </c>
      <c r="R354" t="s">
        <v>829</v>
      </c>
      <c r="S354">
        <f>SUM(TablaSeleccionControladores[[#This Row],[M4-CGE04060-0]:[M4-CGM09090-0H]])</f>
        <v>1</v>
      </c>
      <c r="T354" s="14" cm="1">
        <f t="array" ref="T354">SUM(_xlfn.XLOOKUP(TablaSeleccionControladores[[#Headers],[M4-CGE04060-0]:[M4-XPM18000-0]],TablaControladores[[REFERENCIA]:[REFERENCIA]],TablaControladores[EA])*$AA354:$AJ354)</f>
        <v>0</v>
      </c>
      <c r="U354" s="14" cm="1">
        <f t="array" ref="U354">SUM(_xlfn.XLOOKUP(TablaSeleccionControladores[[#Headers],[M4-CGE04060-0]:[M4-XPM18000-0]],TablaControladores[[REFERENCIA]:[REFERENCIA]],TablaControladores[EU])*$AA354:$AJ354)</f>
        <v>24</v>
      </c>
      <c r="V354" s="14" cm="1">
        <f t="array" ref="V354">SUM(_xlfn.XLOOKUP(TablaSeleccionControladores[[#Headers],[M4-CGE04060-0]:[M4-XPM18000-0]],TablaControladores[[REFERENCIA]:[REFERENCIA]],TablaControladores[ED])*$AA354:$AJ354)</f>
        <v>8</v>
      </c>
      <c r="W354" s="14" cm="1">
        <f t="array" ref="W354">SUM(_xlfn.XLOOKUP(TablaSeleccionControladores[[#Headers],[M4-CGE04060-0]:[M4-XPM18000-0]],TablaControladores[[REFERENCIA]:[REFERENCIA]],TablaControladores[SA])*$AA354:$AJ354)</f>
        <v>8</v>
      </c>
      <c r="X354" s="14" cm="1">
        <f t="array" ref="X354">SUM(_xlfn.XLOOKUP(TablaSeleccionControladores[[#Headers],[M4-CGE04060-0]:[M4-XPM18000-0]],TablaControladores[[REFERENCIA]:[REFERENCIA]],TablaControladores[SC])*$AA354:$AJ354)</f>
        <v>19</v>
      </c>
      <c r="Y354" s="14" cm="1">
        <f t="array" ref="Y354">SUM(_xlfn.XLOOKUP(TablaSeleccionControladores[[#Headers],[M4-CGE04060-0]:[M4-XPM18000-0]],TablaControladores[[REFERENCIA]:[REFERENCIA]],TablaControladores[SD])*$AA354:$AJ354)</f>
        <v>18</v>
      </c>
      <c r="Z354" s="14">
        <f>SUM(TablaSeleccionControladores[[#This Row],[EA]:[SD]])</f>
        <v>77</v>
      </c>
      <c r="AD354" s="14">
        <v>1</v>
      </c>
      <c r="AH354" s="14">
        <v>2</v>
      </c>
      <c r="AI354" s="14">
        <v>2</v>
      </c>
      <c r="AJ354" s="14">
        <v>0</v>
      </c>
    </row>
    <row r="355" spans="17:36" x14ac:dyDescent="0.25">
      <c r="Q355">
        <f t="shared" si="7"/>
        <v>245</v>
      </c>
      <c r="R355" t="s">
        <v>829</v>
      </c>
      <c r="S355">
        <f>SUM(TablaSeleccionControladores[[#This Row],[M4-CGE04060-0]:[M4-CGM09090-0H]])</f>
        <v>1</v>
      </c>
      <c r="T355" s="14" cm="1">
        <f t="array" ref="T355">SUM(_xlfn.XLOOKUP(TablaSeleccionControladores[[#Headers],[M4-CGE04060-0]:[M4-XPM18000-0]],TablaControladores[[REFERENCIA]:[REFERENCIA]],TablaControladores[EA])*$AA355:$AJ355)</f>
        <v>0</v>
      </c>
      <c r="U355" s="14" cm="1">
        <f t="array" ref="U355">SUM(_xlfn.XLOOKUP(TablaSeleccionControladores[[#Headers],[M4-CGE04060-0]:[M4-XPM18000-0]],TablaControladores[[REFERENCIA]:[REFERENCIA]],TablaControladores[EU])*$AA355:$AJ355)</f>
        <v>24</v>
      </c>
      <c r="V355" s="14" cm="1">
        <f t="array" ref="V355">SUM(_xlfn.XLOOKUP(TablaSeleccionControladores[[#Headers],[M4-CGE04060-0]:[M4-XPM18000-0]],TablaControladores[[REFERENCIA]:[REFERENCIA]],TablaControladores[ED])*$AA355:$AJ355)</f>
        <v>26</v>
      </c>
      <c r="W355" s="14" cm="1">
        <f t="array" ref="W355">SUM(_xlfn.XLOOKUP(TablaSeleccionControladores[[#Headers],[M4-CGE04060-0]:[M4-XPM18000-0]],TablaControladores[[REFERENCIA]:[REFERENCIA]],TablaControladores[SA])*$AA355:$AJ355)</f>
        <v>8</v>
      </c>
      <c r="X355" s="14" cm="1">
        <f t="array" ref="X355">SUM(_xlfn.XLOOKUP(TablaSeleccionControladores[[#Headers],[M4-CGE04060-0]:[M4-XPM18000-0]],TablaControladores[[REFERENCIA]:[REFERENCIA]],TablaControladores[SC])*$AA355:$AJ355)</f>
        <v>19</v>
      </c>
      <c r="Y355" s="14" cm="1">
        <f t="array" ref="Y355">SUM(_xlfn.XLOOKUP(TablaSeleccionControladores[[#Headers],[M4-CGE04060-0]:[M4-XPM18000-0]],TablaControladores[[REFERENCIA]:[REFERENCIA]],TablaControladores[SD])*$AA355:$AJ355)</f>
        <v>18</v>
      </c>
      <c r="Z355" s="14">
        <f>SUM(TablaSeleccionControladores[[#This Row],[EA]:[SD]])</f>
        <v>95</v>
      </c>
      <c r="AD355" s="14">
        <v>1</v>
      </c>
      <c r="AH355" s="14">
        <v>2</v>
      </c>
      <c r="AI355" s="14">
        <v>2</v>
      </c>
      <c r="AJ355" s="14">
        <v>1</v>
      </c>
    </row>
    <row r="356" spans="17:36" x14ac:dyDescent="0.25">
      <c r="Q356">
        <f t="shared" si="7"/>
        <v>246</v>
      </c>
      <c r="R356" t="s">
        <v>829</v>
      </c>
      <c r="S356">
        <f>SUM(TablaSeleccionControladores[[#This Row],[M4-CGE04060-0]:[M4-CGM09090-0H]])</f>
        <v>1</v>
      </c>
      <c r="T356" s="14" cm="1">
        <f t="array" ref="T356">SUM(_xlfn.XLOOKUP(TablaSeleccionControladores[[#Headers],[M4-CGE04060-0]:[M4-XPM18000-0]],TablaControladores[[REFERENCIA]:[REFERENCIA]],TablaControladores[EA])*$AA356:$AJ356)</f>
        <v>0</v>
      </c>
      <c r="U356" s="14" cm="1">
        <f t="array" ref="U356">SUM(_xlfn.XLOOKUP(TablaSeleccionControladores[[#Headers],[M4-CGE04060-0]:[M4-XPM18000-0]],TablaControladores[[REFERENCIA]:[REFERENCIA]],TablaControladores[EU])*$AA356:$AJ356)</f>
        <v>24</v>
      </c>
      <c r="V356" s="14" cm="1">
        <f t="array" ref="V356">SUM(_xlfn.XLOOKUP(TablaSeleccionControladores[[#Headers],[M4-CGE04060-0]:[M4-XPM18000-0]],TablaControladores[[REFERENCIA]:[REFERENCIA]],TablaControladores[ED])*$AA356:$AJ356)</f>
        <v>44</v>
      </c>
      <c r="W356" s="14" cm="1">
        <f t="array" ref="W356">SUM(_xlfn.XLOOKUP(TablaSeleccionControladores[[#Headers],[M4-CGE04060-0]:[M4-XPM18000-0]],TablaControladores[[REFERENCIA]:[REFERENCIA]],TablaControladores[SA])*$AA356:$AJ356)</f>
        <v>8</v>
      </c>
      <c r="X356" s="14" cm="1">
        <f t="array" ref="X356">SUM(_xlfn.XLOOKUP(TablaSeleccionControladores[[#Headers],[M4-CGE04060-0]:[M4-XPM18000-0]],TablaControladores[[REFERENCIA]:[REFERENCIA]],TablaControladores[SC])*$AA356:$AJ356)</f>
        <v>19</v>
      </c>
      <c r="Y356" s="14" cm="1">
        <f t="array" ref="Y356">SUM(_xlfn.XLOOKUP(TablaSeleccionControladores[[#Headers],[M4-CGE04060-0]:[M4-XPM18000-0]],TablaControladores[[REFERENCIA]:[REFERENCIA]],TablaControladores[SD])*$AA356:$AJ356)</f>
        <v>18</v>
      </c>
      <c r="Z356" s="14">
        <f>SUM(TablaSeleccionControladores[[#This Row],[EA]:[SD]])</f>
        <v>113</v>
      </c>
      <c r="AD356" s="14">
        <v>1</v>
      </c>
      <c r="AH356" s="14">
        <v>2</v>
      </c>
      <c r="AI356" s="14">
        <v>2</v>
      </c>
      <c r="AJ356" s="14">
        <v>2</v>
      </c>
    </row>
    <row r="357" spans="17:36" x14ac:dyDescent="0.25">
      <c r="Q357">
        <f t="shared" si="7"/>
        <v>247</v>
      </c>
      <c r="R357" t="s">
        <v>829</v>
      </c>
      <c r="S357">
        <f>SUM(TablaSeleccionControladores[[#This Row],[M4-CGE04060-0]:[M4-CGM09090-0H]])</f>
        <v>1</v>
      </c>
      <c r="T357" s="14" cm="1">
        <f t="array" ref="T357">SUM(_xlfn.XLOOKUP(TablaSeleccionControladores[[#Headers],[M4-CGE04060-0]:[M4-XPM18000-0]],TablaControladores[[REFERENCIA]:[REFERENCIA]],TablaControladores[EA])*$AA357:$AJ357)</f>
        <v>0</v>
      </c>
      <c r="U357" s="14" cm="1">
        <f t="array" ref="U357">SUM(_xlfn.XLOOKUP(TablaSeleccionControladores[[#Headers],[M4-CGE04060-0]:[M4-XPM18000-0]],TablaControladores[[REFERENCIA]:[REFERENCIA]],TablaControladores[EU])*$AA357:$AJ357)</f>
        <v>31</v>
      </c>
      <c r="V357" s="14" cm="1">
        <f t="array" ref="V357">SUM(_xlfn.XLOOKUP(TablaSeleccionControladores[[#Headers],[M4-CGE04060-0]:[M4-XPM18000-0]],TablaControladores[[REFERENCIA]:[REFERENCIA]],TablaControladores[ED])*$AA357:$AJ357)</f>
        <v>10</v>
      </c>
      <c r="W357" s="14" cm="1">
        <f t="array" ref="W357">SUM(_xlfn.XLOOKUP(TablaSeleccionControladores[[#Headers],[M4-CGE04060-0]:[M4-XPM18000-0]],TablaControladores[[REFERENCIA]:[REFERENCIA]],TablaControladores[SA])*$AA357:$AJ357)</f>
        <v>10</v>
      </c>
      <c r="X357" s="14" cm="1">
        <f t="array" ref="X357">SUM(_xlfn.XLOOKUP(TablaSeleccionControladores[[#Headers],[M4-CGE04060-0]:[M4-XPM18000-0]],TablaControladores[[REFERENCIA]:[REFERENCIA]],TablaControladores[SC])*$AA357:$AJ357)</f>
        <v>23</v>
      </c>
      <c r="Y357" s="14" cm="1">
        <f t="array" ref="Y357">SUM(_xlfn.XLOOKUP(TablaSeleccionControladores[[#Headers],[M4-CGE04060-0]:[M4-XPM18000-0]],TablaControladores[[REFERENCIA]:[REFERENCIA]],TablaControladores[SD])*$AA357:$AJ357)</f>
        <v>21</v>
      </c>
      <c r="Z357" s="14">
        <f>SUM(TablaSeleccionControladores[[#This Row],[EA]:[SD]])</f>
        <v>95</v>
      </c>
      <c r="AD357" s="14">
        <v>1</v>
      </c>
      <c r="AH357" s="14">
        <v>2</v>
      </c>
      <c r="AI357" s="14">
        <v>3</v>
      </c>
      <c r="AJ357" s="14">
        <v>0</v>
      </c>
    </row>
    <row r="358" spans="17:36" x14ac:dyDescent="0.25">
      <c r="Q358">
        <f t="shared" si="7"/>
        <v>248</v>
      </c>
      <c r="R358" t="s">
        <v>829</v>
      </c>
      <c r="S358">
        <f>SUM(TablaSeleccionControladores[[#This Row],[M4-CGE04060-0]:[M4-CGM09090-0H]])</f>
        <v>1</v>
      </c>
      <c r="T358" s="14" cm="1">
        <f t="array" ref="T358">SUM(_xlfn.XLOOKUP(TablaSeleccionControladores[[#Headers],[M4-CGE04060-0]:[M4-XPM18000-0]],TablaControladores[[REFERENCIA]:[REFERENCIA]],TablaControladores[EA])*$AA358:$AJ358)</f>
        <v>0</v>
      </c>
      <c r="U358" s="14" cm="1">
        <f t="array" ref="U358">SUM(_xlfn.XLOOKUP(TablaSeleccionControladores[[#Headers],[M4-CGE04060-0]:[M4-XPM18000-0]],TablaControladores[[REFERENCIA]:[REFERENCIA]],TablaControladores[EU])*$AA358:$AJ358)</f>
        <v>31</v>
      </c>
      <c r="V358" s="14" cm="1">
        <f t="array" ref="V358">SUM(_xlfn.XLOOKUP(TablaSeleccionControladores[[#Headers],[M4-CGE04060-0]:[M4-XPM18000-0]],TablaControladores[[REFERENCIA]:[REFERENCIA]],TablaControladores[ED])*$AA358:$AJ358)</f>
        <v>28</v>
      </c>
      <c r="W358" s="14" cm="1">
        <f t="array" ref="W358">SUM(_xlfn.XLOOKUP(TablaSeleccionControladores[[#Headers],[M4-CGE04060-0]:[M4-XPM18000-0]],TablaControladores[[REFERENCIA]:[REFERENCIA]],TablaControladores[SA])*$AA358:$AJ358)</f>
        <v>10</v>
      </c>
      <c r="X358" s="14" cm="1">
        <f t="array" ref="X358">SUM(_xlfn.XLOOKUP(TablaSeleccionControladores[[#Headers],[M4-CGE04060-0]:[M4-XPM18000-0]],TablaControladores[[REFERENCIA]:[REFERENCIA]],TablaControladores[SC])*$AA358:$AJ358)</f>
        <v>23</v>
      </c>
      <c r="Y358" s="14" cm="1">
        <f t="array" ref="Y358">SUM(_xlfn.XLOOKUP(TablaSeleccionControladores[[#Headers],[M4-CGE04060-0]:[M4-XPM18000-0]],TablaControladores[[REFERENCIA]:[REFERENCIA]],TablaControladores[SD])*$AA358:$AJ358)</f>
        <v>21</v>
      </c>
      <c r="Z358" s="14">
        <f>SUM(TablaSeleccionControladores[[#This Row],[EA]:[SD]])</f>
        <v>113</v>
      </c>
      <c r="AD358" s="14">
        <v>1</v>
      </c>
      <c r="AH358" s="14">
        <v>2</v>
      </c>
      <c r="AI358" s="14">
        <v>3</v>
      </c>
      <c r="AJ358" s="14">
        <v>1</v>
      </c>
    </row>
    <row r="359" spans="17:36" x14ac:dyDescent="0.25">
      <c r="Q359">
        <f t="shared" si="7"/>
        <v>249</v>
      </c>
      <c r="R359" t="s">
        <v>830</v>
      </c>
      <c r="S359">
        <f>SUM(TablaSeleccionControladores[[#This Row],[M4-CGE04060-0]:[M4-CGM09090-0H]])</f>
        <v>1</v>
      </c>
      <c r="T359" s="14" cm="1">
        <f t="array" ref="T359">SUM(_xlfn.XLOOKUP(TablaSeleccionControladores[[#Headers],[M4-CGE04060-0]:[M4-XPM18000-0]],TablaControladores[[REFERENCIA]:[REFERENCIA]],TablaControladores[EA])*$AA359:$AJ359)</f>
        <v>0</v>
      </c>
      <c r="U359" s="14" cm="1">
        <f t="array" ref="U359">SUM(_xlfn.XLOOKUP(TablaSeleccionControladores[[#Headers],[M4-CGE04060-0]:[M4-XPM18000-0]],TablaControladores[[REFERENCIA]:[REFERENCIA]],TablaControladores[EU])*$AA359:$AJ359)</f>
        <v>3</v>
      </c>
      <c r="V359" s="14" cm="1">
        <f t="array" ref="V359">SUM(_xlfn.XLOOKUP(TablaSeleccionControladores[[#Headers],[M4-CGE04060-0]:[M4-XPM18000-0]],TablaControladores[[REFERENCIA]:[REFERENCIA]],TablaControladores[ED])*$AA359:$AJ359)</f>
        <v>1</v>
      </c>
      <c r="W359" s="14" cm="1">
        <f t="array" ref="W359">SUM(_xlfn.XLOOKUP(TablaSeleccionControladores[[#Headers],[M4-CGE04060-0]:[M4-XPM18000-0]],TablaControladores[[REFERENCIA]:[REFERENCIA]],TablaControladores[SA])*$AA359:$AJ359)</f>
        <v>0</v>
      </c>
      <c r="X359" s="14" cm="1">
        <f t="array" ref="X359">SUM(_xlfn.XLOOKUP(TablaSeleccionControladores[[#Headers],[M4-CGE04060-0]:[M4-XPM18000-0]],TablaControladores[[REFERENCIA]:[REFERENCIA]],TablaControladores[SC])*$AA359:$AJ359)</f>
        <v>4</v>
      </c>
      <c r="Y359" s="14" cm="1">
        <f t="array" ref="Y359">SUM(_xlfn.XLOOKUP(TablaSeleccionControladores[[#Headers],[M4-CGE04060-0]:[M4-XPM18000-0]],TablaControladores[[REFERENCIA]:[REFERENCIA]],TablaControladores[SD])*$AA359:$AJ359)</f>
        <v>2</v>
      </c>
      <c r="Z359" s="14">
        <f>SUM(TablaSeleccionControladores[[#This Row],[EA]:[SD]])</f>
        <v>10</v>
      </c>
      <c r="AE359" s="14">
        <v>1</v>
      </c>
      <c r="AH359" s="14">
        <v>0</v>
      </c>
      <c r="AI359" s="14">
        <v>0</v>
      </c>
      <c r="AJ359" s="14">
        <v>0</v>
      </c>
    </row>
    <row r="360" spans="17:36" x14ac:dyDescent="0.25">
      <c r="Q360">
        <f t="shared" si="7"/>
        <v>250</v>
      </c>
      <c r="R360" t="s">
        <v>830</v>
      </c>
      <c r="S360">
        <f>SUM(TablaSeleccionControladores[[#This Row],[M4-CGE04060-0]:[M4-CGM09090-0H]])</f>
        <v>1</v>
      </c>
      <c r="T360" s="14" cm="1">
        <f t="array" ref="T360">SUM(_xlfn.XLOOKUP(TablaSeleccionControladores[[#Headers],[M4-CGE04060-0]:[M4-XPM18000-0]],TablaControladores[[REFERENCIA]:[REFERENCIA]],TablaControladores[EA])*$AA360:$AJ360)</f>
        <v>0</v>
      </c>
      <c r="U360" s="14" cm="1">
        <f t="array" ref="U360">SUM(_xlfn.XLOOKUP(TablaSeleccionControladores[[#Headers],[M4-CGE04060-0]:[M4-XPM18000-0]],TablaControladores[[REFERENCIA]:[REFERENCIA]],TablaControladores[EU])*$AA360:$AJ360)</f>
        <v>3</v>
      </c>
      <c r="V360" s="14" cm="1">
        <f t="array" ref="V360">SUM(_xlfn.XLOOKUP(TablaSeleccionControladores[[#Headers],[M4-CGE04060-0]:[M4-XPM18000-0]],TablaControladores[[REFERENCIA]:[REFERENCIA]],TablaControladores[ED])*$AA360:$AJ360)</f>
        <v>19</v>
      </c>
      <c r="W360" s="14" cm="1">
        <f t="array" ref="W360">SUM(_xlfn.XLOOKUP(TablaSeleccionControladores[[#Headers],[M4-CGE04060-0]:[M4-XPM18000-0]],TablaControladores[[REFERENCIA]:[REFERENCIA]],TablaControladores[SA])*$AA360:$AJ360)</f>
        <v>0</v>
      </c>
      <c r="X360" s="14" cm="1">
        <f t="array" ref="X360">SUM(_xlfn.XLOOKUP(TablaSeleccionControladores[[#Headers],[M4-CGE04060-0]:[M4-XPM18000-0]],TablaControladores[[REFERENCIA]:[REFERENCIA]],TablaControladores[SC])*$AA360:$AJ360)</f>
        <v>4</v>
      </c>
      <c r="Y360" s="14" cm="1">
        <f t="array" ref="Y360">SUM(_xlfn.XLOOKUP(TablaSeleccionControladores[[#Headers],[M4-CGE04060-0]:[M4-XPM18000-0]],TablaControladores[[REFERENCIA]:[REFERENCIA]],TablaControladores[SD])*$AA360:$AJ360)</f>
        <v>2</v>
      </c>
      <c r="Z360" s="14">
        <f>SUM(TablaSeleccionControladores[[#This Row],[EA]:[SD]])</f>
        <v>28</v>
      </c>
      <c r="AE360" s="14">
        <v>1</v>
      </c>
      <c r="AH360" s="14">
        <v>0</v>
      </c>
      <c r="AI360" s="14">
        <v>0</v>
      </c>
      <c r="AJ360" s="14">
        <v>1</v>
      </c>
    </row>
    <row r="361" spans="17:36" x14ac:dyDescent="0.25">
      <c r="Q361">
        <f t="shared" si="7"/>
        <v>251</v>
      </c>
      <c r="R361" t="s">
        <v>830</v>
      </c>
      <c r="S361">
        <f>SUM(TablaSeleccionControladores[[#This Row],[M4-CGE04060-0]:[M4-CGM09090-0H]])</f>
        <v>1</v>
      </c>
      <c r="T361" s="14" cm="1">
        <f t="array" ref="T361">SUM(_xlfn.XLOOKUP(TablaSeleccionControladores[[#Headers],[M4-CGE04060-0]:[M4-XPM18000-0]],TablaControladores[[REFERENCIA]:[REFERENCIA]],TablaControladores[EA])*$AA361:$AJ361)</f>
        <v>0</v>
      </c>
      <c r="U361" s="14" cm="1">
        <f t="array" ref="U361">SUM(_xlfn.XLOOKUP(TablaSeleccionControladores[[#Headers],[M4-CGE04060-0]:[M4-XPM18000-0]],TablaControladores[[REFERENCIA]:[REFERENCIA]],TablaControladores[EU])*$AA361:$AJ361)</f>
        <v>3</v>
      </c>
      <c r="V361" s="14" cm="1">
        <f t="array" ref="V361">SUM(_xlfn.XLOOKUP(TablaSeleccionControladores[[#Headers],[M4-CGE04060-0]:[M4-XPM18000-0]],TablaControladores[[REFERENCIA]:[REFERENCIA]],TablaControladores[ED])*$AA361:$AJ361)</f>
        <v>37</v>
      </c>
      <c r="W361" s="14" cm="1">
        <f t="array" ref="W361">SUM(_xlfn.XLOOKUP(TablaSeleccionControladores[[#Headers],[M4-CGE04060-0]:[M4-XPM18000-0]],TablaControladores[[REFERENCIA]:[REFERENCIA]],TablaControladores[SA])*$AA361:$AJ361)</f>
        <v>0</v>
      </c>
      <c r="X361" s="14" cm="1">
        <f t="array" ref="X361">SUM(_xlfn.XLOOKUP(TablaSeleccionControladores[[#Headers],[M4-CGE04060-0]:[M4-XPM18000-0]],TablaControladores[[REFERENCIA]:[REFERENCIA]],TablaControladores[SC])*$AA361:$AJ361)</f>
        <v>4</v>
      </c>
      <c r="Y361" s="14" cm="1">
        <f t="array" ref="Y361">SUM(_xlfn.XLOOKUP(TablaSeleccionControladores[[#Headers],[M4-CGE04060-0]:[M4-XPM18000-0]],TablaControladores[[REFERENCIA]:[REFERENCIA]],TablaControladores[SD])*$AA361:$AJ361)</f>
        <v>2</v>
      </c>
      <c r="Z361" s="14">
        <f>SUM(TablaSeleccionControladores[[#This Row],[EA]:[SD]])</f>
        <v>46</v>
      </c>
      <c r="AE361" s="14">
        <v>1</v>
      </c>
      <c r="AH361" s="14">
        <v>0</v>
      </c>
      <c r="AI361" s="14">
        <v>0</v>
      </c>
      <c r="AJ361" s="14">
        <v>2</v>
      </c>
    </row>
    <row r="362" spans="17:36" x14ac:dyDescent="0.25">
      <c r="Q362">
        <f t="shared" si="7"/>
        <v>252</v>
      </c>
      <c r="R362" t="s">
        <v>830</v>
      </c>
      <c r="S362">
        <f>SUM(TablaSeleccionControladores[[#This Row],[M4-CGE04060-0]:[M4-CGM09090-0H]])</f>
        <v>1</v>
      </c>
      <c r="T362" s="14" cm="1">
        <f t="array" ref="T362">SUM(_xlfn.XLOOKUP(TablaSeleccionControladores[[#Headers],[M4-CGE04060-0]:[M4-XPM18000-0]],TablaControladores[[REFERENCIA]:[REFERENCIA]],TablaControladores[EA])*$AA362:$AJ362)</f>
        <v>0</v>
      </c>
      <c r="U362" s="14" cm="1">
        <f t="array" ref="U362">SUM(_xlfn.XLOOKUP(TablaSeleccionControladores[[#Headers],[M4-CGE04060-0]:[M4-XPM18000-0]],TablaControladores[[REFERENCIA]:[REFERENCIA]],TablaControladores[EU])*$AA362:$AJ362)</f>
        <v>3</v>
      </c>
      <c r="V362" s="14" cm="1">
        <f t="array" ref="V362">SUM(_xlfn.XLOOKUP(TablaSeleccionControladores[[#Headers],[M4-CGE04060-0]:[M4-XPM18000-0]],TablaControladores[[REFERENCIA]:[REFERENCIA]],TablaControladores[ED])*$AA362:$AJ362)</f>
        <v>55</v>
      </c>
      <c r="W362" s="14" cm="1">
        <f t="array" ref="W362">SUM(_xlfn.XLOOKUP(TablaSeleccionControladores[[#Headers],[M4-CGE04060-0]:[M4-XPM18000-0]],TablaControladores[[REFERENCIA]:[REFERENCIA]],TablaControladores[SA])*$AA362:$AJ362)</f>
        <v>0</v>
      </c>
      <c r="X362" s="14" cm="1">
        <f t="array" ref="X362">SUM(_xlfn.XLOOKUP(TablaSeleccionControladores[[#Headers],[M4-CGE04060-0]:[M4-XPM18000-0]],TablaControladores[[REFERENCIA]:[REFERENCIA]],TablaControladores[SC])*$AA362:$AJ362)</f>
        <v>4</v>
      </c>
      <c r="Y362" s="14" cm="1">
        <f t="array" ref="Y362">SUM(_xlfn.XLOOKUP(TablaSeleccionControladores[[#Headers],[M4-CGE04060-0]:[M4-XPM18000-0]],TablaControladores[[REFERENCIA]:[REFERENCIA]],TablaControladores[SD])*$AA362:$AJ362)</f>
        <v>2</v>
      </c>
      <c r="Z362" s="14">
        <f>SUM(TablaSeleccionControladores[[#This Row],[EA]:[SD]])</f>
        <v>64</v>
      </c>
      <c r="AE362" s="14">
        <v>1</v>
      </c>
      <c r="AH362" s="14">
        <v>0</v>
      </c>
      <c r="AI362" s="14">
        <v>0</v>
      </c>
      <c r="AJ362" s="14">
        <v>3</v>
      </c>
    </row>
    <row r="363" spans="17:36" x14ac:dyDescent="0.25">
      <c r="Q363">
        <f t="shared" si="7"/>
        <v>253</v>
      </c>
      <c r="R363" t="s">
        <v>830</v>
      </c>
      <c r="S363">
        <f>SUM(TablaSeleccionControladores[[#This Row],[M4-CGE04060-0]:[M4-CGM09090-0H]])</f>
        <v>1</v>
      </c>
      <c r="T363" s="14" cm="1">
        <f t="array" ref="T363">SUM(_xlfn.XLOOKUP(TablaSeleccionControladores[[#Headers],[M4-CGE04060-0]:[M4-XPM18000-0]],TablaControladores[[REFERENCIA]:[REFERENCIA]],TablaControladores[EA])*$AA363:$AJ363)</f>
        <v>0</v>
      </c>
      <c r="U363" s="14" cm="1">
        <f t="array" ref="U363">SUM(_xlfn.XLOOKUP(TablaSeleccionControladores[[#Headers],[M4-CGE04060-0]:[M4-XPM18000-0]],TablaControladores[[REFERENCIA]:[REFERENCIA]],TablaControladores[EU])*$AA363:$AJ363)</f>
        <v>3</v>
      </c>
      <c r="V363" s="14" cm="1">
        <f t="array" ref="V363">SUM(_xlfn.XLOOKUP(TablaSeleccionControladores[[#Headers],[M4-CGE04060-0]:[M4-XPM18000-0]],TablaControladores[[REFERENCIA]:[REFERENCIA]],TablaControladores[ED])*$AA363:$AJ363)</f>
        <v>73</v>
      </c>
      <c r="W363" s="14" cm="1">
        <f t="array" ref="W363">SUM(_xlfn.XLOOKUP(TablaSeleccionControladores[[#Headers],[M4-CGE04060-0]:[M4-XPM18000-0]],TablaControladores[[REFERENCIA]:[REFERENCIA]],TablaControladores[SA])*$AA363:$AJ363)</f>
        <v>0</v>
      </c>
      <c r="X363" s="14" cm="1">
        <f t="array" ref="X363">SUM(_xlfn.XLOOKUP(TablaSeleccionControladores[[#Headers],[M4-CGE04060-0]:[M4-XPM18000-0]],TablaControladores[[REFERENCIA]:[REFERENCIA]],TablaControladores[SC])*$AA363:$AJ363)</f>
        <v>4</v>
      </c>
      <c r="Y363" s="14" cm="1">
        <f t="array" ref="Y363">SUM(_xlfn.XLOOKUP(TablaSeleccionControladores[[#Headers],[M4-CGE04060-0]:[M4-XPM18000-0]],TablaControladores[[REFERENCIA]:[REFERENCIA]],TablaControladores[SD])*$AA363:$AJ363)</f>
        <v>2</v>
      </c>
      <c r="Z363" s="14">
        <f>SUM(TablaSeleccionControladores[[#This Row],[EA]:[SD]])</f>
        <v>82</v>
      </c>
      <c r="AE363" s="14">
        <v>1</v>
      </c>
      <c r="AH363" s="14">
        <v>0</v>
      </c>
      <c r="AI363" s="14">
        <v>0</v>
      </c>
      <c r="AJ363" s="14">
        <v>4</v>
      </c>
    </row>
    <row r="364" spans="17:36" x14ac:dyDescent="0.25">
      <c r="Q364">
        <f t="shared" si="7"/>
        <v>254</v>
      </c>
      <c r="R364" t="s">
        <v>830</v>
      </c>
      <c r="S364">
        <f>SUM(TablaSeleccionControladores[[#This Row],[M4-CGE04060-0]:[M4-CGM09090-0H]])</f>
        <v>1</v>
      </c>
      <c r="T364" s="14" cm="1">
        <f t="array" ref="T364">SUM(_xlfn.XLOOKUP(TablaSeleccionControladores[[#Headers],[M4-CGE04060-0]:[M4-XPM18000-0]],TablaControladores[[REFERENCIA]:[REFERENCIA]],TablaControladores[EA])*$AA364:$AJ364)</f>
        <v>0</v>
      </c>
      <c r="U364" s="14" cm="1">
        <f t="array" ref="U364">SUM(_xlfn.XLOOKUP(TablaSeleccionControladores[[#Headers],[M4-CGE04060-0]:[M4-XPM18000-0]],TablaControladores[[REFERENCIA]:[REFERENCIA]],TablaControladores[EU])*$AA364:$AJ364)</f>
        <v>3</v>
      </c>
      <c r="V364" s="14" cm="1">
        <f t="array" ref="V364">SUM(_xlfn.XLOOKUP(TablaSeleccionControladores[[#Headers],[M4-CGE04060-0]:[M4-XPM18000-0]],TablaControladores[[REFERENCIA]:[REFERENCIA]],TablaControladores[ED])*$AA364:$AJ364)</f>
        <v>91</v>
      </c>
      <c r="W364" s="14" cm="1">
        <f t="array" ref="W364">SUM(_xlfn.XLOOKUP(TablaSeleccionControladores[[#Headers],[M4-CGE04060-0]:[M4-XPM18000-0]],TablaControladores[[REFERENCIA]:[REFERENCIA]],TablaControladores[SA])*$AA364:$AJ364)</f>
        <v>0</v>
      </c>
      <c r="X364" s="14" cm="1">
        <f t="array" ref="X364">SUM(_xlfn.XLOOKUP(TablaSeleccionControladores[[#Headers],[M4-CGE04060-0]:[M4-XPM18000-0]],TablaControladores[[REFERENCIA]:[REFERENCIA]],TablaControladores[SC])*$AA364:$AJ364)</f>
        <v>4</v>
      </c>
      <c r="Y364" s="14" cm="1">
        <f t="array" ref="Y364">SUM(_xlfn.XLOOKUP(TablaSeleccionControladores[[#Headers],[M4-CGE04060-0]:[M4-XPM18000-0]],TablaControladores[[REFERENCIA]:[REFERENCIA]],TablaControladores[SD])*$AA364:$AJ364)</f>
        <v>2</v>
      </c>
      <c r="Z364" s="14">
        <f>SUM(TablaSeleccionControladores[[#This Row],[EA]:[SD]])</f>
        <v>100</v>
      </c>
      <c r="AE364" s="14">
        <v>1</v>
      </c>
      <c r="AH364" s="14">
        <v>0</v>
      </c>
      <c r="AI364" s="14">
        <v>0</v>
      </c>
      <c r="AJ364" s="14">
        <v>5</v>
      </c>
    </row>
    <row r="365" spans="17:36" x14ac:dyDescent="0.25">
      <c r="Q365">
        <f t="shared" si="7"/>
        <v>255</v>
      </c>
      <c r="R365" t="s">
        <v>830</v>
      </c>
      <c r="S365">
        <f>SUM(TablaSeleccionControladores[[#This Row],[M4-CGE04060-0]:[M4-CGM09090-0H]])</f>
        <v>1</v>
      </c>
      <c r="T365" s="14" cm="1">
        <f t="array" ref="T365">SUM(_xlfn.XLOOKUP(TablaSeleccionControladores[[#Headers],[M4-CGE04060-0]:[M4-XPM18000-0]],TablaControladores[[REFERENCIA]:[REFERENCIA]],TablaControladores[EA])*$AA365:$AJ365)</f>
        <v>0</v>
      </c>
      <c r="U365" s="14" cm="1">
        <f t="array" ref="U365">SUM(_xlfn.XLOOKUP(TablaSeleccionControladores[[#Headers],[M4-CGE04060-0]:[M4-XPM18000-0]],TablaControladores[[REFERENCIA]:[REFERENCIA]],TablaControladores[EU])*$AA365:$AJ365)</f>
        <v>3</v>
      </c>
      <c r="V365" s="14" cm="1">
        <f t="array" ref="V365">SUM(_xlfn.XLOOKUP(TablaSeleccionControladores[[#Headers],[M4-CGE04060-0]:[M4-XPM18000-0]],TablaControladores[[REFERENCIA]:[REFERENCIA]],TablaControladores[ED])*$AA365:$AJ365)</f>
        <v>109</v>
      </c>
      <c r="W365" s="14" cm="1">
        <f t="array" ref="W365">SUM(_xlfn.XLOOKUP(TablaSeleccionControladores[[#Headers],[M4-CGE04060-0]:[M4-XPM18000-0]],TablaControladores[[REFERENCIA]:[REFERENCIA]],TablaControladores[SA])*$AA365:$AJ365)</f>
        <v>0</v>
      </c>
      <c r="X365" s="14" cm="1">
        <f t="array" ref="X365">SUM(_xlfn.XLOOKUP(TablaSeleccionControladores[[#Headers],[M4-CGE04060-0]:[M4-XPM18000-0]],TablaControladores[[REFERENCIA]:[REFERENCIA]],TablaControladores[SC])*$AA365:$AJ365)</f>
        <v>4</v>
      </c>
      <c r="Y365" s="14" cm="1">
        <f t="array" ref="Y365">SUM(_xlfn.XLOOKUP(TablaSeleccionControladores[[#Headers],[M4-CGE04060-0]:[M4-XPM18000-0]],TablaControladores[[REFERENCIA]:[REFERENCIA]],TablaControladores[SD])*$AA365:$AJ365)</f>
        <v>2</v>
      </c>
      <c r="Z365" s="14">
        <f>SUM(TablaSeleccionControladores[[#This Row],[EA]:[SD]])</f>
        <v>118</v>
      </c>
      <c r="AE365" s="14">
        <v>1</v>
      </c>
      <c r="AH365" s="14">
        <v>0</v>
      </c>
      <c r="AI365" s="14">
        <v>0</v>
      </c>
      <c r="AJ365" s="14">
        <v>6</v>
      </c>
    </row>
    <row r="366" spans="17:36" x14ac:dyDescent="0.25">
      <c r="Q366">
        <f t="shared" si="7"/>
        <v>256</v>
      </c>
      <c r="R366" t="s">
        <v>830</v>
      </c>
      <c r="S366">
        <f>SUM(TablaSeleccionControladores[[#This Row],[M4-CGE04060-0]:[M4-CGM09090-0H]])</f>
        <v>1</v>
      </c>
      <c r="T366" s="14" cm="1">
        <f t="array" ref="T366">SUM(_xlfn.XLOOKUP(TablaSeleccionControladores[[#Headers],[M4-CGE04060-0]:[M4-XPM18000-0]],TablaControladores[[REFERENCIA]:[REFERENCIA]],TablaControladores[EA])*$AA366:$AJ366)</f>
        <v>0</v>
      </c>
      <c r="U366" s="14" cm="1">
        <f t="array" ref="U366">SUM(_xlfn.XLOOKUP(TablaSeleccionControladores[[#Headers],[M4-CGE04060-0]:[M4-XPM18000-0]],TablaControladores[[REFERENCIA]:[REFERENCIA]],TablaControladores[EU])*$AA366:$AJ366)</f>
        <v>10</v>
      </c>
      <c r="V366" s="14" cm="1">
        <f t="array" ref="V366">SUM(_xlfn.XLOOKUP(TablaSeleccionControladores[[#Headers],[M4-CGE04060-0]:[M4-XPM18000-0]],TablaControladores[[REFERENCIA]:[REFERENCIA]],TablaControladores[ED])*$AA366:$AJ366)</f>
        <v>3</v>
      </c>
      <c r="W366" s="14" cm="1">
        <f t="array" ref="W366">SUM(_xlfn.XLOOKUP(TablaSeleccionControladores[[#Headers],[M4-CGE04060-0]:[M4-XPM18000-0]],TablaControladores[[REFERENCIA]:[REFERENCIA]],TablaControladores[SA])*$AA366:$AJ366)</f>
        <v>2</v>
      </c>
      <c r="X366" s="14" cm="1">
        <f t="array" ref="X366">SUM(_xlfn.XLOOKUP(TablaSeleccionControladores[[#Headers],[M4-CGE04060-0]:[M4-XPM18000-0]],TablaControladores[[REFERENCIA]:[REFERENCIA]],TablaControladores[SC])*$AA366:$AJ366)</f>
        <v>8</v>
      </c>
      <c r="Y366" s="14" cm="1">
        <f t="array" ref="Y366">SUM(_xlfn.XLOOKUP(TablaSeleccionControladores[[#Headers],[M4-CGE04060-0]:[M4-XPM18000-0]],TablaControladores[[REFERENCIA]:[REFERENCIA]],TablaControladores[SD])*$AA366:$AJ366)</f>
        <v>5</v>
      </c>
      <c r="Z366" s="14">
        <f>SUM(TablaSeleccionControladores[[#This Row],[EA]:[SD]])</f>
        <v>28</v>
      </c>
      <c r="AE366" s="14">
        <v>1</v>
      </c>
      <c r="AH366" s="14">
        <v>0</v>
      </c>
      <c r="AI366" s="14">
        <v>1</v>
      </c>
      <c r="AJ366" s="14">
        <v>0</v>
      </c>
    </row>
    <row r="367" spans="17:36" x14ac:dyDescent="0.25">
      <c r="Q367">
        <f t="shared" ref="Q367:Q430" si="8">ROW()-110</f>
        <v>257</v>
      </c>
      <c r="R367" t="s">
        <v>830</v>
      </c>
      <c r="S367">
        <f>SUM(TablaSeleccionControladores[[#This Row],[M4-CGE04060-0]:[M4-CGM09090-0H]])</f>
        <v>1</v>
      </c>
      <c r="T367" s="14" cm="1">
        <f t="array" ref="T367">SUM(_xlfn.XLOOKUP(TablaSeleccionControladores[[#Headers],[M4-CGE04060-0]:[M4-XPM18000-0]],TablaControladores[[REFERENCIA]:[REFERENCIA]],TablaControladores[EA])*$AA367:$AJ367)</f>
        <v>0</v>
      </c>
      <c r="U367" s="14" cm="1">
        <f t="array" ref="U367">SUM(_xlfn.XLOOKUP(TablaSeleccionControladores[[#Headers],[M4-CGE04060-0]:[M4-XPM18000-0]],TablaControladores[[REFERENCIA]:[REFERENCIA]],TablaControladores[EU])*$AA367:$AJ367)</f>
        <v>10</v>
      </c>
      <c r="V367" s="14" cm="1">
        <f t="array" ref="V367">SUM(_xlfn.XLOOKUP(TablaSeleccionControladores[[#Headers],[M4-CGE04060-0]:[M4-XPM18000-0]],TablaControladores[[REFERENCIA]:[REFERENCIA]],TablaControladores[ED])*$AA367:$AJ367)</f>
        <v>21</v>
      </c>
      <c r="W367" s="14" cm="1">
        <f t="array" ref="W367">SUM(_xlfn.XLOOKUP(TablaSeleccionControladores[[#Headers],[M4-CGE04060-0]:[M4-XPM18000-0]],TablaControladores[[REFERENCIA]:[REFERENCIA]],TablaControladores[SA])*$AA367:$AJ367)</f>
        <v>2</v>
      </c>
      <c r="X367" s="14" cm="1">
        <f t="array" ref="X367">SUM(_xlfn.XLOOKUP(TablaSeleccionControladores[[#Headers],[M4-CGE04060-0]:[M4-XPM18000-0]],TablaControladores[[REFERENCIA]:[REFERENCIA]],TablaControladores[SC])*$AA367:$AJ367)</f>
        <v>8</v>
      </c>
      <c r="Y367" s="14" cm="1">
        <f t="array" ref="Y367">SUM(_xlfn.XLOOKUP(TablaSeleccionControladores[[#Headers],[M4-CGE04060-0]:[M4-XPM18000-0]],TablaControladores[[REFERENCIA]:[REFERENCIA]],TablaControladores[SD])*$AA367:$AJ367)</f>
        <v>5</v>
      </c>
      <c r="Z367" s="14">
        <f>SUM(TablaSeleccionControladores[[#This Row],[EA]:[SD]])</f>
        <v>46</v>
      </c>
      <c r="AE367" s="14">
        <v>1</v>
      </c>
      <c r="AH367" s="14">
        <v>0</v>
      </c>
      <c r="AI367" s="14">
        <v>1</v>
      </c>
      <c r="AJ367" s="14">
        <v>1</v>
      </c>
    </row>
    <row r="368" spans="17:36" x14ac:dyDescent="0.25">
      <c r="Q368">
        <f t="shared" si="8"/>
        <v>258</v>
      </c>
      <c r="R368" t="s">
        <v>830</v>
      </c>
      <c r="S368">
        <f>SUM(TablaSeleccionControladores[[#This Row],[M4-CGE04060-0]:[M4-CGM09090-0H]])</f>
        <v>1</v>
      </c>
      <c r="T368" s="14" cm="1">
        <f t="array" ref="T368">SUM(_xlfn.XLOOKUP(TablaSeleccionControladores[[#Headers],[M4-CGE04060-0]:[M4-XPM18000-0]],TablaControladores[[REFERENCIA]:[REFERENCIA]],TablaControladores[EA])*$AA368:$AJ368)</f>
        <v>0</v>
      </c>
      <c r="U368" s="14" cm="1">
        <f t="array" ref="U368">SUM(_xlfn.XLOOKUP(TablaSeleccionControladores[[#Headers],[M4-CGE04060-0]:[M4-XPM18000-0]],TablaControladores[[REFERENCIA]:[REFERENCIA]],TablaControladores[EU])*$AA368:$AJ368)</f>
        <v>10</v>
      </c>
      <c r="V368" s="14" cm="1">
        <f t="array" ref="V368">SUM(_xlfn.XLOOKUP(TablaSeleccionControladores[[#Headers],[M4-CGE04060-0]:[M4-XPM18000-0]],TablaControladores[[REFERENCIA]:[REFERENCIA]],TablaControladores[ED])*$AA368:$AJ368)</f>
        <v>39</v>
      </c>
      <c r="W368" s="14" cm="1">
        <f t="array" ref="W368">SUM(_xlfn.XLOOKUP(TablaSeleccionControladores[[#Headers],[M4-CGE04060-0]:[M4-XPM18000-0]],TablaControladores[[REFERENCIA]:[REFERENCIA]],TablaControladores[SA])*$AA368:$AJ368)</f>
        <v>2</v>
      </c>
      <c r="X368" s="14" cm="1">
        <f t="array" ref="X368">SUM(_xlfn.XLOOKUP(TablaSeleccionControladores[[#Headers],[M4-CGE04060-0]:[M4-XPM18000-0]],TablaControladores[[REFERENCIA]:[REFERENCIA]],TablaControladores[SC])*$AA368:$AJ368)</f>
        <v>8</v>
      </c>
      <c r="Y368" s="14" cm="1">
        <f t="array" ref="Y368">SUM(_xlfn.XLOOKUP(TablaSeleccionControladores[[#Headers],[M4-CGE04060-0]:[M4-XPM18000-0]],TablaControladores[[REFERENCIA]:[REFERENCIA]],TablaControladores[SD])*$AA368:$AJ368)</f>
        <v>5</v>
      </c>
      <c r="Z368" s="14">
        <f>SUM(TablaSeleccionControladores[[#This Row],[EA]:[SD]])</f>
        <v>64</v>
      </c>
      <c r="AE368" s="14">
        <v>1</v>
      </c>
      <c r="AH368" s="14">
        <v>0</v>
      </c>
      <c r="AI368" s="14">
        <v>1</v>
      </c>
      <c r="AJ368" s="14">
        <v>2</v>
      </c>
    </row>
    <row r="369" spans="17:36" x14ac:dyDescent="0.25">
      <c r="Q369">
        <f t="shared" si="8"/>
        <v>259</v>
      </c>
      <c r="R369" t="s">
        <v>830</v>
      </c>
      <c r="S369">
        <f>SUM(TablaSeleccionControladores[[#This Row],[M4-CGE04060-0]:[M4-CGM09090-0H]])</f>
        <v>1</v>
      </c>
      <c r="T369" s="14" cm="1">
        <f t="array" ref="T369">SUM(_xlfn.XLOOKUP(TablaSeleccionControladores[[#Headers],[M4-CGE04060-0]:[M4-XPM18000-0]],TablaControladores[[REFERENCIA]:[REFERENCIA]],TablaControladores[EA])*$AA369:$AJ369)</f>
        <v>0</v>
      </c>
      <c r="U369" s="14" cm="1">
        <f t="array" ref="U369">SUM(_xlfn.XLOOKUP(TablaSeleccionControladores[[#Headers],[M4-CGE04060-0]:[M4-XPM18000-0]],TablaControladores[[REFERENCIA]:[REFERENCIA]],TablaControladores[EU])*$AA369:$AJ369)</f>
        <v>10</v>
      </c>
      <c r="V369" s="14" cm="1">
        <f t="array" ref="V369">SUM(_xlfn.XLOOKUP(TablaSeleccionControladores[[#Headers],[M4-CGE04060-0]:[M4-XPM18000-0]],TablaControladores[[REFERENCIA]:[REFERENCIA]],TablaControladores[ED])*$AA369:$AJ369)</f>
        <v>57</v>
      </c>
      <c r="W369" s="14" cm="1">
        <f t="array" ref="W369">SUM(_xlfn.XLOOKUP(TablaSeleccionControladores[[#Headers],[M4-CGE04060-0]:[M4-XPM18000-0]],TablaControladores[[REFERENCIA]:[REFERENCIA]],TablaControladores[SA])*$AA369:$AJ369)</f>
        <v>2</v>
      </c>
      <c r="X369" s="14" cm="1">
        <f t="array" ref="X369">SUM(_xlfn.XLOOKUP(TablaSeleccionControladores[[#Headers],[M4-CGE04060-0]:[M4-XPM18000-0]],TablaControladores[[REFERENCIA]:[REFERENCIA]],TablaControladores[SC])*$AA369:$AJ369)</f>
        <v>8</v>
      </c>
      <c r="Y369" s="14" cm="1">
        <f t="array" ref="Y369">SUM(_xlfn.XLOOKUP(TablaSeleccionControladores[[#Headers],[M4-CGE04060-0]:[M4-XPM18000-0]],TablaControladores[[REFERENCIA]:[REFERENCIA]],TablaControladores[SD])*$AA369:$AJ369)</f>
        <v>5</v>
      </c>
      <c r="Z369" s="14">
        <f>SUM(TablaSeleccionControladores[[#This Row],[EA]:[SD]])</f>
        <v>82</v>
      </c>
      <c r="AE369" s="14">
        <v>1</v>
      </c>
      <c r="AH369" s="14">
        <v>0</v>
      </c>
      <c r="AI369" s="14">
        <v>1</v>
      </c>
      <c r="AJ369" s="14">
        <v>3</v>
      </c>
    </row>
    <row r="370" spans="17:36" x14ac:dyDescent="0.25">
      <c r="Q370">
        <f t="shared" si="8"/>
        <v>260</v>
      </c>
      <c r="R370" t="s">
        <v>830</v>
      </c>
      <c r="S370">
        <f>SUM(TablaSeleccionControladores[[#This Row],[M4-CGE04060-0]:[M4-CGM09090-0H]])</f>
        <v>1</v>
      </c>
      <c r="T370" s="14" cm="1">
        <f t="array" ref="T370">SUM(_xlfn.XLOOKUP(TablaSeleccionControladores[[#Headers],[M4-CGE04060-0]:[M4-XPM18000-0]],TablaControladores[[REFERENCIA]:[REFERENCIA]],TablaControladores[EA])*$AA370:$AJ370)</f>
        <v>0</v>
      </c>
      <c r="U370" s="14" cm="1">
        <f t="array" ref="U370">SUM(_xlfn.XLOOKUP(TablaSeleccionControladores[[#Headers],[M4-CGE04060-0]:[M4-XPM18000-0]],TablaControladores[[REFERENCIA]:[REFERENCIA]],TablaControladores[EU])*$AA370:$AJ370)</f>
        <v>10</v>
      </c>
      <c r="V370" s="14" cm="1">
        <f t="array" ref="V370">SUM(_xlfn.XLOOKUP(TablaSeleccionControladores[[#Headers],[M4-CGE04060-0]:[M4-XPM18000-0]],TablaControladores[[REFERENCIA]:[REFERENCIA]],TablaControladores[ED])*$AA370:$AJ370)</f>
        <v>75</v>
      </c>
      <c r="W370" s="14" cm="1">
        <f t="array" ref="W370">SUM(_xlfn.XLOOKUP(TablaSeleccionControladores[[#Headers],[M4-CGE04060-0]:[M4-XPM18000-0]],TablaControladores[[REFERENCIA]:[REFERENCIA]],TablaControladores[SA])*$AA370:$AJ370)</f>
        <v>2</v>
      </c>
      <c r="X370" s="14" cm="1">
        <f t="array" ref="X370">SUM(_xlfn.XLOOKUP(TablaSeleccionControladores[[#Headers],[M4-CGE04060-0]:[M4-XPM18000-0]],TablaControladores[[REFERENCIA]:[REFERENCIA]],TablaControladores[SC])*$AA370:$AJ370)</f>
        <v>8</v>
      </c>
      <c r="Y370" s="14" cm="1">
        <f t="array" ref="Y370">SUM(_xlfn.XLOOKUP(TablaSeleccionControladores[[#Headers],[M4-CGE04060-0]:[M4-XPM18000-0]],TablaControladores[[REFERENCIA]:[REFERENCIA]],TablaControladores[SD])*$AA370:$AJ370)</f>
        <v>5</v>
      </c>
      <c r="Z370" s="14">
        <f>SUM(TablaSeleccionControladores[[#This Row],[EA]:[SD]])</f>
        <v>100</v>
      </c>
      <c r="AE370" s="14">
        <v>1</v>
      </c>
      <c r="AH370" s="14">
        <v>0</v>
      </c>
      <c r="AI370" s="14">
        <v>1</v>
      </c>
      <c r="AJ370" s="14">
        <v>4</v>
      </c>
    </row>
    <row r="371" spans="17:36" x14ac:dyDescent="0.25">
      <c r="Q371">
        <f t="shared" si="8"/>
        <v>261</v>
      </c>
      <c r="R371" t="s">
        <v>830</v>
      </c>
      <c r="S371">
        <f>SUM(TablaSeleccionControladores[[#This Row],[M4-CGE04060-0]:[M4-CGM09090-0H]])</f>
        <v>1</v>
      </c>
      <c r="T371" s="14" cm="1">
        <f t="array" ref="T371">SUM(_xlfn.XLOOKUP(TablaSeleccionControladores[[#Headers],[M4-CGE04060-0]:[M4-XPM18000-0]],TablaControladores[[REFERENCIA]:[REFERENCIA]],TablaControladores[EA])*$AA371:$AJ371)</f>
        <v>0</v>
      </c>
      <c r="U371" s="14" cm="1">
        <f t="array" ref="U371">SUM(_xlfn.XLOOKUP(TablaSeleccionControladores[[#Headers],[M4-CGE04060-0]:[M4-XPM18000-0]],TablaControladores[[REFERENCIA]:[REFERENCIA]],TablaControladores[EU])*$AA371:$AJ371)</f>
        <v>10</v>
      </c>
      <c r="V371" s="14" cm="1">
        <f t="array" ref="V371">SUM(_xlfn.XLOOKUP(TablaSeleccionControladores[[#Headers],[M4-CGE04060-0]:[M4-XPM18000-0]],TablaControladores[[REFERENCIA]:[REFERENCIA]],TablaControladores[ED])*$AA371:$AJ371)</f>
        <v>93</v>
      </c>
      <c r="W371" s="14" cm="1">
        <f t="array" ref="W371">SUM(_xlfn.XLOOKUP(TablaSeleccionControladores[[#Headers],[M4-CGE04060-0]:[M4-XPM18000-0]],TablaControladores[[REFERENCIA]:[REFERENCIA]],TablaControladores[SA])*$AA371:$AJ371)</f>
        <v>2</v>
      </c>
      <c r="X371" s="14" cm="1">
        <f t="array" ref="X371">SUM(_xlfn.XLOOKUP(TablaSeleccionControladores[[#Headers],[M4-CGE04060-0]:[M4-XPM18000-0]],TablaControladores[[REFERENCIA]:[REFERENCIA]],TablaControladores[SC])*$AA371:$AJ371)</f>
        <v>8</v>
      </c>
      <c r="Y371" s="14" cm="1">
        <f t="array" ref="Y371">SUM(_xlfn.XLOOKUP(TablaSeleccionControladores[[#Headers],[M4-CGE04060-0]:[M4-XPM18000-0]],TablaControladores[[REFERENCIA]:[REFERENCIA]],TablaControladores[SD])*$AA371:$AJ371)</f>
        <v>5</v>
      </c>
      <c r="Z371" s="14">
        <f>SUM(TablaSeleccionControladores[[#This Row],[EA]:[SD]])</f>
        <v>118</v>
      </c>
      <c r="AE371" s="14">
        <v>1</v>
      </c>
      <c r="AH371" s="14">
        <v>0</v>
      </c>
      <c r="AI371" s="14">
        <v>1</v>
      </c>
      <c r="AJ371" s="14">
        <v>5</v>
      </c>
    </row>
    <row r="372" spans="17:36" x14ac:dyDescent="0.25">
      <c r="Q372">
        <f t="shared" si="8"/>
        <v>262</v>
      </c>
      <c r="R372" t="s">
        <v>830</v>
      </c>
      <c r="S372">
        <f>SUM(TablaSeleccionControladores[[#This Row],[M4-CGE04060-0]:[M4-CGM09090-0H]])</f>
        <v>1</v>
      </c>
      <c r="T372" s="14" cm="1">
        <f t="array" ref="T372">SUM(_xlfn.XLOOKUP(TablaSeleccionControladores[[#Headers],[M4-CGE04060-0]:[M4-XPM18000-0]],TablaControladores[[REFERENCIA]:[REFERENCIA]],TablaControladores[EA])*$AA372:$AJ372)</f>
        <v>0</v>
      </c>
      <c r="U372" s="14" cm="1">
        <f t="array" ref="U372">SUM(_xlfn.XLOOKUP(TablaSeleccionControladores[[#Headers],[M4-CGE04060-0]:[M4-XPM18000-0]],TablaControladores[[REFERENCIA]:[REFERENCIA]],TablaControladores[EU])*$AA372:$AJ372)</f>
        <v>17</v>
      </c>
      <c r="V372" s="14" cm="1">
        <f t="array" ref="V372">SUM(_xlfn.XLOOKUP(TablaSeleccionControladores[[#Headers],[M4-CGE04060-0]:[M4-XPM18000-0]],TablaControladores[[REFERENCIA]:[REFERENCIA]],TablaControladores[ED])*$AA372:$AJ372)</f>
        <v>5</v>
      </c>
      <c r="W372" s="14" cm="1">
        <f t="array" ref="W372">SUM(_xlfn.XLOOKUP(TablaSeleccionControladores[[#Headers],[M4-CGE04060-0]:[M4-XPM18000-0]],TablaControladores[[REFERENCIA]:[REFERENCIA]],TablaControladores[SA])*$AA372:$AJ372)</f>
        <v>4</v>
      </c>
      <c r="X372" s="14" cm="1">
        <f t="array" ref="X372">SUM(_xlfn.XLOOKUP(TablaSeleccionControladores[[#Headers],[M4-CGE04060-0]:[M4-XPM18000-0]],TablaControladores[[REFERENCIA]:[REFERENCIA]],TablaControladores[SC])*$AA372:$AJ372)</f>
        <v>12</v>
      </c>
      <c r="Y372" s="14" cm="1">
        <f t="array" ref="Y372">SUM(_xlfn.XLOOKUP(TablaSeleccionControladores[[#Headers],[M4-CGE04060-0]:[M4-XPM18000-0]],TablaControladores[[REFERENCIA]:[REFERENCIA]],TablaControladores[SD])*$AA372:$AJ372)</f>
        <v>8</v>
      </c>
      <c r="Z372" s="14">
        <f>SUM(TablaSeleccionControladores[[#This Row],[EA]:[SD]])</f>
        <v>46</v>
      </c>
      <c r="AE372" s="14">
        <v>1</v>
      </c>
      <c r="AH372" s="14">
        <v>0</v>
      </c>
      <c r="AI372" s="14">
        <v>2</v>
      </c>
      <c r="AJ372" s="14">
        <v>0</v>
      </c>
    </row>
    <row r="373" spans="17:36" x14ac:dyDescent="0.25">
      <c r="Q373">
        <f t="shared" si="8"/>
        <v>263</v>
      </c>
      <c r="R373" t="s">
        <v>830</v>
      </c>
      <c r="S373">
        <f>SUM(TablaSeleccionControladores[[#This Row],[M4-CGE04060-0]:[M4-CGM09090-0H]])</f>
        <v>1</v>
      </c>
      <c r="T373" s="14" cm="1">
        <f t="array" ref="T373">SUM(_xlfn.XLOOKUP(TablaSeleccionControladores[[#Headers],[M4-CGE04060-0]:[M4-XPM18000-0]],TablaControladores[[REFERENCIA]:[REFERENCIA]],TablaControladores[EA])*$AA373:$AJ373)</f>
        <v>0</v>
      </c>
      <c r="U373" s="14" cm="1">
        <f t="array" ref="U373">SUM(_xlfn.XLOOKUP(TablaSeleccionControladores[[#Headers],[M4-CGE04060-0]:[M4-XPM18000-0]],TablaControladores[[REFERENCIA]:[REFERENCIA]],TablaControladores[EU])*$AA373:$AJ373)</f>
        <v>17</v>
      </c>
      <c r="V373" s="14" cm="1">
        <f t="array" ref="V373">SUM(_xlfn.XLOOKUP(TablaSeleccionControladores[[#Headers],[M4-CGE04060-0]:[M4-XPM18000-0]],TablaControladores[[REFERENCIA]:[REFERENCIA]],TablaControladores[ED])*$AA373:$AJ373)</f>
        <v>23</v>
      </c>
      <c r="W373" s="14" cm="1">
        <f t="array" ref="W373">SUM(_xlfn.XLOOKUP(TablaSeleccionControladores[[#Headers],[M4-CGE04060-0]:[M4-XPM18000-0]],TablaControladores[[REFERENCIA]:[REFERENCIA]],TablaControladores[SA])*$AA373:$AJ373)</f>
        <v>4</v>
      </c>
      <c r="X373" s="14" cm="1">
        <f t="array" ref="X373">SUM(_xlfn.XLOOKUP(TablaSeleccionControladores[[#Headers],[M4-CGE04060-0]:[M4-XPM18000-0]],TablaControladores[[REFERENCIA]:[REFERENCIA]],TablaControladores[SC])*$AA373:$AJ373)</f>
        <v>12</v>
      </c>
      <c r="Y373" s="14" cm="1">
        <f t="array" ref="Y373">SUM(_xlfn.XLOOKUP(TablaSeleccionControladores[[#Headers],[M4-CGE04060-0]:[M4-XPM18000-0]],TablaControladores[[REFERENCIA]:[REFERENCIA]],TablaControladores[SD])*$AA373:$AJ373)</f>
        <v>8</v>
      </c>
      <c r="Z373" s="14">
        <f>SUM(TablaSeleccionControladores[[#This Row],[EA]:[SD]])</f>
        <v>64</v>
      </c>
      <c r="AE373" s="14">
        <v>1</v>
      </c>
      <c r="AH373" s="14">
        <v>0</v>
      </c>
      <c r="AI373" s="14">
        <v>2</v>
      </c>
      <c r="AJ373" s="14">
        <v>1</v>
      </c>
    </row>
    <row r="374" spans="17:36" x14ac:dyDescent="0.25">
      <c r="Q374">
        <f t="shared" si="8"/>
        <v>264</v>
      </c>
      <c r="R374" t="s">
        <v>830</v>
      </c>
      <c r="S374">
        <f>SUM(TablaSeleccionControladores[[#This Row],[M4-CGE04060-0]:[M4-CGM09090-0H]])</f>
        <v>1</v>
      </c>
      <c r="T374" s="14" cm="1">
        <f t="array" ref="T374">SUM(_xlfn.XLOOKUP(TablaSeleccionControladores[[#Headers],[M4-CGE04060-0]:[M4-XPM18000-0]],TablaControladores[[REFERENCIA]:[REFERENCIA]],TablaControladores[EA])*$AA374:$AJ374)</f>
        <v>0</v>
      </c>
      <c r="U374" s="14" cm="1">
        <f t="array" ref="U374">SUM(_xlfn.XLOOKUP(TablaSeleccionControladores[[#Headers],[M4-CGE04060-0]:[M4-XPM18000-0]],TablaControladores[[REFERENCIA]:[REFERENCIA]],TablaControladores[EU])*$AA374:$AJ374)</f>
        <v>17</v>
      </c>
      <c r="V374" s="14" cm="1">
        <f t="array" ref="V374">SUM(_xlfn.XLOOKUP(TablaSeleccionControladores[[#Headers],[M4-CGE04060-0]:[M4-XPM18000-0]],TablaControladores[[REFERENCIA]:[REFERENCIA]],TablaControladores[ED])*$AA374:$AJ374)</f>
        <v>41</v>
      </c>
      <c r="W374" s="14" cm="1">
        <f t="array" ref="W374">SUM(_xlfn.XLOOKUP(TablaSeleccionControladores[[#Headers],[M4-CGE04060-0]:[M4-XPM18000-0]],TablaControladores[[REFERENCIA]:[REFERENCIA]],TablaControladores[SA])*$AA374:$AJ374)</f>
        <v>4</v>
      </c>
      <c r="X374" s="14" cm="1">
        <f t="array" ref="X374">SUM(_xlfn.XLOOKUP(TablaSeleccionControladores[[#Headers],[M4-CGE04060-0]:[M4-XPM18000-0]],TablaControladores[[REFERENCIA]:[REFERENCIA]],TablaControladores[SC])*$AA374:$AJ374)</f>
        <v>12</v>
      </c>
      <c r="Y374" s="14" cm="1">
        <f t="array" ref="Y374">SUM(_xlfn.XLOOKUP(TablaSeleccionControladores[[#Headers],[M4-CGE04060-0]:[M4-XPM18000-0]],TablaControladores[[REFERENCIA]:[REFERENCIA]],TablaControladores[SD])*$AA374:$AJ374)</f>
        <v>8</v>
      </c>
      <c r="Z374" s="14">
        <f>SUM(TablaSeleccionControladores[[#This Row],[EA]:[SD]])</f>
        <v>82</v>
      </c>
      <c r="AE374" s="14">
        <v>1</v>
      </c>
      <c r="AH374" s="14">
        <v>0</v>
      </c>
      <c r="AI374" s="14">
        <v>2</v>
      </c>
      <c r="AJ374" s="14">
        <v>2</v>
      </c>
    </row>
    <row r="375" spans="17:36" x14ac:dyDescent="0.25">
      <c r="Q375">
        <f t="shared" si="8"/>
        <v>265</v>
      </c>
      <c r="R375" t="s">
        <v>830</v>
      </c>
      <c r="S375">
        <f>SUM(TablaSeleccionControladores[[#This Row],[M4-CGE04060-0]:[M4-CGM09090-0H]])</f>
        <v>1</v>
      </c>
      <c r="T375" s="14" cm="1">
        <f t="array" ref="T375">SUM(_xlfn.XLOOKUP(TablaSeleccionControladores[[#Headers],[M4-CGE04060-0]:[M4-XPM18000-0]],TablaControladores[[REFERENCIA]:[REFERENCIA]],TablaControladores[EA])*$AA375:$AJ375)</f>
        <v>0</v>
      </c>
      <c r="U375" s="14" cm="1">
        <f t="array" ref="U375">SUM(_xlfn.XLOOKUP(TablaSeleccionControladores[[#Headers],[M4-CGE04060-0]:[M4-XPM18000-0]],TablaControladores[[REFERENCIA]:[REFERENCIA]],TablaControladores[EU])*$AA375:$AJ375)</f>
        <v>17</v>
      </c>
      <c r="V375" s="14" cm="1">
        <f t="array" ref="V375">SUM(_xlfn.XLOOKUP(TablaSeleccionControladores[[#Headers],[M4-CGE04060-0]:[M4-XPM18000-0]],TablaControladores[[REFERENCIA]:[REFERENCIA]],TablaControladores[ED])*$AA375:$AJ375)</f>
        <v>59</v>
      </c>
      <c r="W375" s="14" cm="1">
        <f t="array" ref="W375">SUM(_xlfn.XLOOKUP(TablaSeleccionControladores[[#Headers],[M4-CGE04060-0]:[M4-XPM18000-0]],TablaControladores[[REFERENCIA]:[REFERENCIA]],TablaControladores[SA])*$AA375:$AJ375)</f>
        <v>4</v>
      </c>
      <c r="X375" s="14" cm="1">
        <f t="array" ref="X375">SUM(_xlfn.XLOOKUP(TablaSeleccionControladores[[#Headers],[M4-CGE04060-0]:[M4-XPM18000-0]],TablaControladores[[REFERENCIA]:[REFERENCIA]],TablaControladores[SC])*$AA375:$AJ375)</f>
        <v>12</v>
      </c>
      <c r="Y375" s="14" cm="1">
        <f t="array" ref="Y375">SUM(_xlfn.XLOOKUP(TablaSeleccionControladores[[#Headers],[M4-CGE04060-0]:[M4-XPM18000-0]],TablaControladores[[REFERENCIA]:[REFERENCIA]],TablaControladores[SD])*$AA375:$AJ375)</f>
        <v>8</v>
      </c>
      <c r="Z375" s="14">
        <f>SUM(TablaSeleccionControladores[[#This Row],[EA]:[SD]])</f>
        <v>100</v>
      </c>
      <c r="AE375" s="14">
        <v>1</v>
      </c>
      <c r="AH375" s="14">
        <v>0</v>
      </c>
      <c r="AI375" s="14">
        <v>2</v>
      </c>
      <c r="AJ375" s="14">
        <v>3</v>
      </c>
    </row>
    <row r="376" spans="17:36" x14ac:dyDescent="0.25">
      <c r="Q376">
        <f t="shared" si="8"/>
        <v>266</v>
      </c>
      <c r="R376" t="s">
        <v>830</v>
      </c>
      <c r="S376">
        <f>SUM(TablaSeleccionControladores[[#This Row],[M4-CGE04060-0]:[M4-CGM09090-0H]])</f>
        <v>1</v>
      </c>
      <c r="T376" s="14" cm="1">
        <f t="array" ref="T376">SUM(_xlfn.XLOOKUP(TablaSeleccionControladores[[#Headers],[M4-CGE04060-0]:[M4-XPM18000-0]],TablaControladores[[REFERENCIA]:[REFERENCIA]],TablaControladores[EA])*$AA376:$AJ376)</f>
        <v>0</v>
      </c>
      <c r="U376" s="14" cm="1">
        <f t="array" ref="U376">SUM(_xlfn.XLOOKUP(TablaSeleccionControladores[[#Headers],[M4-CGE04060-0]:[M4-XPM18000-0]],TablaControladores[[REFERENCIA]:[REFERENCIA]],TablaControladores[EU])*$AA376:$AJ376)</f>
        <v>17</v>
      </c>
      <c r="V376" s="14" cm="1">
        <f t="array" ref="V376">SUM(_xlfn.XLOOKUP(TablaSeleccionControladores[[#Headers],[M4-CGE04060-0]:[M4-XPM18000-0]],TablaControladores[[REFERENCIA]:[REFERENCIA]],TablaControladores[ED])*$AA376:$AJ376)</f>
        <v>77</v>
      </c>
      <c r="W376" s="14" cm="1">
        <f t="array" ref="W376">SUM(_xlfn.XLOOKUP(TablaSeleccionControladores[[#Headers],[M4-CGE04060-0]:[M4-XPM18000-0]],TablaControladores[[REFERENCIA]:[REFERENCIA]],TablaControladores[SA])*$AA376:$AJ376)</f>
        <v>4</v>
      </c>
      <c r="X376" s="14" cm="1">
        <f t="array" ref="X376">SUM(_xlfn.XLOOKUP(TablaSeleccionControladores[[#Headers],[M4-CGE04060-0]:[M4-XPM18000-0]],TablaControladores[[REFERENCIA]:[REFERENCIA]],TablaControladores[SC])*$AA376:$AJ376)</f>
        <v>12</v>
      </c>
      <c r="Y376" s="14" cm="1">
        <f t="array" ref="Y376">SUM(_xlfn.XLOOKUP(TablaSeleccionControladores[[#Headers],[M4-CGE04060-0]:[M4-XPM18000-0]],TablaControladores[[REFERENCIA]:[REFERENCIA]],TablaControladores[SD])*$AA376:$AJ376)</f>
        <v>8</v>
      </c>
      <c r="Z376" s="14">
        <f>SUM(TablaSeleccionControladores[[#This Row],[EA]:[SD]])</f>
        <v>118</v>
      </c>
      <c r="AE376" s="14">
        <v>1</v>
      </c>
      <c r="AH376" s="14">
        <v>0</v>
      </c>
      <c r="AI376" s="14">
        <v>2</v>
      </c>
      <c r="AJ376" s="14">
        <v>4</v>
      </c>
    </row>
    <row r="377" spans="17:36" x14ac:dyDescent="0.25">
      <c r="Q377">
        <f t="shared" si="8"/>
        <v>267</v>
      </c>
      <c r="R377" t="s">
        <v>830</v>
      </c>
      <c r="S377">
        <f>SUM(TablaSeleccionControladores[[#This Row],[M4-CGE04060-0]:[M4-CGM09090-0H]])</f>
        <v>1</v>
      </c>
      <c r="T377" s="14" cm="1">
        <f t="array" ref="T377">SUM(_xlfn.XLOOKUP(TablaSeleccionControladores[[#Headers],[M4-CGE04060-0]:[M4-XPM18000-0]],TablaControladores[[REFERENCIA]:[REFERENCIA]],TablaControladores[EA])*$AA377:$AJ377)</f>
        <v>0</v>
      </c>
      <c r="U377" s="14" cm="1">
        <f t="array" ref="U377">SUM(_xlfn.XLOOKUP(TablaSeleccionControladores[[#Headers],[M4-CGE04060-0]:[M4-XPM18000-0]],TablaControladores[[REFERENCIA]:[REFERENCIA]],TablaControladores[EU])*$AA377:$AJ377)</f>
        <v>24</v>
      </c>
      <c r="V377" s="14" cm="1">
        <f t="array" ref="V377">SUM(_xlfn.XLOOKUP(TablaSeleccionControladores[[#Headers],[M4-CGE04060-0]:[M4-XPM18000-0]],TablaControladores[[REFERENCIA]:[REFERENCIA]],TablaControladores[ED])*$AA377:$AJ377)</f>
        <v>7</v>
      </c>
      <c r="W377" s="14" cm="1">
        <f t="array" ref="W377">SUM(_xlfn.XLOOKUP(TablaSeleccionControladores[[#Headers],[M4-CGE04060-0]:[M4-XPM18000-0]],TablaControladores[[REFERENCIA]:[REFERENCIA]],TablaControladores[SA])*$AA377:$AJ377)</f>
        <v>6</v>
      </c>
      <c r="X377" s="14" cm="1">
        <f t="array" ref="X377">SUM(_xlfn.XLOOKUP(TablaSeleccionControladores[[#Headers],[M4-CGE04060-0]:[M4-XPM18000-0]],TablaControladores[[REFERENCIA]:[REFERENCIA]],TablaControladores[SC])*$AA377:$AJ377)</f>
        <v>16</v>
      </c>
      <c r="Y377" s="14" cm="1">
        <f t="array" ref="Y377">SUM(_xlfn.XLOOKUP(TablaSeleccionControladores[[#Headers],[M4-CGE04060-0]:[M4-XPM18000-0]],TablaControladores[[REFERENCIA]:[REFERENCIA]],TablaControladores[SD])*$AA377:$AJ377)</f>
        <v>11</v>
      </c>
      <c r="Z377" s="14">
        <f>SUM(TablaSeleccionControladores[[#This Row],[EA]:[SD]])</f>
        <v>64</v>
      </c>
      <c r="AE377" s="14">
        <v>1</v>
      </c>
      <c r="AH377" s="14">
        <v>0</v>
      </c>
      <c r="AI377" s="14">
        <v>3</v>
      </c>
      <c r="AJ377" s="14">
        <v>0</v>
      </c>
    </row>
    <row r="378" spans="17:36" x14ac:dyDescent="0.25">
      <c r="Q378">
        <f t="shared" si="8"/>
        <v>268</v>
      </c>
      <c r="R378" t="s">
        <v>830</v>
      </c>
      <c r="S378">
        <f>SUM(TablaSeleccionControladores[[#This Row],[M4-CGE04060-0]:[M4-CGM09090-0H]])</f>
        <v>1</v>
      </c>
      <c r="T378" s="14" cm="1">
        <f t="array" ref="T378">SUM(_xlfn.XLOOKUP(TablaSeleccionControladores[[#Headers],[M4-CGE04060-0]:[M4-XPM18000-0]],TablaControladores[[REFERENCIA]:[REFERENCIA]],TablaControladores[EA])*$AA378:$AJ378)</f>
        <v>0</v>
      </c>
      <c r="U378" s="14" cm="1">
        <f t="array" ref="U378">SUM(_xlfn.XLOOKUP(TablaSeleccionControladores[[#Headers],[M4-CGE04060-0]:[M4-XPM18000-0]],TablaControladores[[REFERENCIA]:[REFERENCIA]],TablaControladores[EU])*$AA378:$AJ378)</f>
        <v>24</v>
      </c>
      <c r="V378" s="14" cm="1">
        <f t="array" ref="V378">SUM(_xlfn.XLOOKUP(TablaSeleccionControladores[[#Headers],[M4-CGE04060-0]:[M4-XPM18000-0]],TablaControladores[[REFERENCIA]:[REFERENCIA]],TablaControladores[ED])*$AA378:$AJ378)</f>
        <v>25</v>
      </c>
      <c r="W378" s="14" cm="1">
        <f t="array" ref="W378">SUM(_xlfn.XLOOKUP(TablaSeleccionControladores[[#Headers],[M4-CGE04060-0]:[M4-XPM18000-0]],TablaControladores[[REFERENCIA]:[REFERENCIA]],TablaControladores[SA])*$AA378:$AJ378)</f>
        <v>6</v>
      </c>
      <c r="X378" s="14" cm="1">
        <f t="array" ref="X378">SUM(_xlfn.XLOOKUP(TablaSeleccionControladores[[#Headers],[M4-CGE04060-0]:[M4-XPM18000-0]],TablaControladores[[REFERENCIA]:[REFERENCIA]],TablaControladores[SC])*$AA378:$AJ378)</f>
        <v>16</v>
      </c>
      <c r="Y378" s="14" cm="1">
        <f t="array" ref="Y378">SUM(_xlfn.XLOOKUP(TablaSeleccionControladores[[#Headers],[M4-CGE04060-0]:[M4-XPM18000-0]],TablaControladores[[REFERENCIA]:[REFERENCIA]],TablaControladores[SD])*$AA378:$AJ378)</f>
        <v>11</v>
      </c>
      <c r="Z378" s="14">
        <f>SUM(TablaSeleccionControladores[[#This Row],[EA]:[SD]])</f>
        <v>82</v>
      </c>
      <c r="AE378" s="14">
        <v>1</v>
      </c>
      <c r="AH378" s="14">
        <v>0</v>
      </c>
      <c r="AI378" s="14">
        <v>3</v>
      </c>
      <c r="AJ378" s="14">
        <v>1</v>
      </c>
    </row>
    <row r="379" spans="17:36" x14ac:dyDescent="0.25">
      <c r="Q379">
        <f t="shared" si="8"/>
        <v>269</v>
      </c>
      <c r="R379" t="s">
        <v>830</v>
      </c>
      <c r="S379">
        <f>SUM(TablaSeleccionControladores[[#This Row],[M4-CGE04060-0]:[M4-CGM09090-0H]])</f>
        <v>1</v>
      </c>
      <c r="T379" s="14" cm="1">
        <f t="array" ref="T379">SUM(_xlfn.XLOOKUP(TablaSeleccionControladores[[#Headers],[M4-CGE04060-0]:[M4-XPM18000-0]],TablaControladores[[REFERENCIA]:[REFERENCIA]],TablaControladores[EA])*$AA379:$AJ379)</f>
        <v>0</v>
      </c>
      <c r="U379" s="14" cm="1">
        <f t="array" ref="U379">SUM(_xlfn.XLOOKUP(TablaSeleccionControladores[[#Headers],[M4-CGE04060-0]:[M4-XPM18000-0]],TablaControladores[[REFERENCIA]:[REFERENCIA]],TablaControladores[EU])*$AA379:$AJ379)</f>
        <v>24</v>
      </c>
      <c r="V379" s="14" cm="1">
        <f t="array" ref="V379">SUM(_xlfn.XLOOKUP(TablaSeleccionControladores[[#Headers],[M4-CGE04060-0]:[M4-XPM18000-0]],TablaControladores[[REFERENCIA]:[REFERENCIA]],TablaControladores[ED])*$AA379:$AJ379)</f>
        <v>43</v>
      </c>
      <c r="W379" s="14" cm="1">
        <f t="array" ref="W379">SUM(_xlfn.XLOOKUP(TablaSeleccionControladores[[#Headers],[M4-CGE04060-0]:[M4-XPM18000-0]],TablaControladores[[REFERENCIA]:[REFERENCIA]],TablaControladores[SA])*$AA379:$AJ379)</f>
        <v>6</v>
      </c>
      <c r="X379" s="14" cm="1">
        <f t="array" ref="X379">SUM(_xlfn.XLOOKUP(TablaSeleccionControladores[[#Headers],[M4-CGE04060-0]:[M4-XPM18000-0]],TablaControladores[[REFERENCIA]:[REFERENCIA]],TablaControladores[SC])*$AA379:$AJ379)</f>
        <v>16</v>
      </c>
      <c r="Y379" s="14" cm="1">
        <f t="array" ref="Y379">SUM(_xlfn.XLOOKUP(TablaSeleccionControladores[[#Headers],[M4-CGE04060-0]:[M4-XPM18000-0]],TablaControladores[[REFERENCIA]:[REFERENCIA]],TablaControladores[SD])*$AA379:$AJ379)</f>
        <v>11</v>
      </c>
      <c r="Z379" s="14">
        <f>SUM(TablaSeleccionControladores[[#This Row],[EA]:[SD]])</f>
        <v>100</v>
      </c>
      <c r="AE379" s="14">
        <v>1</v>
      </c>
      <c r="AH379" s="14">
        <v>0</v>
      </c>
      <c r="AI379" s="14">
        <v>3</v>
      </c>
      <c r="AJ379" s="14">
        <v>2</v>
      </c>
    </row>
    <row r="380" spans="17:36" x14ac:dyDescent="0.25">
      <c r="Q380">
        <f t="shared" si="8"/>
        <v>270</v>
      </c>
      <c r="R380" t="s">
        <v>830</v>
      </c>
      <c r="S380">
        <f>SUM(TablaSeleccionControladores[[#This Row],[M4-CGE04060-0]:[M4-CGM09090-0H]])</f>
        <v>1</v>
      </c>
      <c r="T380" s="14" cm="1">
        <f t="array" ref="T380">SUM(_xlfn.XLOOKUP(TablaSeleccionControladores[[#Headers],[M4-CGE04060-0]:[M4-XPM18000-0]],TablaControladores[[REFERENCIA]:[REFERENCIA]],TablaControladores[EA])*$AA380:$AJ380)</f>
        <v>0</v>
      </c>
      <c r="U380" s="14" cm="1">
        <f t="array" ref="U380">SUM(_xlfn.XLOOKUP(TablaSeleccionControladores[[#Headers],[M4-CGE04060-0]:[M4-XPM18000-0]],TablaControladores[[REFERENCIA]:[REFERENCIA]],TablaControladores[EU])*$AA380:$AJ380)</f>
        <v>24</v>
      </c>
      <c r="V380" s="14" cm="1">
        <f t="array" ref="V380">SUM(_xlfn.XLOOKUP(TablaSeleccionControladores[[#Headers],[M4-CGE04060-0]:[M4-XPM18000-0]],TablaControladores[[REFERENCIA]:[REFERENCIA]],TablaControladores[ED])*$AA380:$AJ380)</f>
        <v>61</v>
      </c>
      <c r="W380" s="14" cm="1">
        <f t="array" ref="W380">SUM(_xlfn.XLOOKUP(TablaSeleccionControladores[[#Headers],[M4-CGE04060-0]:[M4-XPM18000-0]],TablaControladores[[REFERENCIA]:[REFERENCIA]],TablaControladores[SA])*$AA380:$AJ380)</f>
        <v>6</v>
      </c>
      <c r="X380" s="14" cm="1">
        <f t="array" ref="X380">SUM(_xlfn.XLOOKUP(TablaSeleccionControladores[[#Headers],[M4-CGE04060-0]:[M4-XPM18000-0]],TablaControladores[[REFERENCIA]:[REFERENCIA]],TablaControladores[SC])*$AA380:$AJ380)</f>
        <v>16</v>
      </c>
      <c r="Y380" s="14" cm="1">
        <f t="array" ref="Y380">SUM(_xlfn.XLOOKUP(TablaSeleccionControladores[[#Headers],[M4-CGE04060-0]:[M4-XPM18000-0]],TablaControladores[[REFERENCIA]:[REFERENCIA]],TablaControladores[SD])*$AA380:$AJ380)</f>
        <v>11</v>
      </c>
      <c r="Z380" s="14">
        <f>SUM(TablaSeleccionControladores[[#This Row],[EA]:[SD]])</f>
        <v>118</v>
      </c>
      <c r="AE380" s="14">
        <v>1</v>
      </c>
      <c r="AH380" s="14">
        <v>0</v>
      </c>
      <c r="AI380" s="14">
        <v>3</v>
      </c>
      <c r="AJ380" s="14">
        <v>3</v>
      </c>
    </row>
    <row r="381" spans="17:36" x14ac:dyDescent="0.25">
      <c r="Q381">
        <f t="shared" si="8"/>
        <v>271</v>
      </c>
      <c r="R381" t="s">
        <v>830</v>
      </c>
      <c r="S381">
        <f>SUM(TablaSeleccionControladores[[#This Row],[M4-CGE04060-0]:[M4-CGM09090-0H]])</f>
        <v>1</v>
      </c>
      <c r="T381" s="14" cm="1">
        <f t="array" ref="T381">SUM(_xlfn.XLOOKUP(TablaSeleccionControladores[[#Headers],[M4-CGE04060-0]:[M4-XPM18000-0]],TablaControladores[[REFERENCIA]:[REFERENCIA]],TablaControladores[EA])*$AA381:$AJ381)</f>
        <v>0</v>
      </c>
      <c r="U381" s="14" cm="1">
        <f t="array" ref="U381">SUM(_xlfn.XLOOKUP(TablaSeleccionControladores[[#Headers],[M4-CGE04060-0]:[M4-XPM18000-0]],TablaControladores[[REFERENCIA]:[REFERENCIA]],TablaControladores[EU])*$AA381:$AJ381)</f>
        <v>31</v>
      </c>
      <c r="V381" s="14" cm="1">
        <f t="array" ref="V381">SUM(_xlfn.XLOOKUP(TablaSeleccionControladores[[#Headers],[M4-CGE04060-0]:[M4-XPM18000-0]],TablaControladores[[REFERENCIA]:[REFERENCIA]],TablaControladores[ED])*$AA381:$AJ381)</f>
        <v>9</v>
      </c>
      <c r="W381" s="14" cm="1">
        <f t="array" ref="W381">SUM(_xlfn.XLOOKUP(TablaSeleccionControladores[[#Headers],[M4-CGE04060-0]:[M4-XPM18000-0]],TablaControladores[[REFERENCIA]:[REFERENCIA]],TablaControladores[SA])*$AA381:$AJ381)</f>
        <v>8</v>
      </c>
      <c r="X381" s="14" cm="1">
        <f t="array" ref="X381">SUM(_xlfn.XLOOKUP(TablaSeleccionControladores[[#Headers],[M4-CGE04060-0]:[M4-XPM18000-0]],TablaControladores[[REFERENCIA]:[REFERENCIA]],TablaControladores[SC])*$AA381:$AJ381)</f>
        <v>20</v>
      </c>
      <c r="Y381" s="14" cm="1">
        <f t="array" ref="Y381">SUM(_xlfn.XLOOKUP(TablaSeleccionControladores[[#Headers],[M4-CGE04060-0]:[M4-XPM18000-0]],TablaControladores[[REFERENCIA]:[REFERENCIA]],TablaControladores[SD])*$AA381:$AJ381)</f>
        <v>14</v>
      </c>
      <c r="Z381" s="14">
        <f>SUM(TablaSeleccionControladores[[#This Row],[EA]:[SD]])</f>
        <v>82</v>
      </c>
      <c r="AE381" s="14">
        <v>1</v>
      </c>
      <c r="AH381" s="14">
        <v>0</v>
      </c>
      <c r="AI381" s="14">
        <v>4</v>
      </c>
      <c r="AJ381" s="14">
        <v>0</v>
      </c>
    </row>
    <row r="382" spans="17:36" x14ac:dyDescent="0.25">
      <c r="Q382">
        <f t="shared" si="8"/>
        <v>272</v>
      </c>
      <c r="R382" t="s">
        <v>830</v>
      </c>
      <c r="S382">
        <f>SUM(TablaSeleccionControladores[[#This Row],[M4-CGE04060-0]:[M4-CGM09090-0H]])</f>
        <v>1</v>
      </c>
      <c r="T382" s="14" cm="1">
        <f t="array" ref="T382">SUM(_xlfn.XLOOKUP(TablaSeleccionControladores[[#Headers],[M4-CGE04060-0]:[M4-XPM18000-0]],TablaControladores[[REFERENCIA]:[REFERENCIA]],TablaControladores[EA])*$AA382:$AJ382)</f>
        <v>0</v>
      </c>
      <c r="U382" s="14" cm="1">
        <f t="array" ref="U382">SUM(_xlfn.XLOOKUP(TablaSeleccionControladores[[#Headers],[M4-CGE04060-0]:[M4-XPM18000-0]],TablaControladores[[REFERENCIA]:[REFERENCIA]],TablaControladores[EU])*$AA382:$AJ382)</f>
        <v>31</v>
      </c>
      <c r="V382" s="14" cm="1">
        <f t="array" ref="V382">SUM(_xlfn.XLOOKUP(TablaSeleccionControladores[[#Headers],[M4-CGE04060-0]:[M4-XPM18000-0]],TablaControladores[[REFERENCIA]:[REFERENCIA]],TablaControladores[ED])*$AA382:$AJ382)</f>
        <v>27</v>
      </c>
      <c r="W382" s="14" cm="1">
        <f t="array" ref="W382">SUM(_xlfn.XLOOKUP(TablaSeleccionControladores[[#Headers],[M4-CGE04060-0]:[M4-XPM18000-0]],TablaControladores[[REFERENCIA]:[REFERENCIA]],TablaControladores[SA])*$AA382:$AJ382)</f>
        <v>8</v>
      </c>
      <c r="X382" s="14" cm="1">
        <f t="array" ref="X382">SUM(_xlfn.XLOOKUP(TablaSeleccionControladores[[#Headers],[M4-CGE04060-0]:[M4-XPM18000-0]],TablaControladores[[REFERENCIA]:[REFERENCIA]],TablaControladores[SC])*$AA382:$AJ382)</f>
        <v>20</v>
      </c>
      <c r="Y382" s="14" cm="1">
        <f t="array" ref="Y382">SUM(_xlfn.XLOOKUP(TablaSeleccionControladores[[#Headers],[M4-CGE04060-0]:[M4-XPM18000-0]],TablaControladores[[REFERENCIA]:[REFERENCIA]],TablaControladores[SD])*$AA382:$AJ382)</f>
        <v>14</v>
      </c>
      <c r="Z382" s="14">
        <f>SUM(TablaSeleccionControladores[[#This Row],[EA]:[SD]])</f>
        <v>100</v>
      </c>
      <c r="AE382" s="14">
        <v>1</v>
      </c>
      <c r="AH382" s="14">
        <v>0</v>
      </c>
      <c r="AI382" s="14">
        <v>4</v>
      </c>
      <c r="AJ382" s="14">
        <v>1</v>
      </c>
    </row>
    <row r="383" spans="17:36" x14ac:dyDescent="0.25">
      <c r="Q383">
        <f t="shared" si="8"/>
        <v>273</v>
      </c>
      <c r="R383" t="s">
        <v>830</v>
      </c>
      <c r="S383">
        <f>SUM(TablaSeleccionControladores[[#This Row],[M4-CGE04060-0]:[M4-CGM09090-0H]])</f>
        <v>1</v>
      </c>
      <c r="T383" s="14" cm="1">
        <f t="array" ref="T383">SUM(_xlfn.XLOOKUP(TablaSeleccionControladores[[#Headers],[M4-CGE04060-0]:[M4-XPM18000-0]],TablaControladores[[REFERENCIA]:[REFERENCIA]],TablaControladores[EA])*$AA383:$AJ383)</f>
        <v>0</v>
      </c>
      <c r="U383" s="14" cm="1">
        <f t="array" ref="U383">SUM(_xlfn.XLOOKUP(TablaSeleccionControladores[[#Headers],[M4-CGE04060-0]:[M4-XPM18000-0]],TablaControladores[[REFERENCIA]:[REFERENCIA]],TablaControladores[EU])*$AA383:$AJ383)</f>
        <v>31</v>
      </c>
      <c r="V383" s="14" cm="1">
        <f t="array" ref="V383">SUM(_xlfn.XLOOKUP(TablaSeleccionControladores[[#Headers],[M4-CGE04060-0]:[M4-XPM18000-0]],TablaControladores[[REFERENCIA]:[REFERENCIA]],TablaControladores[ED])*$AA383:$AJ383)</f>
        <v>45</v>
      </c>
      <c r="W383" s="14" cm="1">
        <f t="array" ref="W383">SUM(_xlfn.XLOOKUP(TablaSeleccionControladores[[#Headers],[M4-CGE04060-0]:[M4-XPM18000-0]],TablaControladores[[REFERENCIA]:[REFERENCIA]],TablaControladores[SA])*$AA383:$AJ383)</f>
        <v>8</v>
      </c>
      <c r="X383" s="14" cm="1">
        <f t="array" ref="X383">SUM(_xlfn.XLOOKUP(TablaSeleccionControladores[[#Headers],[M4-CGE04060-0]:[M4-XPM18000-0]],TablaControladores[[REFERENCIA]:[REFERENCIA]],TablaControladores[SC])*$AA383:$AJ383)</f>
        <v>20</v>
      </c>
      <c r="Y383" s="14" cm="1">
        <f t="array" ref="Y383">SUM(_xlfn.XLOOKUP(TablaSeleccionControladores[[#Headers],[M4-CGE04060-0]:[M4-XPM18000-0]],TablaControladores[[REFERENCIA]:[REFERENCIA]],TablaControladores[SD])*$AA383:$AJ383)</f>
        <v>14</v>
      </c>
      <c r="Z383" s="14">
        <f>SUM(TablaSeleccionControladores[[#This Row],[EA]:[SD]])</f>
        <v>118</v>
      </c>
      <c r="AE383" s="14">
        <v>1</v>
      </c>
      <c r="AH383" s="14">
        <v>0</v>
      </c>
      <c r="AI383" s="14">
        <v>4</v>
      </c>
      <c r="AJ383" s="14">
        <v>2</v>
      </c>
    </row>
    <row r="384" spans="17:36" x14ac:dyDescent="0.25">
      <c r="Q384">
        <f t="shared" si="8"/>
        <v>274</v>
      </c>
      <c r="R384" t="s">
        <v>830</v>
      </c>
      <c r="S384">
        <f>SUM(TablaSeleccionControladores[[#This Row],[M4-CGE04060-0]:[M4-CGM09090-0H]])</f>
        <v>1</v>
      </c>
      <c r="T384" s="14" cm="1">
        <f t="array" ref="T384">SUM(_xlfn.XLOOKUP(TablaSeleccionControladores[[#Headers],[M4-CGE04060-0]:[M4-XPM18000-0]],TablaControladores[[REFERENCIA]:[REFERENCIA]],TablaControladores[EA])*$AA384:$AJ384)</f>
        <v>0</v>
      </c>
      <c r="U384" s="14" cm="1">
        <f t="array" ref="U384">SUM(_xlfn.XLOOKUP(TablaSeleccionControladores[[#Headers],[M4-CGE04060-0]:[M4-XPM18000-0]],TablaControladores[[REFERENCIA]:[REFERENCIA]],TablaControladores[EU])*$AA384:$AJ384)</f>
        <v>38</v>
      </c>
      <c r="V384" s="14" cm="1">
        <f t="array" ref="V384">SUM(_xlfn.XLOOKUP(TablaSeleccionControladores[[#Headers],[M4-CGE04060-0]:[M4-XPM18000-0]],TablaControladores[[REFERENCIA]:[REFERENCIA]],TablaControladores[ED])*$AA384:$AJ384)</f>
        <v>11</v>
      </c>
      <c r="W384" s="14" cm="1">
        <f t="array" ref="W384">SUM(_xlfn.XLOOKUP(TablaSeleccionControladores[[#Headers],[M4-CGE04060-0]:[M4-XPM18000-0]],TablaControladores[[REFERENCIA]:[REFERENCIA]],TablaControladores[SA])*$AA384:$AJ384)</f>
        <v>10</v>
      </c>
      <c r="X384" s="14" cm="1">
        <f t="array" ref="X384">SUM(_xlfn.XLOOKUP(TablaSeleccionControladores[[#Headers],[M4-CGE04060-0]:[M4-XPM18000-0]],TablaControladores[[REFERENCIA]:[REFERENCIA]],TablaControladores[SC])*$AA384:$AJ384)</f>
        <v>24</v>
      </c>
      <c r="Y384" s="14" cm="1">
        <f t="array" ref="Y384">SUM(_xlfn.XLOOKUP(TablaSeleccionControladores[[#Headers],[M4-CGE04060-0]:[M4-XPM18000-0]],TablaControladores[[REFERENCIA]:[REFERENCIA]],TablaControladores[SD])*$AA384:$AJ384)</f>
        <v>17</v>
      </c>
      <c r="Z384" s="14">
        <f>SUM(TablaSeleccionControladores[[#This Row],[EA]:[SD]])</f>
        <v>100</v>
      </c>
      <c r="AE384" s="14">
        <v>1</v>
      </c>
      <c r="AH384" s="14">
        <v>0</v>
      </c>
      <c r="AI384" s="14">
        <v>5</v>
      </c>
      <c r="AJ384" s="14">
        <v>0</v>
      </c>
    </row>
    <row r="385" spans="17:36" x14ac:dyDescent="0.25">
      <c r="Q385">
        <f t="shared" si="8"/>
        <v>275</v>
      </c>
      <c r="R385" t="s">
        <v>830</v>
      </c>
      <c r="S385">
        <f>SUM(TablaSeleccionControladores[[#This Row],[M4-CGE04060-0]:[M4-CGM09090-0H]])</f>
        <v>1</v>
      </c>
      <c r="T385" s="14" cm="1">
        <f t="array" ref="T385">SUM(_xlfn.XLOOKUP(TablaSeleccionControladores[[#Headers],[M4-CGE04060-0]:[M4-XPM18000-0]],TablaControladores[[REFERENCIA]:[REFERENCIA]],TablaControladores[EA])*$AA385:$AJ385)</f>
        <v>0</v>
      </c>
      <c r="U385" s="14" cm="1">
        <f t="array" ref="U385">SUM(_xlfn.XLOOKUP(TablaSeleccionControladores[[#Headers],[M4-CGE04060-0]:[M4-XPM18000-0]],TablaControladores[[REFERENCIA]:[REFERENCIA]],TablaControladores[EU])*$AA385:$AJ385)</f>
        <v>38</v>
      </c>
      <c r="V385" s="14" cm="1">
        <f t="array" ref="V385">SUM(_xlfn.XLOOKUP(TablaSeleccionControladores[[#Headers],[M4-CGE04060-0]:[M4-XPM18000-0]],TablaControladores[[REFERENCIA]:[REFERENCIA]],TablaControladores[ED])*$AA385:$AJ385)</f>
        <v>29</v>
      </c>
      <c r="W385" s="14" cm="1">
        <f t="array" ref="W385">SUM(_xlfn.XLOOKUP(TablaSeleccionControladores[[#Headers],[M4-CGE04060-0]:[M4-XPM18000-0]],TablaControladores[[REFERENCIA]:[REFERENCIA]],TablaControladores[SA])*$AA385:$AJ385)</f>
        <v>10</v>
      </c>
      <c r="X385" s="14" cm="1">
        <f t="array" ref="X385">SUM(_xlfn.XLOOKUP(TablaSeleccionControladores[[#Headers],[M4-CGE04060-0]:[M4-XPM18000-0]],TablaControladores[[REFERENCIA]:[REFERENCIA]],TablaControladores[SC])*$AA385:$AJ385)</f>
        <v>24</v>
      </c>
      <c r="Y385" s="14" cm="1">
        <f t="array" ref="Y385">SUM(_xlfn.XLOOKUP(TablaSeleccionControladores[[#Headers],[M4-CGE04060-0]:[M4-XPM18000-0]],TablaControladores[[REFERENCIA]:[REFERENCIA]],TablaControladores[SD])*$AA385:$AJ385)</f>
        <v>17</v>
      </c>
      <c r="Z385" s="14">
        <f>SUM(TablaSeleccionControladores[[#This Row],[EA]:[SD]])</f>
        <v>118</v>
      </c>
      <c r="AE385" s="14">
        <v>1</v>
      </c>
      <c r="AH385" s="14">
        <v>0</v>
      </c>
      <c r="AI385" s="14">
        <v>5</v>
      </c>
      <c r="AJ385" s="14">
        <v>1</v>
      </c>
    </row>
    <row r="386" spans="17:36" x14ac:dyDescent="0.25">
      <c r="Q386">
        <f t="shared" si="8"/>
        <v>276</v>
      </c>
      <c r="R386" t="s">
        <v>830</v>
      </c>
      <c r="S386">
        <f>SUM(TablaSeleccionControladores[[#This Row],[M4-CGE04060-0]:[M4-CGM09090-0H]])</f>
        <v>1</v>
      </c>
      <c r="T386" s="14" cm="1">
        <f t="array" ref="T386">SUM(_xlfn.XLOOKUP(TablaSeleccionControladores[[#Headers],[M4-CGE04060-0]:[M4-XPM18000-0]],TablaControladores[[REFERENCIA]:[REFERENCIA]],TablaControladores[EA])*$AA386:$AJ386)</f>
        <v>0</v>
      </c>
      <c r="U386" s="14" cm="1">
        <f t="array" ref="U386">SUM(_xlfn.XLOOKUP(TablaSeleccionControladores[[#Headers],[M4-CGE04060-0]:[M4-XPM18000-0]],TablaControladores[[REFERENCIA]:[REFERENCIA]],TablaControladores[EU])*$AA386:$AJ386)</f>
        <v>45</v>
      </c>
      <c r="V386" s="14" cm="1">
        <f t="array" ref="V386">SUM(_xlfn.XLOOKUP(TablaSeleccionControladores[[#Headers],[M4-CGE04060-0]:[M4-XPM18000-0]],TablaControladores[[REFERENCIA]:[REFERENCIA]],TablaControladores[ED])*$AA386:$AJ386)</f>
        <v>13</v>
      </c>
      <c r="W386" s="14" cm="1">
        <f t="array" ref="W386">SUM(_xlfn.XLOOKUP(TablaSeleccionControladores[[#Headers],[M4-CGE04060-0]:[M4-XPM18000-0]],TablaControladores[[REFERENCIA]:[REFERENCIA]],TablaControladores[SA])*$AA386:$AJ386)</f>
        <v>12</v>
      </c>
      <c r="X386" s="14" cm="1">
        <f t="array" ref="X386">SUM(_xlfn.XLOOKUP(TablaSeleccionControladores[[#Headers],[M4-CGE04060-0]:[M4-XPM18000-0]],TablaControladores[[REFERENCIA]:[REFERENCIA]],TablaControladores[SC])*$AA386:$AJ386)</f>
        <v>28</v>
      </c>
      <c r="Y386" s="14" cm="1">
        <f t="array" ref="Y386">SUM(_xlfn.XLOOKUP(TablaSeleccionControladores[[#Headers],[M4-CGE04060-0]:[M4-XPM18000-0]],TablaControladores[[REFERENCIA]:[REFERENCIA]],TablaControladores[SD])*$AA386:$AJ386)</f>
        <v>20</v>
      </c>
      <c r="Z386" s="14">
        <f>SUM(TablaSeleccionControladores[[#This Row],[EA]:[SD]])</f>
        <v>118</v>
      </c>
      <c r="AE386" s="14">
        <v>1</v>
      </c>
      <c r="AH386" s="14">
        <v>0</v>
      </c>
      <c r="AI386" s="14">
        <v>6</v>
      </c>
      <c r="AJ386" s="14">
        <v>0</v>
      </c>
    </row>
    <row r="387" spans="17:36" x14ac:dyDescent="0.25">
      <c r="Q387">
        <f t="shared" si="8"/>
        <v>277</v>
      </c>
      <c r="R387" t="s">
        <v>830</v>
      </c>
      <c r="S387">
        <f>SUM(TablaSeleccionControladores[[#This Row],[M4-CGE04060-0]:[M4-CGM09090-0H]])</f>
        <v>1</v>
      </c>
      <c r="T387" s="14" cm="1">
        <f t="array" ref="T387">SUM(_xlfn.XLOOKUP(TablaSeleccionControladores[[#Headers],[M4-CGE04060-0]:[M4-XPM18000-0]],TablaControladores[[REFERENCIA]:[REFERENCIA]],TablaControladores[EA])*$AA387:$AJ387)</f>
        <v>0</v>
      </c>
      <c r="U387" s="14" cm="1">
        <f t="array" ref="U387">SUM(_xlfn.XLOOKUP(TablaSeleccionControladores[[#Headers],[M4-CGE04060-0]:[M4-XPM18000-0]],TablaControladores[[REFERENCIA]:[REFERENCIA]],TablaControladores[EU])*$AA387:$AJ387)</f>
        <v>6</v>
      </c>
      <c r="V387" s="14" cm="1">
        <f t="array" ref="V387">SUM(_xlfn.XLOOKUP(TablaSeleccionControladores[[#Headers],[M4-CGE04060-0]:[M4-XPM18000-0]],TablaControladores[[REFERENCIA]:[REFERENCIA]],TablaControladores[ED])*$AA387:$AJ387)</f>
        <v>2</v>
      </c>
      <c r="W387" s="14" cm="1">
        <f t="array" ref="W387">SUM(_xlfn.XLOOKUP(TablaSeleccionControladores[[#Headers],[M4-CGE04060-0]:[M4-XPM18000-0]],TablaControladores[[REFERENCIA]:[REFERENCIA]],TablaControladores[SA])*$AA387:$AJ387)</f>
        <v>2</v>
      </c>
      <c r="X387" s="14" cm="1">
        <f t="array" ref="X387">SUM(_xlfn.XLOOKUP(TablaSeleccionControladores[[#Headers],[M4-CGE04060-0]:[M4-XPM18000-0]],TablaControladores[[REFERENCIA]:[REFERENCIA]],TablaControladores[SC])*$AA387:$AJ387)</f>
        <v>8</v>
      </c>
      <c r="Y387" s="14" cm="1">
        <f t="array" ref="Y387">SUM(_xlfn.XLOOKUP(TablaSeleccionControladores[[#Headers],[M4-CGE04060-0]:[M4-XPM18000-0]],TablaControladores[[REFERENCIA]:[REFERENCIA]],TablaControladores[SD])*$AA387:$AJ387)</f>
        <v>5</v>
      </c>
      <c r="Z387" s="14">
        <f>SUM(TablaSeleccionControladores[[#This Row],[EA]:[SD]])</f>
        <v>23</v>
      </c>
      <c r="AE387" s="14">
        <v>1</v>
      </c>
      <c r="AH387" s="14">
        <v>1</v>
      </c>
      <c r="AI387" s="14">
        <v>0</v>
      </c>
      <c r="AJ387" s="14">
        <v>0</v>
      </c>
    </row>
    <row r="388" spans="17:36" x14ac:dyDescent="0.25">
      <c r="Q388">
        <f t="shared" si="8"/>
        <v>278</v>
      </c>
      <c r="R388" t="s">
        <v>830</v>
      </c>
      <c r="S388">
        <f>SUM(TablaSeleccionControladores[[#This Row],[M4-CGE04060-0]:[M4-CGM09090-0H]])</f>
        <v>1</v>
      </c>
      <c r="T388" s="14" cm="1">
        <f t="array" ref="T388">SUM(_xlfn.XLOOKUP(TablaSeleccionControladores[[#Headers],[M4-CGE04060-0]:[M4-XPM18000-0]],TablaControladores[[REFERENCIA]:[REFERENCIA]],TablaControladores[EA])*$AA388:$AJ388)</f>
        <v>0</v>
      </c>
      <c r="U388" s="14" cm="1">
        <f t="array" ref="U388">SUM(_xlfn.XLOOKUP(TablaSeleccionControladores[[#Headers],[M4-CGE04060-0]:[M4-XPM18000-0]],TablaControladores[[REFERENCIA]:[REFERENCIA]],TablaControladores[EU])*$AA388:$AJ388)</f>
        <v>6</v>
      </c>
      <c r="V388" s="14" cm="1">
        <f t="array" ref="V388">SUM(_xlfn.XLOOKUP(TablaSeleccionControladores[[#Headers],[M4-CGE04060-0]:[M4-XPM18000-0]],TablaControladores[[REFERENCIA]:[REFERENCIA]],TablaControladores[ED])*$AA388:$AJ388)</f>
        <v>20</v>
      </c>
      <c r="W388" s="14" cm="1">
        <f t="array" ref="W388">SUM(_xlfn.XLOOKUP(TablaSeleccionControladores[[#Headers],[M4-CGE04060-0]:[M4-XPM18000-0]],TablaControladores[[REFERENCIA]:[REFERENCIA]],TablaControladores[SA])*$AA388:$AJ388)</f>
        <v>2</v>
      </c>
      <c r="X388" s="14" cm="1">
        <f t="array" ref="X388">SUM(_xlfn.XLOOKUP(TablaSeleccionControladores[[#Headers],[M4-CGE04060-0]:[M4-XPM18000-0]],TablaControladores[[REFERENCIA]:[REFERENCIA]],TablaControladores[SC])*$AA388:$AJ388)</f>
        <v>8</v>
      </c>
      <c r="Y388" s="14" cm="1">
        <f t="array" ref="Y388">SUM(_xlfn.XLOOKUP(TablaSeleccionControladores[[#Headers],[M4-CGE04060-0]:[M4-XPM18000-0]],TablaControladores[[REFERENCIA]:[REFERENCIA]],TablaControladores[SD])*$AA388:$AJ388)</f>
        <v>5</v>
      </c>
      <c r="Z388" s="14">
        <f>SUM(TablaSeleccionControladores[[#This Row],[EA]:[SD]])</f>
        <v>41</v>
      </c>
      <c r="AE388" s="14">
        <v>1</v>
      </c>
      <c r="AH388" s="14">
        <v>1</v>
      </c>
      <c r="AI388" s="14">
        <v>0</v>
      </c>
      <c r="AJ388" s="14">
        <v>1</v>
      </c>
    </row>
    <row r="389" spans="17:36" x14ac:dyDescent="0.25">
      <c r="Q389">
        <f t="shared" si="8"/>
        <v>279</v>
      </c>
      <c r="R389" t="s">
        <v>830</v>
      </c>
      <c r="S389">
        <f>SUM(TablaSeleccionControladores[[#This Row],[M4-CGE04060-0]:[M4-CGM09090-0H]])</f>
        <v>1</v>
      </c>
      <c r="T389" s="14" cm="1">
        <f t="array" ref="T389">SUM(_xlfn.XLOOKUP(TablaSeleccionControladores[[#Headers],[M4-CGE04060-0]:[M4-XPM18000-0]],TablaControladores[[REFERENCIA]:[REFERENCIA]],TablaControladores[EA])*$AA389:$AJ389)</f>
        <v>0</v>
      </c>
      <c r="U389" s="14" cm="1">
        <f t="array" ref="U389">SUM(_xlfn.XLOOKUP(TablaSeleccionControladores[[#Headers],[M4-CGE04060-0]:[M4-XPM18000-0]],TablaControladores[[REFERENCIA]:[REFERENCIA]],TablaControladores[EU])*$AA389:$AJ389)</f>
        <v>6</v>
      </c>
      <c r="V389" s="14" cm="1">
        <f t="array" ref="V389">SUM(_xlfn.XLOOKUP(TablaSeleccionControladores[[#Headers],[M4-CGE04060-0]:[M4-XPM18000-0]],TablaControladores[[REFERENCIA]:[REFERENCIA]],TablaControladores[ED])*$AA389:$AJ389)</f>
        <v>38</v>
      </c>
      <c r="W389" s="14" cm="1">
        <f t="array" ref="W389">SUM(_xlfn.XLOOKUP(TablaSeleccionControladores[[#Headers],[M4-CGE04060-0]:[M4-XPM18000-0]],TablaControladores[[REFERENCIA]:[REFERENCIA]],TablaControladores[SA])*$AA389:$AJ389)</f>
        <v>2</v>
      </c>
      <c r="X389" s="14" cm="1">
        <f t="array" ref="X389">SUM(_xlfn.XLOOKUP(TablaSeleccionControladores[[#Headers],[M4-CGE04060-0]:[M4-XPM18000-0]],TablaControladores[[REFERENCIA]:[REFERENCIA]],TablaControladores[SC])*$AA389:$AJ389)</f>
        <v>8</v>
      </c>
      <c r="Y389" s="14" cm="1">
        <f t="array" ref="Y389">SUM(_xlfn.XLOOKUP(TablaSeleccionControladores[[#Headers],[M4-CGE04060-0]:[M4-XPM18000-0]],TablaControladores[[REFERENCIA]:[REFERENCIA]],TablaControladores[SD])*$AA389:$AJ389)</f>
        <v>5</v>
      </c>
      <c r="Z389" s="14">
        <f>SUM(TablaSeleccionControladores[[#This Row],[EA]:[SD]])</f>
        <v>59</v>
      </c>
      <c r="AE389" s="14">
        <v>1</v>
      </c>
      <c r="AH389" s="14">
        <v>1</v>
      </c>
      <c r="AI389" s="14">
        <v>0</v>
      </c>
      <c r="AJ389" s="14">
        <v>2</v>
      </c>
    </row>
    <row r="390" spans="17:36" x14ac:dyDescent="0.25">
      <c r="Q390">
        <f t="shared" si="8"/>
        <v>280</v>
      </c>
      <c r="R390" t="s">
        <v>830</v>
      </c>
      <c r="S390">
        <f>SUM(TablaSeleccionControladores[[#This Row],[M4-CGE04060-0]:[M4-CGM09090-0H]])</f>
        <v>1</v>
      </c>
      <c r="T390" s="14" cm="1">
        <f t="array" ref="T390">SUM(_xlfn.XLOOKUP(TablaSeleccionControladores[[#Headers],[M4-CGE04060-0]:[M4-XPM18000-0]],TablaControladores[[REFERENCIA]:[REFERENCIA]],TablaControladores[EA])*$AA390:$AJ390)</f>
        <v>0</v>
      </c>
      <c r="U390" s="14" cm="1">
        <f t="array" ref="U390">SUM(_xlfn.XLOOKUP(TablaSeleccionControladores[[#Headers],[M4-CGE04060-0]:[M4-XPM18000-0]],TablaControladores[[REFERENCIA]:[REFERENCIA]],TablaControladores[EU])*$AA390:$AJ390)</f>
        <v>6</v>
      </c>
      <c r="V390" s="14" cm="1">
        <f t="array" ref="V390">SUM(_xlfn.XLOOKUP(TablaSeleccionControladores[[#Headers],[M4-CGE04060-0]:[M4-XPM18000-0]],TablaControladores[[REFERENCIA]:[REFERENCIA]],TablaControladores[ED])*$AA390:$AJ390)</f>
        <v>56</v>
      </c>
      <c r="W390" s="14" cm="1">
        <f t="array" ref="W390">SUM(_xlfn.XLOOKUP(TablaSeleccionControladores[[#Headers],[M4-CGE04060-0]:[M4-XPM18000-0]],TablaControladores[[REFERENCIA]:[REFERENCIA]],TablaControladores[SA])*$AA390:$AJ390)</f>
        <v>2</v>
      </c>
      <c r="X390" s="14" cm="1">
        <f t="array" ref="X390">SUM(_xlfn.XLOOKUP(TablaSeleccionControladores[[#Headers],[M4-CGE04060-0]:[M4-XPM18000-0]],TablaControladores[[REFERENCIA]:[REFERENCIA]],TablaControladores[SC])*$AA390:$AJ390)</f>
        <v>8</v>
      </c>
      <c r="Y390" s="14" cm="1">
        <f t="array" ref="Y390">SUM(_xlfn.XLOOKUP(TablaSeleccionControladores[[#Headers],[M4-CGE04060-0]:[M4-XPM18000-0]],TablaControladores[[REFERENCIA]:[REFERENCIA]],TablaControladores[SD])*$AA390:$AJ390)</f>
        <v>5</v>
      </c>
      <c r="Z390" s="14">
        <f>SUM(TablaSeleccionControladores[[#This Row],[EA]:[SD]])</f>
        <v>77</v>
      </c>
      <c r="AE390" s="14">
        <v>1</v>
      </c>
      <c r="AH390" s="14">
        <v>1</v>
      </c>
      <c r="AI390" s="14">
        <v>0</v>
      </c>
      <c r="AJ390" s="14">
        <v>3</v>
      </c>
    </row>
    <row r="391" spans="17:36" x14ac:dyDescent="0.25">
      <c r="Q391">
        <f t="shared" si="8"/>
        <v>281</v>
      </c>
      <c r="R391" t="s">
        <v>830</v>
      </c>
      <c r="S391">
        <f>SUM(TablaSeleccionControladores[[#This Row],[M4-CGE04060-0]:[M4-CGM09090-0H]])</f>
        <v>1</v>
      </c>
      <c r="T391" s="14" cm="1">
        <f t="array" ref="T391">SUM(_xlfn.XLOOKUP(TablaSeleccionControladores[[#Headers],[M4-CGE04060-0]:[M4-XPM18000-0]],TablaControladores[[REFERENCIA]:[REFERENCIA]],TablaControladores[EA])*$AA391:$AJ391)</f>
        <v>0</v>
      </c>
      <c r="U391" s="14" cm="1">
        <f t="array" ref="U391">SUM(_xlfn.XLOOKUP(TablaSeleccionControladores[[#Headers],[M4-CGE04060-0]:[M4-XPM18000-0]],TablaControladores[[REFERENCIA]:[REFERENCIA]],TablaControladores[EU])*$AA391:$AJ391)</f>
        <v>6</v>
      </c>
      <c r="V391" s="14" cm="1">
        <f t="array" ref="V391">SUM(_xlfn.XLOOKUP(TablaSeleccionControladores[[#Headers],[M4-CGE04060-0]:[M4-XPM18000-0]],TablaControladores[[REFERENCIA]:[REFERENCIA]],TablaControladores[ED])*$AA391:$AJ391)</f>
        <v>74</v>
      </c>
      <c r="W391" s="14" cm="1">
        <f t="array" ref="W391">SUM(_xlfn.XLOOKUP(TablaSeleccionControladores[[#Headers],[M4-CGE04060-0]:[M4-XPM18000-0]],TablaControladores[[REFERENCIA]:[REFERENCIA]],TablaControladores[SA])*$AA391:$AJ391)</f>
        <v>2</v>
      </c>
      <c r="X391" s="14" cm="1">
        <f t="array" ref="X391">SUM(_xlfn.XLOOKUP(TablaSeleccionControladores[[#Headers],[M4-CGE04060-0]:[M4-XPM18000-0]],TablaControladores[[REFERENCIA]:[REFERENCIA]],TablaControladores[SC])*$AA391:$AJ391)</f>
        <v>8</v>
      </c>
      <c r="Y391" s="14" cm="1">
        <f t="array" ref="Y391">SUM(_xlfn.XLOOKUP(TablaSeleccionControladores[[#Headers],[M4-CGE04060-0]:[M4-XPM18000-0]],TablaControladores[[REFERENCIA]:[REFERENCIA]],TablaControladores[SD])*$AA391:$AJ391)</f>
        <v>5</v>
      </c>
      <c r="Z391" s="14">
        <f>SUM(TablaSeleccionControladores[[#This Row],[EA]:[SD]])</f>
        <v>95</v>
      </c>
      <c r="AE391" s="14">
        <v>1</v>
      </c>
      <c r="AH391" s="14">
        <v>1</v>
      </c>
      <c r="AI391" s="14">
        <v>0</v>
      </c>
      <c r="AJ391" s="14">
        <v>4</v>
      </c>
    </row>
    <row r="392" spans="17:36" x14ac:dyDescent="0.25">
      <c r="Q392">
        <f t="shared" si="8"/>
        <v>282</v>
      </c>
      <c r="R392" t="s">
        <v>830</v>
      </c>
      <c r="S392">
        <f>SUM(TablaSeleccionControladores[[#This Row],[M4-CGE04060-0]:[M4-CGM09090-0H]])</f>
        <v>1</v>
      </c>
      <c r="T392" s="14" cm="1">
        <f t="array" ref="T392">SUM(_xlfn.XLOOKUP(TablaSeleccionControladores[[#Headers],[M4-CGE04060-0]:[M4-XPM18000-0]],TablaControladores[[REFERENCIA]:[REFERENCIA]],TablaControladores[EA])*$AA392:$AJ392)</f>
        <v>0</v>
      </c>
      <c r="U392" s="14" cm="1">
        <f t="array" ref="U392">SUM(_xlfn.XLOOKUP(TablaSeleccionControladores[[#Headers],[M4-CGE04060-0]:[M4-XPM18000-0]],TablaControladores[[REFERENCIA]:[REFERENCIA]],TablaControladores[EU])*$AA392:$AJ392)</f>
        <v>6</v>
      </c>
      <c r="V392" s="14" cm="1">
        <f t="array" ref="V392">SUM(_xlfn.XLOOKUP(TablaSeleccionControladores[[#Headers],[M4-CGE04060-0]:[M4-XPM18000-0]],TablaControladores[[REFERENCIA]:[REFERENCIA]],TablaControladores[ED])*$AA392:$AJ392)</f>
        <v>92</v>
      </c>
      <c r="W392" s="14" cm="1">
        <f t="array" ref="W392">SUM(_xlfn.XLOOKUP(TablaSeleccionControladores[[#Headers],[M4-CGE04060-0]:[M4-XPM18000-0]],TablaControladores[[REFERENCIA]:[REFERENCIA]],TablaControladores[SA])*$AA392:$AJ392)</f>
        <v>2</v>
      </c>
      <c r="X392" s="14" cm="1">
        <f t="array" ref="X392">SUM(_xlfn.XLOOKUP(TablaSeleccionControladores[[#Headers],[M4-CGE04060-0]:[M4-XPM18000-0]],TablaControladores[[REFERENCIA]:[REFERENCIA]],TablaControladores[SC])*$AA392:$AJ392)</f>
        <v>8</v>
      </c>
      <c r="Y392" s="14" cm="1">
        <f t="array" ref="Y392">SUM(_xlfn.XLOOKUP(TablaSeleccionControladores[[#Headers],[M4-CGE04060-0]:[M4-XPM18000-0]],TablaControladores[[REFERENCIA]:[REFERENCIA]],TablaControladores[SD])*$AA392:$AJ392)</f>
        <v>5</v>
      </c>
      <c r="Z392" s="14">
        <f>SUM(TablaSeleccionControladores[[#This Row],[EA]:[SD]])</f>
        <v>113</v>
      </c>
      <c r="AE392" s="14">
        <v>1</v>
      </c>
      <c r="AH392" s="14">
        <v>1</v>
      </c>
      <c r="AI392" s="14">
        <v>0</v>
      </c>
      <c r="AJ392" s="14">
        <v>5</v>
      </c>
    </row>
    <row r="393" spans="17:36" x14ac:dyDescent="0.25">
      <c r="Q393">
        <f t="shared" si="8"/>
        <v>283</v>
      </c>
      <c r="R393" t="s">
        <v>830</v>
      </c>
      <c r="S393">
        <f>SUM(TablaSeleccionControladores[[#This Row],[M4-CGE04060-0]:[M4-CGM09090-0H]])</f>
        <v>1</v>
      </c>
      <c r="T393" s="14" cm="1">
        <f t="array" ref="T393">SUM(_xlfn.XLOOKUP(TablaSeleccionControladores[[#Headers],[M4-CGE04060-0]:[M4-XPM18000-0]],TablaControladores[[REFERENCIA]:[REFERENCIA]],TablaControladores[EA])*$AA393:$AJ393)</f>
        <v>0</v>
      </c>
      <c r="U393" s="14" cm="1">
        <f t="array" ref="U393">SUM(_xlfn.XLOOKUP(TablaSeleccionControladores[[#Headers],[M4-CGE04060-0]:[M4-XPM18000-0]],TablaControladores[[REFERENCIA]:[REFERENCIA]],TablaControladores[EU])*$AA393:$AJ393)</f>
        <v>13</v>
      </c>
      <c r="V393" s="14" cm="1">
        <f t="array" ref="V393">SUM(_xlfn.XLOOKUP(TablaSeleccionControladores[[#Headers],[M4-CGE04060-0]:[M4-XPM18000-0]],TablaControladores[[REFERENCIA]:[REFERENCIA]],TablaControladores[ED])*$AA393:$AJ393)</f>
        <v>4</v>
      </c>
      <c r="W393" s="14" cm="1">
        <f t="array" ref="W393">SUM(_xlfn.XLOOKUP(TablaSeleccionControladores[[#Headers],[M4-CGE04060-0]:[M4-XPM18000-0]],TablaControladores[[REFERENCIA]:[REFERENCIA]],TablaControladores[SA])*$AA393:$AJ393)</f>
        <v>4</v>
      </c>
      <c r="X393" s="14" cm="1">
        <f t="array" ref="X393">SUM(_xlfn.XLOOKUP(TablaSeleccionControladores[[#Headers],[M4-CGE04060-0]:[M4-XPM18000-0]],TablaControladores[[REFERENCIA]:[REFERENCIA]],TablaControladores[SC])*$AA393:$AJ393)</f>
        <v>12</v>
      </c>
      <c r="Y393" s="14" cm="1">
        <f t="array" ref="Y393">SUM(_xlfn.XLOOKUP(TablaSeleccionControladores[[#Headers],[M4-CGE04060-0]:[M4-XPM18000-0]],TablaControladores[[REFERENCIA]:[REFERENCIA]],TablaControladores[SD])*$AA393:$AJ393)</f>
        <v>8</v>
      </c>
      <c r="Z393" s="14">
        <f>SUM(TablaSeleccionControladores[[#This Row],[EA]:[SD]])</f>
        <v>41</v>
      </c>
      <c r="AE393" s="14">
        <v>1</v>
      </c>
      <c r="AH393" s="14">
        <v>1</v>
      </c>
      <c r="AI393" s="14">
        <v>1</v>
      </c>
      <c r="AJ393" s="14">
        <v>0</v>
      </c>
    </row>
    <row r="394" spans="17:36" x14ac:dyDescent="0.25">
      <c r="Q394">
        <f t="shared" si="8"/>
        <v>284</v>
      </c>
      <c r="R394" t="s">
        <v>830</v>
      </c>
      <c r="S394">
        <f>SUM(TablaSeleccionControladores[[#This Row],[M4-CGE04060-0]:[M4-CGM09090-0H]])</f>
        <v>1</v>
      </c>
      <c r="T394" s="14" cm="1">
        <f t="array" ref="T394">SUM(_xlfn.XLOOKUP(TablaSeleccionControladores[[#Headers],[M4-CGE04060-0]:[M4-XPM18000-0]],TablaControladores[[REFERENCIA]:[REFERENCIA]],TablaControladores[EA])*$AA394:$AJ394)</f>
        <v>0</v>
      </c>
      <c r="U394" s="14" cm="1">
        <f t="array" ref="U394">SUM(_xlfn.XLOOKUP(TablaSeleccionControladores[[#Headers],[M4-CGE04060-0]:[M4-XPM18000-0]],TablaControladores[[REFERENCIA]:[REFERENCIA]],TablaControladores[EU])*$AA394:$AJ394)</f>
        <v>13</v>
      </c>
      <c r="V394" s="14" cm="1">
        <f t="array" ref="V394">SUM(_xlfn.XLOOKUP(TablaSeleccionControladores[[#Headers],[M4-CGE04060-0]:[M4-XPM18000-0]],TablaControladores[[REFERENCIA]:[REFERENCIA]],TablaControladores[ED])*$AA394:$AJ394)</f>
        <v>22</v>
      </c>
      <c r="W394" s="14" cm="1">
        <f t="array" ref="W394">SUM(_xlfn.XLOOKUP(TablaSeleccionControladores[[#Headers],[M4-CGE04060-0]:[M4-XPM18000-0]],TablaControladores[[REFERENCIA]:[REFERENCIA]],TablaControladores[SA])*$AA394:$AJ394)</f>
        <v>4</v>
      </c>
      <c r="X394" s="14" cm="1">
        <f t="array" ref="X394">SUM(_xlfn.XLOOKUP(TablaSeleccionControladores[[#Headers],[M4-CGE04060-0]:[M4-XPM18000-0]],TablaControladores[[REFERENCIA]:[REFERENCIA]],TablaControladores[SC])*$AA394:$AJ394)</f>
        <v>12</v>
      </c>
      <c r="Y394" s="14" cm="1">
        <f t="array" ref="Y394">SUM(_xlfn.XLOOKUP(TablaSeleccionControladores[[#Headers],[M4-CGE04060-0]:[M4-XPM18000-0]],TablaControladores[[REFERENCIA]:[REFERENCIA]],TablaControladores[SD])*$AA394:$AJ394)</f>
        <v>8</v>
      </c>
      <c r="Z394" s="14">
        <f>SUM(TablaSeleccionControladores[[#This Row],[EA]:[SD]])</f>
        <v>59</v>
      </c>
      <c r="AE394" s="14">
        <v>1</v>
      </c>
      <c r="AH394" s="14">
        <v>1</v>
      </c>
      <c r="AI394" s="14">
        <v>1</v>
      </c>
      <c r="AJ394" s="14">
        <v>1</v>
      </c>
    </row>
    <row r="395" spans="17:36" x14ac:dyDescent="0.25">
      <c r="Q395">
        <f t="shared" si="8"/>
        <v>285</v>
      </c>
      <c r="R395" t="s">
        <v>830</v>
      </c>
      <c r="S395">
        <f>SUM(TablaSeleccionControladores[[#This Row],[M4-CGE04060-0]:[M4-CGM09090-0H]])</f>
        <v>1</v>
      </c>
      <c r="T395" s="14" cm="1">
        <f t="array" ref="T395">SUM(_xlfn.XLOOKUP(TablaSeleccionControladores[[#Headers],[M4-CGE04060-0]:[M4-XPM18000-0]],TablaControladores[[REFERENCIA]:[REFERENCIA]],TablaControladores[EA])*$AA395:$AJ395)</f>
        <v>0</v>
      </c>
      <c r="U395" s="14" cm="1">
        <f t="array" ref="U395">SUM(_xlfn.XLOOKUP(TablaSeleccionControladores[[#Headers],[M4-CGE04060-0]:[M4-XPM18000-0]],TablaControladores[[REFERENCIA]:[REFERENCIA]],TablaControladores[EU])*$AA395:$AJ395)</f>
        <v>13</v>
      </c>
      <c r="V395" s="14" cm="1">
        <f t="array" ref="V395">SUM(_xlfn.XLOOKUP(TablaSeleccionControladores[[#Headers],[M4-CGE04060-0]:[M4-XPM18000-0]],TablaControladores[[REFERENCIA]:[REFERENCIA]],TablaControladores[ED])*$AA395:$AJ395)</f>
        <v>40</v>
      </c>
      <c r="W395" s="14" cm="1">
        <f t="array" ref="W395">SUM(_xlfn.XLOOKUP(TablaSeleccionControladores[[#Headers],[M4-CGE04060-0]:[M4-XPM18000-0]],TablaControladores[[REFERENCIA]:[REFERENCIA]],TablaControladores[SA])*$AA395:$AJ395)</f>
        <v>4</v>
      </c>
      <c r="X395" s="14" cm="1">
        <f t="array" ref="X395">SUM(_xlfn.XLOOKUP(TablaSeleccionControladores[[#Headers],[M4-CGE04060-0]:[M4-XPM18000-0]],TablaControladores[[REFERENCIA]:[REFERENCIA]],TablaControladores[SC])*$AA395:$AJ395)</f>
        <v>12</v>
      </c>
      <c r="Y395" s="14" cm="1">
        <f t="array" ref="Y395">SUM(_xlfn.XLOOKUP(TablaSeleccionControladores[[#Headers],[M4-CGE04060-0]:[M4-XPM18000-0]],TablaControladores[[REFERENCIA]:[REFERENCIA]],TablaControladores[SD])*$AA395:$AJ395)</f>
        <v>8</v>
      </c>
      <c r="Z395" s="14">
        <f>SUM(TablaSeleccionControladores[[#This Row],[EA]:[SD]])</f>
        <v>77</v>
      </c>
      <c r="AE395" s="14">
        <v>1</v>
      </c>
      <c r="AH395" s="14">
        <v>1</v>
      </c>
      <c r="AI395" s="14">
        <v>1</v>
      </c>
      <c r="AJ395" s="14">
        <v>2</v>
      </c>
    </row>
    <row r="396" spans="17:36" x14ac:dyDescent="0.25">
      <c r="Q396">
        <f t="shared" si="8"/>
        <v>286</v>
      </c>
      <c r="R396" t="s">
        <v>830</v>
      </c>
      <c r="S396">
        <f>SUM(TablaSeleccionControladores[[#This Row],[M4-CGE04060-0]:[M4-CGM09090-0H]])</f>
        <v>1</v>
      </c>
      <c r="T396" s="14" cm="1">
        <f t="array" ref="T396">SUM(_xlfn.XLOOKUP(TablaSeleccionControladores[[#Headers],[M4-CGE04060-0]:[M4-XPM18000-0]],TablaControladores[[REFERENCIA]:[REFERENCIA]],TablaControladores[EA])*$AA396:$AJ396)</f>
        <v>0</v>
      </c>
      <c r="U396" s="14" cm="1">
        <f t="array" ref="U396">SUM(_xlfn.XLOOKUP(TablaSeleccionControladores[[#Headers],[M4-CGE04060-0]:[M4-XPM18000-0]],TablaControladores[[REFERENCIA]:[REFERENCIA]],TablaControladores[EU])*$AA396:$AJ396)</f>
        <v>13</v>
      </c>
      <c r="V396" s="14" cm="1">
        <f t="array" ref="V396">SUM(_xlfn.XLOOKUP(TablaSeleccionControladores[[#Headers],[M4-CGE04060-0]:[M4-XPM18000-0]],TablaControladores[[REFERENCIA]:[REFERENCIA]],TablaControladores[ED])*$AA396:$AJ396)</f>
        <v>58</v>
      </c>
      <c r="W396" s="14" cm="1">
        <f t="array" ref="W396">SUM(_xlfn.XLOOKUP(TablaSeleccionControladores[[#Headers],[M4-CGE04060-0]:[M4-XPM18000-0]],TablaControladores[[REFERENCIA]:[REFERENCIA]],TablaControladores[SA])*$AA396:$AJ396)</f>
        <v>4</v>
      </c>
      <c r="X396" s="14" cm="1">
        <f t="array" ref="X396">SUM(_xlfn.XLOOKUP(TablaSeleccionControladores[[#Headers],[M4-CGE04060-0]:[M4-XPM18000-0]],TablaControladores[[REFERENCIA]:[REFERENCIA]],TablaControladores[SC])*$AA396:$AJ396)</f>
        <v>12</v>
      </c>
      <c r="Y396" s="14" cm="1">
        <f t="array" ref="Y396">SUM(_xlfn.XLOOKUP(TablaSeleccionControladores[[#Headers],[M4-CGE04060-0]:[M4-XPM18000-0]],TablaControladores[[REFERENCIA]:[REFERENCIA]],TablaControladores[SD])*$AA396:$AJ396)</f>
        <v>8</v>
      </c>
      <c r="Z396" s="14">
        <f>SUM(TablaSeleccionControladores[[#This Row],[EA]:[SD]])</f>
        <v>95</v>
      </c>
      <c r="AE396" s="14">
        <v>1</v>
      </c>
      <c r="AH396" s="14">
        <v>1</v>
      </c>
      <c r="AI396" s="14">
        <v>1</v>
      </c>
      <c r="AJ396" s="14">
        <v>3</v>
      </c>
    </row>
    <row r="397" spans="17:36" x14ac:dyDescent="0.25">
      <c r="Q397">
        <f t="shared" si="8"/>
        <v>287</v>
      </c>
      <c r="R397" t="s">
        <v>830</v>
      </c>
      <c r="S397">
        <f>SUM(TablaSeleccionControladores[[#This Row],[M4-CGE04060-0]:[M4-CGM09090-0H]])</f>
        <v>1</v>
      </c>
      <c r="T397" s="14" cm="1">
        <f t="array" ref="T397">SUM(_xlfn.XLOOKUP(TablaSeleccionControladores[[#Headers],[M4-CGE04060-0]:[M4-XPM18000-0]],TablaControladores[[REFERENCIA]:[REFERENCIA]],TablaControladores[EA])*$AA397:$AJ397)</f>
        <v>0</v>
      </c>
      <c r="U397" s="14" cm="1">
        <f t="array" ref="U397">SUM(_xlfn.XLOOKUP(TablaSeleccionControladores[[#Headers],[M4-CGE04060-0]:[M4-XPM18000-0]],TablaControladores[[REFERENCIA]:[REFERENCIA]],TablaControladores[EU])*$AA397:$AJ397)</f>
        <v>13</v>
      </c>
      <c r="V397" s="14" cm="1">
        <f t="array" ref="V397">SUM(_xlfn.XLOOKUP(TablaSeleccionControladores[[#Headers],[M4-CGE04060-0]:[M4-XPM18000-0]],TablaControladores[[REFERENCIA]:[REFERENCIA]],TablaControladores[ED])*$AA397:$AJ397)</f>
        <v>76</v>
      </c>
      <c r="W397" s="14" cm="1">
        <f t="array" ref="W397">SUM(_xlfn.XLOOKUP(TablaSeleccionControladores[[#Headers],[M4-CGE04060-0]:[M4-XPM18000-0]],TablaControladores[[REFERENCIA]:[REFERENCIA]],TablaControladores[SA])*$AA397:$AJ397)</f>
        <v>4</v>
      </c>
      <c r="X397" s="14" cm="1">
        <f t="array" ref="X397">SUM(_xlfn.XLOOKUP(TablaSeleccionControladores[[#Headers],[M4-CGE04060-0]:[M4-XPM18000-0]],TablaControladores[[REFERENCIA]:[REFERENCIA]],TablaControladores[SC])*$AA397:$AJ397)</f>
        <v>12</v>
      </c>
      <c r="Y397" s="14" cm="1">
        <f t="array" ref="Y397">SUM(_xlfn.XLOOKUP(TablaSeleccionControladores[[#Headers],[M4-CGE04060-0]:[M4-XPM18000-0]],TablaControladores[[REFERENCIA]:[REFERENCIA]],TablaControladores[SD])*$AA397:$AJ397)</f>
        <v>8</v>
      </c>
      <c r="Z397" s="14">
        <f>SUM(TablaSeleccionControladores[[#This Row],[EA]:[SD]])</f>
        <v>113</v>
      </c>
      <c r="AE397" s="14">
        <v>1</v>
      </c>
      <c r="AH397" s="14">
        <v>1</v>
      </c>
      <c r="AI397" s="14">
        <v>1</v>
      </c>
      <c r="AJ397" s="14">
        <v>4</v>
      </c>
    </row>
    <row r="398" spans="17:36" x14ac:dyDescent="0.25">
      <c r="Q398">
        <f t="shared" si="8"/>
        <v>288</v>
      </c>
      <c r="R398" t="s">
        <v>830</v>
      </c>
      <c r="S398">
        <f>SUM(TablaSeleccionControladores[[#This Row],[M4-CGE04060-0]:[M4-CGM09090-0H]])</f>
        <v>1</v>
      </c>
      <c r="T398" s="14" cm="1">
        <f t="array" ref="T398">SUM(_xlfn.XLOOKUP(TablaSeleccionControladores[[#Headers],[M4-CGE04060-0]:[M4-XPM18000-0]],TablaControladores[[REFERENCIA]:[REFERENCIA]],TablaControladores[EA])*$AA398:$AJ398)</f>
        <v>0</v>
      </c>
      <c r="U398" s="14" cm="1">
        <f t="array" ref="U398">SUM(_xlfn.XLOOKUP(TablaSeleccionControladores[[#Headers],[M4-CGE04060-0]:[M4-XPM18000-0]],TablaControladores[[REFERENCIA]:[REFERENCIA]],TablaControladores[EU])*$AA398:$AJ398)</f>
        <v>20</v>
      </c>
      <c r="V398" s="14" cm="1">
        <f t="array" ref="V398">SUM(_xlfn.XLOOKUP(TablaSeleccionControladores[[#Headers],[M4-CGE04060-0]:[M4-XPM18000-0]],TablaControladores[[REFERENCIA]:[REFERENCIA]],TablaControladores[ED])*$AA398:$AJ398)</f>
        <v>6</v>
      </c>
      <c r="W398" s="14" cm="1">
        <f t="array" ref="W398">SUM(_xlfn.XLOOKUP(TablaSeleccionControladores[[#Headers],[M4-CGE04060-0]:[M4-XPM18000-0]],TablaControladores[[REFERENCIA]:[REFERENCIA]],TablaControladores[SA])*$AA398:$AJ398)</f>
        <v>6</v>
      </c>
      <c r="X398" s="14" cm="1">
        <f t="array" ref="X398">SUM(_xlfn.XLOOKUP(TablaSeleccionControladores[[#Headers],[M4-CGE04060-0]:[M4-XPM18000-0]],TablaControladores[[REFERENCIA]:[REFERENCIA]],TablaControladores[SC])*$AA398:$AJ398)</f>
        <v>16</v>
      </c>
      <c r="Y398" s="14" cm="1">
        <f t="array" ref="Y398">SUM(_xlfn.XLOOKUP(TablaSeleccionControladores[[#Headers],[M4-CGE04060-0]:[M4-XPM18000-0]],TablaControladores[[REFERENCIA]:[REFERENCIA]],TablaControladores[SD])*$AA398:$AJ398)</f>
        <v>11</v>
      </c>
      <c r="Z398" s="14">
        <f>SUM(TablaSeleccionControladores[[#This Row],[EA]:[SD]])</f>
        <v>59</v>
      </c>
      <c r="AE398" s="14">
        <v>1</v>
      </c>
      <c r="AH398" s="14">
        <v>1</v>
      </c>
      <c r="AI398" s="14">
        <v>2</v>
      </c>
      <c r="AJ398" s="14">
        <v>0</v>
      </c>
    </row>
    <row r="399" spans="17:36" x14ac:dyDescent="0.25">
      <c r="Q399">
        <f t="shared" si="8"/>
        <v>289</v>
      </c>
      <c r="R399" t="s">
        <v>830</v>
      </c>
      <c r="S399">
        <f>SUM(TablaSeleccionControladores[[#This Row],[M4-CGE04060-0]:[M4-CGM09090-0H]])</f>
        <v>1</v>
      </c>
      <c r="T399" s="14" cm="1">
        <f t="array" ref="T399">SUM(_xlfn.XLOOKUP(TablaSeleccionControladores[[#Headers],[M4-CGE04060-0]:[M4-XPM18000-0]],TablaControladores[[REFERENCIA]:[REFERENCIA]],TablaControladores[EA])*$AA399:$AJ399)</f>
        <v>0</v>
      </c>
      <c r="U399" s="14" cm="1">
        <f t="array" ref="U399">SUM(_xlfn.XLOOKUP(TablaSeleccionControladores[[#Headers],[M4-CGE04060-0]:[M4-XPM18000-0]],TablaControladores[[REFERENCIA]:[REFERENCIA]],TablaControladores[EU])*$AA399:$AJ399)</f>
        <v>20</v>
      </c>
      <c r="V399" s="14" cm="1">
        <f t="array" ref="V399">SUM(_xlfn.XLOOKUP(TablaSeleccionControladores[[#Headers],[M4-CGE04060-0]:[M4-XPM18000-0]],TablaControladores[[REFERENCIA]:[REFERENCIA]],TablaControladores[ED])*$AA399:$AJ399)</f>
        <v>24</v>
      </c>
      <c r="W399" s="14" cm="1">
        <f t="array" ref="W399">SUM(_xlfn.XLOOKUP(TablaSeleccionControladores[[#Headers],[M4-CGE04060-0]:[M4-XPM18000-0]],TablaControladores[[REFERENCIA]:[REFERENCIA]],TablaControladores[SA])*$AA399:$AJ399)</f>
        <v>6</v>
      </c>
      <c r="X399" s="14" cm="1">
        <f t="array" ref="X399">SUM(_xlfn.XLOOKUP(TablaSeleccionControladores[[#Headers],[M4-CGE04060-0]:[M4-XPM18000-0]],TablaControladores[[REFERENCIA]:[REFERENCIA]],TablaControladores[SC])*$AA399:$AJ399)</f>
        <v>16</v>
      </c>
      <c r="Y399" s="14" cm="1">
        <f t="array" ref="Y399">SUM(_xlfn.XLOOKUP(TablaSeleccionControladores[[#Headers],[M4-CGE04060-0]:[M4-XPM18000-0]],TablaControladores[[REFERENCIA]:[REFERENCIA]],TablaControladores[SD])*$AA399:$AJ399)</f>
        <v>11</v>
      </c>
      <c r="Z399" s="14">
        <f>SUM(TablaSeleccionControladores[[#This Row],[EA]:[SD]])</f>
        <v>77</v>
      </c>
      <c r="AE399" s="14">
        <v>1</v>
      </c>
      <c r="AH399" s="14">
        <v>1</v>
      </c>
      <c r="AI399" s="14">
        <v>2</v>
      </c>
      <c r="AJ399" s="14">
        <v>1</v>
      </c>
    </row>
    <row r="400" spans="17:36" x14ac:dyDescent="0.25">
      <c r="Q400">
        <f t="shared" si="8"/>
        <v>290</v>
      </c>
      <c r="R400" t="s">
        <v>830</v>
      </c>
      <c r="S400">
        <f>SUM(TablaSeleccionControladores[[#This Row],[M4-CGE04060-0]:[M4-CGM09090-0H]])</f>
        <v>1</v>
      </c>
      <c r="T400" s="14" cm="1">
        <f t="array" ref="T400">SUM(_xlfn.XLOOKUP(TablaSeleccionControladores[[#Headers],[M4-CGE04060-0]:[M4-XPM18000-0]],TablaControladores[[REFERENCIA]:[REFERENCIA]],TablaControladores[EA])*$AA400:$AJ400)</f>
        <v>0</v>
      </c>
      <c r="U400" s="14" cm="1">
        <f t="array" ref="U400">SUM(_xlfn.XLOOKUP(TablaSeleccionControladores[[#Headers],[M4-CGE04060-0]:[M4-XPM18000-0]],TablaControladores[[REFERENCIA]:[REFERENCIA]],TablaControladores[EU])*$AA400:$AJ400)</f>
        <v>20</v>
      </c>
      <c r="V400" s="14" cm="1">
        <f t="array" ref="V400">SUM(_xlfn.XLOOKUP(TablaSeleccionControladores[[#Headers],[M4-CGE04060-0]:[M4-XPM18000-0]],TablaControladores[[REFERENCIA]:[REFERENCIA]],TablaControladores[ED])*$AA400:$AJ400)</f>
        <v>42</v>
      </c>
      <c r="W400" s="14" cm="1">
        <f t="array" ref="W400">SUM(_xlfn.XLOOKUP(TablaSeleccionControladores[[#Headers],[M4-CGE04060-0]:[M4-XPM18000-0]],TablaControladores[[REFERENCIA]:[REFERENCIA]],TablaControladores[SA])*$AA400:$AJ400)</f>
        <v>6</v>
      </c>
      <c r="X400" s="14" cm="1">
        <f t="array" ref="X400">SUM(_xlfn.XLOOKUP(TablaSeleccionControladores[[#Headers],[M4-CGE04060-0]:[M4-XPM18000-0]],TablaControladores[[REFERENCIA]:[REFERENCIA]],TablaControladores[SC])*$AA400:$AJ400)</f>
        <v>16</v>
      </c>
      <c r="Y400" s="14" cm="1">
        <f t="array" ref="Y400">SUM(_xlfn.XLOOKUP(TablaSeleccionControladores[[#Headers],[M4-CGE04060-0]:[M4-XPM18000-0]],TablaControladores[[REFERENCIA]:[REFERENCIA]],TablaControladores[SD])*$AA400:$AJ400)</f>
        <v>11</v>
      </c>
      <c r="Z400" s="14">
        <f>SUM(TablaSeleccionControladores[[#This Row],[EA]:[SD]])</f>
        <v>95</v>
      </c>
      <c r="AE400" s="14">
        <v>1</v>
      </c>
      <c r="AH400" s="14">
        <v>1</v>
      </c>
      <c r="AI400" s="14">
        <v>2</v>
      </c>
      <c r="AJ400" s="14">
        <v>2</v>
      </c>
    </row>
    <row r="401" spans="17:36" x14ac:dyDescent="0.25">
      <c r="Q401">
        <f t="shared" si="8"/>
        <v>291</v>
      </c>
      <c r="R401" t="s">
        <v>830</v>
      </c>
      <c r="S401">
        <f>SUM(TablaSeleccionControladores[[#This Row],[M4-CGE04060-0]:[M4-CGM09090-0H]])</f>
        <v>1</v>
      </c>
      <c r="T401" s="14" cm="1">
        <f t="array" ref="T401">SUM(_xlfn.XLOOKUP(TablaSeleccionControladores[[#Headers],[M4-CGE04060-0]:[M4-XPM18000-0]],TablaControladores[[REFERENCIA]:[REFERENCIA]],TablaControladores[EA])*$AA401:$AJ401)</f>
        <v>0</v>
      </c>
      <c r="U401" s="14" cm="1">
        <f t="array" ref="U401">SUM(_xlfn.XLOOKUP(TablaSeleccionControladores[[#Headers],[M4-CGE04060-0]:[M4-XPM18000-0]],TablaControladores[[REFERENCIA]:[REFERENCIA]],TablaControladores[EU])*$AA401:$AJ401)</f>
        <v>20</v>
      </c>
      <c r="V401" s="14" cm="1">
        <f t="array" ref="V401">SUM(_xlfn.XLOOKUP(TablaSeleccionControladores[[#Headers],[M4-CGE04060-0]:[M4-XPM18000-0]],TablaControladores[[REFERENCIA]:[REFERENCIA]],TablaControladores[ED])*$AA401:$AJ401)</f>
        <v>60</v>
      </c>
      <c r="W401" s="14" cm="1">
        <f t="array" ref="W401">SUM(_xlfn.XLOOKUP(TablaSeleccionControladores[[#Headers],[M4-CGE04060-0]:[M4-XPM18000-0]],TablaControladores[[REFERENCIA]:[REFERENCIA]],TablaControladores[SA])*$AA401:$AJ401)</f>
        <v>6</v>
      </c>
      <c r="X401" s="14" cm="1">
        <f t="array" ref="X401">SUM(_xlfn.XLOOKUP(TablaSeleccionControladores[[#Headers],[M4-CGE04060-0]:[M4-XPM18000-0]],TablaControladores[[REFERENCIA]:[REFERENCIA]],TablaControladores[SC])*$AA401:$AJ401)</f>
        <v>16</v>
      </c>
      <c r="Y401" s="14" cm="1">
        <f t="array" ref="Y401">SUM(_xlfn.XLOOKUP(TablaSeleccionControladores[[#Headers],[M4-CGE04060-0]:[M4-XPM18000-0]],TablaControladores[[REFERENCIA]:[REFERENCIA]],TablaControladores[SD])*$AA401:$AJ401)</f>
        <v>11</v>
      </c>
      <c r="Z401" s="14">
        <f>SUM(TablaSeleccionControladores[[#This Row],[EA]:[SD]])</f>
        <v>113</v>
      </c>
      <c r="AE401" s="14">
        <v>1</v>
      </c>
      <c r="AH401" s="14">
        <v>1</v>
      </c>
      <c r="AI401" s="14">
        <v>2</v>
      </c>
      <c r="AJ401" s="14">
        <v>3</v>
      </c>
    </row>
    <row r="402" spans="17:36" x14ac:dyDescent="0.25">
      <c r="Q402">
        <f t="shared" si="8"/>
        <v>292</v>
      </c>
      <c r="R402" t="s">
        <v>830</v>
      </c>
      <c r="S402">
        <f>SUM(TablaSeleccionControladores[[#This Row],[M4-CGE04060-0]:[M4-CGM09090-0H]])</f>
        <v>1</v>
      </c>
      <c r="T402" s="14" cm="1">
        <f t="array" ref="T402">SUM(_xlfn.XLOOKUP(TablaSeleccionControladores[[#Headers],[M4-CGE04060-0]:[M4-XPM18000-0]],TablaControladores[[REFERENCIA]:[REFERENCIA]],TablaControladores[EA])*$AA402:$AJ402)</f>
        <v>0</v>
      </c>
      <c r="U402" s="14" cm="1">
        <f t="array" ref="U402">SUM(_xlfn.XLOOKUP(TablaSeleccionControladores[[#Headers],[M4-CGE04060-0]:[M4-XPM18000-0]],TablaControladores[[REFERENCIA]:[REFERENCIA]],TablaControladores[EU])*$AA402:$AJ402)</f>
        <v>27</v>
      </c>
      <c r="V402" s="14" cm="1">
        <f t="array" ref="V402">SUM(_xlfn.XLOOKUP(TablaSeleccionControladores[[#Headers],[M4-CGE04060-0]:[M4-XPM18000-0]],TablaControladores[[REFERENCIA]:[REFERENCIA]],TablaControladores[ED])*$AA402:$AJ402)</f>
        <v>8</v>
      </c>
      <c r="W402" s="14" cm="1">
        <f t="array" ref="W402">SUM(_xlfn.XLOOKUP(TablaSeleccionControladores[[#Headers],[M4-CGE04060-0]:[M4-XPM18000-0]],TablaControladores[[REFERENCIA]:[REFERENCIA]],TablaControladores[SA])*$AA402:$AJ402)</f>
        <v>8</v>
      </c>
      <c r="X402" s="14" cm="1">
        <f t="array" ref="X402">SUM(_xlfn.XLOOKUP(TablaSeleccionControladores[[#Headers],[M4-CGE04060-0]:[M4-XPM18000-0]],TablaControladores[[REFERENCIA]:[REFERENCIA]],TablaControladores[SC])*$AA402:$AJ402)</f>
        <v>20</v>
      </c>
      <c r="Y402" s="14" cm="1">
        <f t="array" ref="Y402">SUM(_xlfn.XLOOKUP(TablaSeleccionControladores[[#Headers],[M4-CGE04060-0]:[M4-XPM18000-0]],TablaControladores[[REFERENCIA]:[REFERENCIA]],TablaControladores[SD])*$AA402:$AJ402)</f>
        <v>14</v>
      </c>
      <c r="Z402" s="14">
        <f>SUM(TablaSeleccionControladores[[#This Row],[EA]:[SD]])</f>
        <v>77</v>
      </c>
      <c r="AE402" s="14">
        <v>1</v>
      </c>
      <c r="AH402" s="14">
        <v>1</v>
      </c>
      <c r="AI402" s="14">
        <v>3</v>
      </c>
      <c r="AJ402" s="14">
        <v>0</v>
      </c>
    </row>
    <row r="403" spans="17:36" x14ac:dyDescent="0.25">
      <c r="Q403">
        <f t="shared" si="8"/>
        <v>293</v>
      </c>
      <c r="R403" t="s">
        <v>830</v>
      </c>
      <c r="S403">
        <f>SUM(TablaSeleccionControladores[[#This Row],[M4-CGE04060-0]:[M4-CGM09090-0H]])</f>
        <v>1</v>
      </c>
      <c r="T403" s="14" cm="1">
        <f t="array" ref="T403">SUM(_xlfn.XLOOKUP(TablaSeleccionControladores[[#Headers],[M4-CGE04060-0]:[M4-XPM18000-0]],TablaControladores[[REFERENCIA]:[REFERENCIA]],TablaControladores[EA])*$AA403:$AJ403)</f>
        <v>0</v>
      </c>
      <c r="U403" s="14" cm="1">
        <f t="array" ref="U403">SUM(_xlfn.XLOOKUP(TablaSeleccionControladores[[#Headers],[M4-CGE04060-0]:[M4-XPM18000-0]],TablaControladores[[REFERENCIA]:[REFERENCIA]],TablaControladores[EU])*$AA403:$AJ403)</f>
        <v>27</v>
      </c>
      <c r="V403" s="14" cm="1">
        <f t="array" ref="V403">SUM(_xlfn.XLOOKUP(TablaSeleccionControladores[[#Headers],[M4-CGE04060-0]:[M4-XPM18000-0]],TablaControladores[[REFERENCIA]:[REFERENCIA]],TablaControladores[ED])*$AA403:$AJ403)</f>
        <v>26</v>
      </c>
      <c r="W403" s="14" cm="1">
        <f t="array" ref="W403">SUM(_xlfn.XLOOKUP(TablaSeleccionControladores[[#Headers],[M4-CGE04060-0]:[M4-XPM18000-0]],TablaControladores[[REFERENCIA]:[REFERENCIA]],TablaControladores[SA])*$AA403:$AJ403)</f>
        <v>8</v>
      </c>
      <c r="X403" s="14" cm="1">
        <f t="array" ref="X403">SUM(_xlfn.XLOOKUP(TablaSeleccionControladores[[#Headers],[M4-CGE04060-0]:[M4-XPM18000-0]],TablaControladores[[REFERENCIA]:[REFERENCIA]],TablaControladores[SC])*$AA403:$AJ403)</f>
        <v>20</v>
      </c>
      <c r="Y403" s="14" cm="1">
        <f t="array" ref="Y403">SUM(_xlfn.XLOOKUP(TablaSeleccionControladores[[#Headers],[M4-CGE04060-0]:[M4-XPM18000-0]],TablaControladores[[REFERENCIA]:[REFERENCIA]],TablaControladores[SD])*$AA403:$AJ403)</f>
        <v>14</v>
      </c>
      <c r="Z403" s="14">
        <f>SUM(TablaSeleccionControladores[[#This Row],[EA]:[SD]])</f>
        <v>95</v>
      </c>
      <c r="AE403" s="14">
        <v>1</v>
      </c>
      <c r="AH403" s="14">
        <v>1</v>
      </c>
      <c r="AI403" s="14">
        <v>3</v>
      </c>
      <c r="AJ403" s="14">
        <v>1</v>
      </c>
    </row>
    <row r="404" spans="17:36" x14ac:dyDescent="0.25">
      <c r="Q404">
        <f t="shared" si="8"/>
        <v>294</v>
      </c>
      <c r="R404" t="s">
        <v>830</v>
      </c>
      <c r="S404">
        <f>SUM(TablaSeleccionControladores[[#This Row],[M4-CGE04060-0]:[M4-CGM09090-0H]])</f>
        <v>1</v>
      </c>
      <c r="T404" s="14" cm="1">
        <f t="array" ref="T404">SUM(_xlfn.XLOOKUP(TablaSeleccionControladores[[#Headers],[M4-CGE04060-0]:[M4-XPM18000-0]],TablaControladores[[REFERENCIA]:[REFERENCIA]],TablaControladores[EA])*$AA404:$AJ404)</f>
        <v>0</v>
      </c>
      <c r="U404" s="14" cm="1">
        <f t="array" ref="U404">SUM(_xlfn.XLOOKUP(TablaSeleccionControladores[[#Headers],[M4-CGE04060-0]:[M4-XPM18000-0]],TablaControladores[[REFERENCIA]:[REFERENCIA]],TablaControladores[EU])*$AA404:$AJ404)</f>
        <v>27</v>
      </c>
      <c r="V404" s="14" cm="1">
        <f t="array" ref="V404">SUM(_xlfn.XLOOKUP(TablaSeleccionControladores[[#Headers],[M4-CGE04060-0]:[M4-XPM18000-0]],TablaControladores[[REFERENCIA]:[REFERENCIA]],TablaControladores[ED])*$AA404:$AJ404)</f>
        <v>44</v>
      </c>
      <c r="W404" s="14" cm="1">
        <f t="array" ref="W404">SUM(_xlfn.XLOOKUP(TablaSeleccionControladores[[#Headers],[M4-CGE04060-0]:[M4-XPM18000-0]],TablaControladores[[REFERENCIA]:[REFERENCIA]],TablaControladores[SA])*$AA404:$AJ404)</f>
        <v>8</v>
      </c>
      <c r="X404" s="14" cm="1">
        <f t="array" ref="X404">SUM(_xlfn.XLOOKUP(TablaSeleccionControladores[[#Headers],[M4-CGE04060-0]:[M4-XPM18000-0]],TablaControladores[[REFERENCIA]:[REFERENCIA]],TablaControladores[SC])*$AA404:$AJ404)</f>
        <v>20</v>
      </c>
      <c r="Y404" s="14" cm="1">
        <f t="array" ref="Y404">SUM(_xlfn.XLOOKUP(TablaSeleccionControladores[[#Headers],[M4-CGE04060-0]:[M4-XPM18000-0]],TablaControladores[[REFERENCIA]:[REFERENCIA]],TablaControladores[SD])*$AA404:$AJ404)</f>
        <v>14</v>
      </c>
      <c r="Z404" s="14">
        <f>SUM(TablaSeleccionControladores[[#This Row],[EA]:[SD]])</f>
        <v>113</v>
      </c>
      <c r="AE404" s="14">
        <v>1</v>
      </c>
      <c r="AH404" s="14">
        <v>1</v>
      </c>
      <c r="AI404" s="14">
        <v>3</v>
      </c>
      <c r="AJ404" s="14">
        <v>2</v>
      </c>
    </row>
    <row r="405" spans="17:36" x14ac:dyDescent="0.25">
      <c r="Q405">
        <f t="shared" si="8"/>
        <v>295</v>
      </c>
      <c r="R405" t="s">
        <v>830</v>
      </c>
      <c r="S405">
        <f>SUM(TablaSeleccionControladores[[#This Row],[M4-CGE04060-0]:[M4-CGM09090-0H]])</f>
        <v>1</v>
      </c>
      <c r="T405" s="14" cm="1">
        <f t="array" ref="T405">SUM(_xlfn.XLOOKUP(TablaSeleccionControladores[[#Headers],[M4-CGE04060-0]:[M4-XPM18000-0]],TablaControladores[[REFERENCIA]:[REFERENCIA]],TablaControladores[EA])*$AA405:$AJ405)</f>
        <v>0</v>
      </c>
      <c r="U405" s="14" cm="1">
        <f t="array" ref="U405">SUM(_xlfn.XLOOKUP(TablaSeleccionControladores[[#Headers],[M4-CGE04060-0]:[M4-XPM18000-0]],TablaControladores[[REFERENCIA]:[REFERENCIA]],TablaControladores[EU])*$AA405:$AJ405)</f>
        <v>34</v>
      </c>
      <c r="V405" s="14" cm="1">
        <f t="array" ref="V405">SUM(_xlfn.XLOOKUP(TablaSeleccionControladores[[#Headers],[M4-CGE04060-0]:[M4-XPM18000-0]],TablaControladores[[REFERENCIA]:[REFERENCIA]],TablaControladores[ED])*$AA405:$AJ405)</f>
        <v>10</v>
      </c>
      <c r="W405" s="14" cm="1">
        <f t="array" ref="W405">SUM(_xlfn.XLOOKUP(TablaSeleccionControladores[[#Headers],[M4-CGE04060-0]:[M4-XPM18000-0]],TablaControladores[[REFERENCIA]:[REFERENCIA]],TablaControladores[SA])*$AA405:$AJ405)</f>
        <v>10</v>
      </c>
      <c r="X405" s="14" cm="1">
        <f t="array" ref="X405">SUM(_xlfn.XLOOKUP(TablaSeleccionControladores[[#Headers],[M4-CGE04060-0]:[M4-XPM18000-0]],TablaControladores[[REFERENCIA]:[REFERENCIA]],TablaControladores[SC])*$AA405:$AJ405)</f>
        <v>24</v>
      </c>
      <c r="Y405" s="14" cm="1">
        <f t="array" ref="Y405">SUM(_xlfn.XLOOKUP(TablaSeleccionControladores[[#Headers],[M4-CGE04060-0]:[M4-XPM18000-0]],TablaControladores[[REFERENCIA]:[REFERENCIA]],TablaControladores[SD])*$AA405:$AJ405)</f>
        <v>17</v>
      </c>
      <c r="Z405" s="14">
        <f>SUM(TablaSeleccionControladores[[#This Row],[EA]:[SD]])</f>
        <v>95</v>
      </c>
      <c r="AE405" s="14">
        <v>1</v>
      </c>
      <c r="AH405" s="14">
        <v>1</v>
      </c>
      <c r="AI405" s="14">
        <v>4</v>
      </c>
      <c r="AJ405" s="14">
        <v>0</v>
      </c>
    </row>
    <row r="406" spans="17:36" x14ac:dyDescent="0.25">
      <c r="Q406">
        <f t="shared" si="8"/>
        <v>296</v>
      </c>
      <c r="R406" t="s">
        <v>830</v>
      </c>
      <c r="S406">
        <f>SUM(TablaSeleccionControladores[[#This Row],[M4-CGE04060-0]:[M4-CGM09090-0H]])</f>
        <v>1</v>
      </c>
      <c r="T406" s="14" cm="1">
        <f t="array" ref="T406">SUM(_xlfn.XLOOKUP(TablaSeleccionControladores[[#Headers],[M4-CGE04060-0]:[M4-XPM18000-0]],TablaControladores[[REFERENCIA]:[REFERENCIA]],TablaControladores[EA])*$AA406:$AJ406)</f>
        <v>0</v>
      </c>
      <c r="U406" s="14" cm="1">
        <f t="array" ref="U406">SUM(_xlfn.XLOOKUP(TablaSeleccionControladores[[#Headers],[M4-CGE04060-0]:[M4-XPM18000-0]],TablaControladores[[REFERENCIA]:[REFERENCIA]],TablaControladores[EU])*$AA406:$AJ406)</f>
        <v>34</v>
      </c>
      <c r="V406" s="14" cm="1">
        <f t="array" ref="V406">SUM(_xlfn.XLOOKUP(TablaSeleccionControladores[[#Headers],[M4-CGE04060-0]:[M4-XPM18000-0]],TablaControladores[[REFERENCIA]:[REFERENCIA]],TablaControladores[ED])*$AA406:$AJ406)</f>
        <v>28</v>
      </c>
      <c r="W406" s="14" cm="1">
        <f t="array" ref="W406">SUM(_xlfn.XLOOKUP(TablaSeleccionControladores[[#Headers],[M4-CGE04060-0]:[M4-XPM18000-0]],TablaControladores[[REFERENCIA]:[REFERENCIA]],TablaControladores[SA])*$AA406:$AJ406)</f>
        <v>10</v>
      </c>
      <c r="X406" s="14" cm="1">
        <f t="array" ref="X406">SUM(_xlfn.XLOOKUP(TablaSeleccionControladores[[#Headers],[M4-CGE04060-0]:[M4-XPM18000-0]],TablaControladores[[REFERENCIA]:[REFERENCIA]],TablaControladores[SC])*$AA406:$AJ406)</f>
        <v>24</v>
      </c>
      <c r="Y406" s="14" cm="1">
        <f t="array" ref="Y406">SUM(_xlfn.XLOOKUP(TablaSeleccionControladores[[#Headers],[M4-CGE04060-0]:[M4-XPM18000-0]],TablaControladores[[REFERENCIA]:[REFERENCIA]],TablaControladores[SD])*$AA406:$AJ406)</f>
        <v>17</v>
      </c>
      <c r="Z406" s="14">
        <f>SUM(TablaSeleccionControladores[[#This Row],[EA]:[SD]])</f>
        <v>113</v>
      </c>
      <c r="AE406" s="14">
        <v>1</v>
      </c>
      <c r="AH406" s="14">
        <v>1</v>
      </c>
      <c r="AI406" s="14">
        <v>4</v>
      </c>
      <c r="AJ406" s="14">
        <v>1</v>
      </c>
    </row>
    <row r="407" spans="17:36" x14ac:dyDescent="0.25">
      <c r="Q407">
        <f t="shared" si="8"/>
        <v>297</v>
      </c>
      <c r="R407" t="s">
        <v>830</v>
      </c>
      <c r="S407">
        <f>SUM(TablaSeleccionControladores[[#This Row],[M4-CGE04060-0]:[M4-CGM09090-0H]])</f>
        <v>1</v>
      </c>
      <c r="T407" s="14" cm="1">
        <f t="array" ref="T407">SUM(_xlfn.XLOOKUP(TablaSeleccionControladores[[#Headers],[M4-CGE04060-0]:[M4-XPM18000-0]],TablaControladores[[REFERENCIA]:[REFERENCIA]],TablaControladores[EA])*$AA407:$AJ407)</f>
        <v>0</v>
      </c>
      <c r="U407" s="14" cm="1">
        <f t="array" ref="U407">SUM(_xlfn.XLOOKUP(TablaSeleccionControladores[[#Headers],[M4-CGE04060-0]:[M4-XPM18000-0]],TablaControladores[[REFERENCIA]:[REFERENCIA]],TablaControladores[EU])*$AA407:$AJ407)</f>
        <v>9</v>
      </c>
      <c r="V407" s="14" cm="1">
        <f t="array" ref="V407">SUM(_xlfn.XLOOKUP(TablaSeleccionControladores[[#Headers],[M4-CGE04060-0]:[M4-XPM18000-0]],TablaControladores[[REFERENCIA]:[REFERENCIA]],TablaControladores[ED])*$AA407:$AJ407)</f>
        <v>3</v>
      </c>
      <c r="W407" s="14" cm="1">
        <f t="array" ref="W407">SUM(_xlfn.XLOOKUP(TablaSeleccionControladores[[#Headers],[M4-CGE04060-0]:[M4-XPM18000-0]],TablaControladores[[REFERENCIA]:[REFERENCIA]],TablaControladores[SA])*$AA407:$AJ407)</f>
        <v>4</v>
      </c>
      <c r="X407" s="14" cm="1">
        <f t="array" ref="X407">SUM(_xlfn.XLOOKUP(TablaSeleccionControladores[[#Headers],[M4-CGE04060-0]:[M4-XPM18000-0]],TablaControladores[[REFERENCIA]:[REFERENCIA]],TablaControladores[SC])*$AA407:$AJ407)</f>
        <v>12</v>
      </c>
      <c r="Y407" s="14" cm="1">
        <f t="array" ref="Y407">SUM(_xlfn.XLOOKUP(TablaSeleccionControladores[[#Headers],[M4-CGE04060-0]:[M4-XPM18000-0]],TablaControladores[[REFERENCIA]:[REFERENCIA]],TablaControladores[SD])*$AA407:$AJ407)</f>
        <v>8</v>
      </c>
      <c r="Z407" s="14">
        <f>SUM(TablaSeleccionControladores[[#This Row],[EA]:[SD]])</f>
        <v>36</v>
      </c>
      <c r="AE407" s="14">
        <v>1</v>
      </c>
      <c r="AH407" s="14">
        <v>2</v>
      </c>
      <c r="AI407" s="14">
        <v>0</v>
      </c>
      <c r="AJ407" s="14">
        <v>0</v>
      </c>
    </row>
    <row r="408" spans="17:36" x14ac:dyDescent="0.25">
      <c r="Q408">
        <f t="shared" si="8"/>
        <v>298</v>
      </c>
      <c r="R408" t="s">
        <v>830</v>
      </c>
      <c r="S408">
        <f>SUM(TablaSeleccionControladores[[#This Row],[M4-CGE04060-0]:[M4-CGM09090-0H]])</f>
        <v>1</v>
      </c>
      <c r="T408" s="14" cm="1">
        <f t="array" ref="T408">SUM(_xlfn.XLOOKUP(TablaSeleccionControladores[[#Headers],[M4-CGE04060-0]:[M4-XPM18000-0]],TablaControladores[[REFERENCIA]:[REFERENCIA]],TablaControladores[EA])*$AA408:$AJ408)</f>
        <v>0</v>
      </c>
      <c r="U408" s="14" cm="1">
        <f t="array" ref="U408">SUM(_xlfn.XLOOKUP(TablaSeleccionControladores[[#Headers],[M4-CGE04060-0]:[M4-XPM18000-0]],TablaControladores[[REFERENCIA]:[REFERENCIA]],TablaControladores[EU])*$AA408:$AJ408)</f>
        <v>9</v>
      </c>
      <c r="V408" s="14" cm="1">
        <f t="array" ref="V408">SUM(_xlfn.XLOOKUP(TablaSeleccionControladores[[#Headers],[M4-CGE04060-0]:[M4-XPM18000-0]],TablaControladores[[REFERENCIA]:[REFERENCIA]],TablaControladores[ED])*$AA408:$AJ408)</f>
        <v>21</v>
      </c>
      <c r="W408" s="14" cm="1">
        <f t="array" ref="W408">SUM(_xlfn.XLOOKUP(TablaSeleccionControladores[[#Headers],[M4-CGE04060-0]:[M4-XPM18000-0]],TablaControladores[[REFERENCIA]:[REFERENCIA]],TablaControladores[SA])*$AA408:$AJ408)</f>
        <v>4</v>
      </c>
      <c r="X408" s="14" cm="1">
        <f t="array" ref="X408">SUM(_xlfn.XLOOKUP(TablaSeleccionControladores[[#Headers],[M4-CGE04060-0]:[M4-XPM18000-0]],TablaControladores[[REFERENCIA]:[REFERENCIA]],TablaControladores[SC])*$AA408:$AJ408)</f>
        <v>12</v>
      </c>
      <c r="Y408" s="14" cm="1">
        <f t="array" ref="Y408">SUM(_xlfn.XLOOKUP(TablaSeleccionControladores[[#Headers],[M4-CGE04060-0]:[M4-XPM18000-0]],TablaControladores[[REFERENCIA]:[REFERENCIA]],TablaControladores[SD])*$AA408:$AJ408)</f>
        <v>8</v>
      </c>
      <c r="Z408" s="14">
        <f>SUM(TablaSeleccionControladores[[#This Row],[EA]:[SD]])</f>
        <v>54</v>
      </c>
      <c r="AE408" s="14">
        <v>1</v>
      </c>
      <c r="AH408" s="14">
        <v>2</v>
      </c>
      <c r="AI408" s="14">
        <v>0</v>
      </c>
      <c r="AJ408" s="14">
        <v>1</v>
      </c>
    </row>
    <row r="409" spans="17:36" x14ac:dyDescent="0.25">
      <c r="Q409">
        <f t="shared" si="8"/>
        <v>299</v>
      </c>
      <c r="R409" t="s">
        <v>830</v>
      </c>
      <c r="S409">
        <f>SUM(TablaSeleccionControladores[[#This Row],[M4-CGE04060-0]:[M4-CGM09090-0H]])</f>
        <v>1</v>
      </c>
      <c r="T409" s="14" cm="1">
        <f t="array" ref="T409">SUM(_xlfn.XLOOKUP(TablaSeleccionControladores[[#Headers],[M4-CGE04060-0]:[M4-XPM18000-0]],TablaControladores[[REFERENCIA]:[REFERENCIA]],TablaControladores[EA])*$AA409:$AJ409)</f>
        <v>0</v>
      </c>
      <c r="U409" s="14" cm="1">
        <f t="array" ref="U409">SUM(_xlfn.XLOOKUP(TablaSeleccionControladores[[#Headers],[M4-CGE04060-0]:[M4-XPM18000-0]],TablaControladores[[REFERENCIA]:[REFERENCIA]],TablaControladores[EU])*$AA409:$AJ409)</f>
        <v>9</v>
      </c>
      <c r="V409" s="14" cm="1">
        <f t="array" ref="V409">SUM(_xlfn.XLOOKUP(TablaSeleccionControladores[[#Headers],[M4-CGE04060-0]:[M4-XPM18000-0]],TablaControladores[[REFERENCIA]:[REFERENCIA]],TablaControladores[ED])*$AA409:$AJ409)</f>
        <v>39</v>
      </c>
      <c r="W409" s="14" cm="1">
        <f t="array" ref="W409">SUM(_xlfn.XLOOKUP(TablaSeleccionControladores[[#Headers],[M4-CGE04060-0]:[M4-XPM18000-0]],TablaControladores[[REFERENCIA]:[REFERENCIA]],TablaControladores[SA])*$AA409:$AJ409)</f>
        <v>4</v>
      </c>
      <c r="X409" s="14" cm="1">
        <f t="array" ref="X409">SUM(_xlfn.XLOOKUP(TablaSeleccionControladores[[#Headers],[M4-CGE04060-0]:[M4-XPM18000-0]],TablaControladores[[REFERENCIA]:[REFERENCIA]],TablaControladores[SC])*$AA409:$AJ409)</f>
        <v>12</v>
      </c>
      <c r="Y409" s="14" cm="1">
        <f t="array" ref="Y409">SUM(_xlfn.XLOOKUP(TablaSeleccionControladores[[#Headers],[M4-CGE04060-0]:[M4-XPM18000-0]],TablaControladores[[REFERENCIA]:[REFERENCIA]],TablaControladores[SD])*$AA409:$AJ409)</f>
        <v>8</v>
      </c>
      <c r="Z409" s="14">
        <f>SUM(TablaSeleccionControladores[[#This Row],[EA]:[SD]])</f>
        <v>72</v>
      </c>
      <c r="AE409" s="14">
        <v>1</v>
      </c>
      <c r="AH409" s="14">
        <v>2</v>
      </c>
      <c r="AI409" s="14">
        <v>0</v>
      </c>
      <c r="AJ409" s="14">
        <v>2</v>
      </c>
    </row>
    <row r="410" spans="17:36" x14ac:dyDescent="0.25">
      <c r="Q410">
        <f t="shared" si="8"/>
        <v>300</v>
      </c>
      <c r="R410" t="s">
        <v>830</v>
      </c>
      <c r="S410">
        <f>SUM(TablaSeleccionControladores[[#This Row],[M4-CGE04060-0]:[M4-CGM09090-0H]])</f>
        <v>1</v>
      </c>
      <c r="T410" s="14" cm="1">
        <f t="array" ref="T410">SUM(_xlfn.XLOOKUP(TablaSeleccionControladores[[#Headers],[M4-CGE04060-0]:[M4-XPM18000-0]],TablaControladores[[REFERENCIA]:[REFERENCIA]],TablaControladores[EA])*$AA410:$AJ410)</f>
        <v>0</v>
      </c>
      <c r="U410" s="14" cm="1">
        <f t="array" ref="U410">SUM(_xlfn.XLOOKUP(TablaSeleccionControladores[[#Headers],[M4-CGE04060-0]:[M4-XPM18000-0]],TablaControladores[[REFERENCIA]:[REFERENCIA]],TablaControladores[EU])*$AA410:$AJ410)</f>
        <v>9</v>
      </c>
      <c r="V410" s="14" cm="1">
        <f t="array" ref="V410">SUM(_xlfn.XLOOKUP(TablaSeleccionControladores[[#Headers],[M4-CGE04060-0]:[M4-XPM18000-0]],TablaControladores[[REFERENCIA]:[REFERENCIA]],TablaControladores[ED])*$AA410:$AJ410)</f>
        <v>57</v>
      </c>
      <c r="W410" s="14" cm="1">
        <f t="array" ref="W410">SUM(_xlfn.XLOOKUP(TablaSeleccionControladores[[#Headers],[M4-CGE04060-0]:[M4-XPM18000-0]],TablaControladores[[REFERENCIA]:[REFERENCIA]],TablaControladores[SA])*$AA410:$AJ410)</f>
        <v>4</v>
      </c>
      <c r="X410" s="14" cm="1">
        <f t="array" ref="X410">SUM(_xlfn.XLOOKUP(TablaSeleccionControladores[[#Headers],[M4-CGE04060-0]:[M4-XPM18000-0]],TablaControladores[[REFERENCIA]:[REFERENCIA]],TablaControladores[SC])*$AA410:$AJ410)</f>
        <v>12</v>
      </c>
      <c r="Y410" s="14" cm="1">
        <f t="array" ref="Y410">SUM(_xlfn.XLOOKUP(TablaSeleccionControladores[[#Headers],[M4-CGE04060-0]:[M4-XPM18000-0]],TablaControladores[[REFERENCIA]:[REFERENCIA]],TablaControladores[SD])*$AA410:$AJ410)</f>
        <v>8</v>
      </c>
      <c r="Z410" s="14">
        <f>SUM(TablaSeleccionControladores[[#This Row],[EA]:[SD]])</f>
        <v>90</v>
      </c>
      <c r="AE410" s="14">
        <v>1</v>
      </c>
      <c r="AH410" s="14">
        <v>2</v>
      </c>
      <c r="AI410" s="14">
        <v>0</v>
      </c>
      <c r="AJ410" s="14">
        <v>3</v>
      </c>
    </row>
    <row r="411" spans="17:36" x14ac:dyDescent="0.25">
      <c r="Q411">
        <f t="shared" si="8"/>
        <v>301</v>
      </c>
      <c r="R411" t="s">
        <v>830</v>
      </c>
      <c r="S411">
        <f>SUM(TablaSeleccionControladores[[#This Row],[M4-CGE04060-0]:[M4-CGM09090-0H]])</f>
        <v>1</v>
      </c>
      <c r="T411" s="14" cm="1">
        <f t="array" ref="T411">SUM(_xlfn.XLOOKUP(TablaSeleccionControladores[[#Headers],[M4-CGE04060-0]:[M4-XPM18000-0]],TablaControladores[[REFERENCIA]:[REFERENCIA]],TablaControladores[EA])*$AA411:$AJ411)</f>
        <v>0</v>
      </c>
      <c r="U411" s="14" cm="1">
        <f t="array" ref="U411">SUM(_xlfn.XLOOKUP(TablaSeleccionControladores[[#Headers],[M4-CGE04060-0]:[M4-XPM18000-0]],TablaControladores[[REFERENCIA]:[REFERENCIA]],TablaControladores[EU])*$AA411:$AJ411)</f>
        <v>9</v>
      </c>
      <c r="V411" s="14" cm="1">
        <f t="array" ref="V411">SUM(_xlfn.XLOOKUP(TablaSeleccionControladores[[#Headers],[M4-CGE04060-0]:[M4-XPM18000-0]],TablaControladores[[REFERENCIA]:[REFERENCIA]],TablaControladores[ED])*$AA411:$AJ411)</f>
        <v>75</v>
      </c>
      <c r="W411" s="14" cm="1">
        <f t="array" ref="W411">SUM(_xlfn.XLOOKUP(TablaSeleccionControladores[[#Headers],[M4-CGE04060-0]:[M4-XPM18000-0]],TablaControladores[[REFERENCIA]:[REFERENCIA]],TablaControladores[SA])*$AA411:$AJ411)</f>
        <v>4</v>
      </c>
      <c r="X411" s="14" cm="1">
        <f t="array" ref="X411">SUM(_xlfn.XLOOKUP(TablaSeleccionControladores[[#Headers],[M4-CGE04060-0]:[M4-XPM18000-0]],TablaControladores[[REFERENCIA]:[REFERENCIA]],TablaControladores[SC])*$AA411:$AJ411)</f>
        <v>12</v>
      </c>
      <c r="Y411" s="14" cm="1">
        <f t="array" ref="Y411">SUM(_xlfn.XLOOKUP(TablaSeleccionControladores[[#Headers],[M4-CGE04060-0]:[M4-XPM18000-0]],TablaControladores[[REFERENCIA]:[REFERENCIA]],TablaControladores[SD])*$AA411:$AJ411)</f>
        <v>8</v>
      </c>
      <c r="Z411" s="14">
        <f>SUM(TablaSeleccionControladores[[#This Row],[EA]:[SD]])</f>
        <v>108</v>
      </c>
      <c r="AE411" s="14">
        <v>1</v>
      </c>
      <c r="AH411" s="14">
        <v>2</v>
      </c>
      <c r="AI411" s="14">
        <v>0</v>
      </c>
      <c r="AJ411" s="14">
        <v>4</v>
      </c>
    </row>
    <row r="412" spans="17:36" x14ac:dyDescent="0.25">
      <c r="Q412">
        <f t="shared" si="8"/>
        <v>302</v>
      </c>
      <c r="R412" t="s">
        <v>830</v>
      </c>
      <c r="S412">
        <f>SUM(TablaSeleccionControladores[[#This Row],[M4-CGE04060-0]:[M4-CGM09090-0H]])</f>
        <v>1</v>
      </c>
      <c r="T412" s="14" cm="1">
        <f t="array" ref="T412">SUM(_xlfn.XLOOKUP(TablaSeleccionControladores[[#Headers],[M4-CGE04060-0]:[M4-XPM18000-0]],TablaControladores[[REFERENCIA]:[REFERENCIA]],TablaControladores[EA])*$AA412:$AJ412)</f>
        <v>0</v>
      </c>
      <c r="U412" s="14" cm="1">
        <f t="array" ref="U412">SUM(_xlfn.XLOOKUP(TablaSeleccionControladores[[#Headers],[M4-CGE04060-0]:[M4-XPM18000-0]],TablaControladores[[REFERENCIA]:[REFERENCIA]],TablaControladores[EU])*$AA412:$AJ412)</f>
        <v>16</v>
      </c>
      <c r="V412" s="14" cm="1">
        <f t="array" ref="V412">SUM(_xlfn.XLOOKUP(TablaSeleccionControladores[[#Headers],[M4-CGE04060-0]:[M4-XPM18000-0]],TablaControladores[[REFERENCIA]:[REFERENCIA]],TablaControladores[ED])*$AA412:$AJ412)</f>
        <v>5</v>
      </c>
      <c r="W412" s="14" cm="1">
        <f t="array" ref="W412">SUM(_xlfn.XLOOKUP(TablaSeleccionControladores[[#Headers],[M4-CGE04060-0]:[M4-XPM18000-0]],TablaControladores[[REFERENCIA]:[REFERENCIA]],TablaControladores[SA])*$AA412:$AJ412)</f>
        <v>6</v>
      </c>
      <c r="X412" s="14" cm="1">
        <f t="array" ref="X412">SUM(_xlfn.XLOOKUP(TablaSeleccionControladores[[#Headers],[M4-CGE04060-0]:[M4-XPM18000-0]],TablaControladores[[REFERENCIA]:[REFERENCIA]],TablaControladores[SC])*$AA412:$AJ412)</f>
        <v>16</v>
      </c>
      <c r="Y412" s="14" cm="1">
        <f t="array" ref="Y412">SUM(_xlfn.XLOOKUP(TablaSeleccionControladores[[#Headers],[M4-CGE04060-0]:[M4-XPM18000-0]],TablaControladores[[REFERENCIA]:[REFERENCIA]],TablaControladores[SD])*$AA412:$AJ412)</f>
        <v>11</v>
      </c>
      <c r="Z412" s="14">
        <f>SUM(TablaSeleccionControladores[[#This Row],[EA]:[SD]])</f>
        <v>54</v>
      </c>
      <c r="AE412" s="14">
        <v>1</v>
      </c>
      <c r="AH412" s="14">
        <v>2</v>
      </c>
      <c r="AI412" s="14">
        <v>1</v>
      </c>
      <c r="AJ412" s="14">
        <v>0</v>
      </c>
    </row>
    <row r="413" spans="17:36" x14ac:dyDescent="0.25">
      <c r="Q413">
        <f t="shared" si="8"/>
        <v>303</v>
      </c>
      <c r="R413" t="s">
        <v>830</v>
      </c>
      <c r="S413">
        <f>SUM(TablaSeleccionControladores[[#This Row],[M4-CGE04060-0]:[M4-CGM09090-0H]])</f>
        <v>1</v>
      </c>
      <c r="T413" s="14" cm="1">
        <f t="array" ref="T413">SUM(_xlfn.XLOOKUP(TablaSeleccionControladores[[#Headers],[M4-CGE04060-0]:[M4-XPM18000-0]],TablaControladores[[REFERENCIA]:[REFERENCIA]],TablaControladores[EA])*$AA413:$AJ413)</f>
        <v>0</v>
      </c>
      <c r="U413" s="14" cm="1">
        <f t="array" ref="U413">SUM(_xlfn.XLOOKUP(TablaSeleccionControladores[[#Headers],[M4-CGE04060-0]:[M4-XPM18000-0]],TablaControladores[[REFERENCIA]:[REFERENCIA]],TablaControladores[EU])*$AA413:$AJ413)</f>
        <v>16</v>
      </c>
      <c r="V413" s="14" cm="1">
        <f t="array" ref="V413">SUM(_xlfn.XLOOKUP(TablaSeleccionControladores[[#Headers],[M4-CGE04060-0]:[M4-XPM18000-0]],TablaControladores[[REFERENCIA]:[REFERENCIA]],TablaControladores[ED])*$AA413:$AJ413)</f>
        <v>23</v>
      </c>
      <c r="W413" s="14" cm="1">
        <f t="array" ref="W413">SUM(_xlfn.XLOOKUP(TablaSeleccionControladores[[#Headers],[M4-CGE04060-0]:[M4-XPM18000-0]],TablaControladores[[REFERENCIA]:[REFERENCIA]],TablaControladores[SA])*$AA413:$AJ413)</f>
        <v>6</v>
      </c>
      <c r="X413" s="14" cm="1">
        <f t="array" ref="X413">SUM(_xlfn.XLOOKUP(TablaSeleccionControladores[[#Headers],[M4-CGE04060-0]:[M4-XPM18000-0]],TablaControladores[[REFERENCIA]:[REFERENCIA]],TablaControladores[SC])*$AA413:$AJ413)</f>
        <v>16</v>
      </c>
      <c r="Y413" s="14" cm="1">
        <f t="array" ref="Y413">SUM(_xlfn.XLOOKUP(TablaSeleccionControladores[[#Headers],[M4-CGE04060-0]:[M4-XPM18000-0]],TablaControladores[[REFERENCIA]:[REFERENCIA]],TablaControladores[SD])*$AA413:$AJ413)</f>
        <v>11</v>
      </c>
      <c r="Z413" s="14">
        <f>SUM(TablaSeleccionControladores[[#This Row],[EA]:[SD]])</f>
        <v>72</v>
      </c>
      <c r="AE413" s="14">
        <v>1</v>
      </c>
      <c r="AH413" s="14">
        <v>2</v>
      </c>
      <c r="AI413" s="14">
        <v>1</v>
      </c>
      <c r="AJ413" s="14">
        <v>1</v>
      </c>
    </row>
    <row r="414" spans="17:36" x14ac:dyDescent="0.25">
      <c r="Q414">
        <f t="shared" si="8"/>
        <v>304</v>
      </c>
      <c r="R414" t="s">
        <v>830</v>
      </c>
      <c r="S414">
        <f>SUM(TablaSeleccionControladores[[#This Row],[M4-CGE04060-0]:[M4-CGM09090-0H]])</f>
        <v>1</v>
      </c>
      <c r="T414" s="14" cm="1">
        <f t="array" ref="T414">SUM(_xlfn.XLOOKUP(TablaSeleccionControladores[[#Headers],[M4-CGE04060-0]:[M4-XPM18000-0]],TablaControladores[[REFERENCIA]:[REFERENCIA]],TablaControladores[EA])*$AA414:$AJ414)</f>
        <v>0</v>
      </c>
      <c r="U414" s="14" cm="1">
        <f t="array" ref="U414">SUM(_xlfn.XLOOKUP(TablaSeleccionControladores[[#Headers],[M4-CGE04060-0]:[M4-XPM18000-0]],TablaControladores[[REFERENCIA]:[REFERENCIA]],TablaControladores[EU])*$AA414:$AJ414)</f>
        <v>16</v>
      </c>
      <c r="V414" s="14" cm="1">
        <f t="array" ref="V414">SUM(_xlfn.XLOOKUP(TablaSeleccionControladores[[#Headers],[M4-CGE04060-0]:[M4-XPM18000-0]],TablaControladores[[REFERENCIA]:[REFERENCIA]],TablaControladores[ED])*$AA414:$AJ414)</f>
        <v>41</v>
      </c>
      <c r="W414" s="14" cm="1">
        <f t="array" ref="W414">SUM(_xlfn.XLOOKUP(TablaSeleccionControladores[[#Headers],[M4-CGE04060-0]:[M4-XPM18000-0]],TablaControladores[[REFERENCIA]:[REFERENCIA]],TablaControladores[SA])*$AA414:$AJ414)</f>
        <v>6</v>
      </c>
      <c r="X414" s="14" cm="1">
        <f t="array" ref="X414">SUM(_xlfn.XLOOKUP(TablaSeleccionControladores[[#Headers],[M4-CGE04060-0]:[M4-XPM18000-0]],TablaControladores[[REFERENCIA]:[REFERENCIA]],TablaControladores[SC])*$AA414:$AJ414)</f>
        <v>16</v>
      </c>
      <c r="Y414" s="14" cm="1">
        <f t="array" ref="Y414">SUM(_xlfn.XLOOKUP(TablaSeleccionControladores[[#Headers],[M4-CGE04060-0]:[M4-XPM18000-0]],TablaControladores[[REFERENCIA]:[REFERENCIA]],TablaControladores[SD])*$AA414:$AJ414)</f>
        <v>11</v>
      </c>
      <c r="Z414" s="14">
        <f>SUM(TablaSeleccionControladores[[#This Row],[EA]:[SD]])</f>
        <v>90</v>
      </c>
      <c r="AE414" s="14">
        <v>1</v>
      </c>
      <c r="AH414" s="14">
        <v>2</v>
      </c>
      <c r="AI414" s="14">
        <v>1</v>
      </c>
      <c r="AJ414" s="14">
        <v>2</v>
      </c>
    </row>
    <row r="415" spans="17:36" x14ac:dyDescent="0.25">
      <c r="Q415">
        <f t="shared" si="8"/>
        <v>305</v>
      </c>
      <c r="R415" t="s">
        <v>830</v>
      </c>
      <c r="S415">
        <f>SUM(TablaSeleccionControladores[[#This Row],[M4-CGE04060-0]:[M4-CGM09090-0H]])</f>
        <v>1</v>
      </c>
      <c r="T415" s="14" cm="1">
        <f t="array" ref="T415">SUM(_xlfn.XLOOKUP(TablaSeleccionControladores[[#Headers],[M4-CGE04060-0]:[M4-XPM18000-0]],TablaControladores[[REFERENCIA]:[REFERENCIA]],TablaControladores[EA])*$AA415:$AJ415)</f>
        <v>0</v>
      </c>
      <c r="U415" s="14" cm="1">
        <f t="array" ref="U415">SUM(_xlfn.XLOOKUP(TablaSeleccionControladores[[#Headers],[M4-CGE04060-0]:[M4-XPM18000-0]],TablaControladores[[REFERENCIA]:[REFERENCIA]],TablaControladores[EU])*$AA415:$AJ415)</f>
        <v>16</v>
      </c>
      <c r="V415" s="14" cm="1">
        <f t="array" ref="V415">SUM(_xlfn.XLOOKUP(TablaSeleccionControladores[[#Headers],[M4-CGE04060-0]:[M4-XPM18000-0]],TablaControladores[[REFERENCIA]:[REFERENCIA]],TablaControladores[ED])*$AA415:$AJ415)</f>
        <v>59</v>
      </c>
      <c r="W415" s="14" cm="1">
        <f t="array" ref="W415">SUM(_xlfn.XLOOKUP(TablaSeleccionControladores[[#Headers],[M4-CGE04060-0]:[M4-XPM18000-0]],TablaControladores[[REFERENCIA]:[REFERENCIA]],TablaControladores[SA])*$AA415:$AJ415)</f>
        <v>6</v>
      </c>
      <c r="X415" s="14" cm="1">
        <f t="array" ref="X415">SUM(_xlfn.XLOOKUP(TablaSeleccionControladores[[#Headers],[M4-CGE04060-0]:[M4-XPM18000-0]],TablaControladores[[REFERENCIA]:[REFERENCIA]],TablaControladores[SC])*$AA415:$AJ415)</f>
        <v>16</v>
      </c>
      <c r="Y415" s="14" cm="1">
        <f t="array" ref="Y415">SUM(_xlfn.XLOOKUP(TablaSeleccionControladores[[#Headers],[M4-CGE04060-0]:[M4-XPM18000-0]],TablaControladores[[REFERENCIA]:[REFERENCIA]],TablaControladores[SD])*$AA415:$AJ415)</f>
        <v>11</v>
      </c>
      <c r="Z415" s="14">
        <f>SUM(TablaSeleccionControladores[[#This Row],[EA]:[SD]])</f>
        <v>108</v>
      </c>
      <c r="AE415" s="14">
        <v>1</v>
      </c>
      <c r="AH415" s="14">
        <v>2</v>
      </c>
      <c r="AI415" s="14">
        <v>1</v>
      </c>
      <c r="AJ415" s="14">
        <v>3</v>
      </c>
    </row>
    <row r="416" spans="17:36" x14ac:dyDescent="0.25">
      <c r="Q416">
        <f t="shared" si="8"/>
        <v>306</v>
      </c>
      <c r="R416" t="s">
        <v>830</v>
      </c>
      <c r="S416">
        <f>SUM(TablaSeleccionControladores[[#This Row],[M4-CGE04060-0]:[M4-CGM09090-0H]])</f>
        <v>1</v>
      </c>
      <c r="T416" s="14" cm="1">
        <f t="array" ref="T416">SUM(_xlfn.XLOOKUP(TablaSeleccionControladores[[#Headers],[M4-CGE04060-0]:[M4-XPM18000-0]],TablaControladores[[REFERENCIA]:[REFERENCIA]],TablaControladores[EA])*$AA416:$AJ416)</f>
        <v>0</v>
      </c>
      <c r="U416" s="14" cm="1">
        <f t="array" ref="U416">SUM(_xlfn.XLOOKUP(TablaSeleccionControladores[[#Headers],[M4-CGE04060-0]:[M4-XPM18000-0]],TablaControladores[[REFERENCIA]:[REFERENCIA]],TablaControladores[EU])*$AA416:$AJ416)</f>
        <v>23</v>
      </c>
      <c r="V416" s="14" cm="1">
        <f t="array" ref="V416">SUM(_xlfn.XLOOKUP(TablaSeleccionControladores[[#Headers],[M4-CGE04060-0]:[M4-XPM18000-0]],TablaControladores[[REFERENCIA]:[REFERENCIA]],TablaControladores[ED])*$AA416:$AJ416)</f>
        <v>7</v>
      </c>
      <c r="W416" s="14" cm="1">
        <f t="array" ref="W416">SUM(_xlfn.XLOOKUP(TablaSeleccionControladores[[#Headers],[M4-CGE04060-0]:[M4-XPM18000-0]],TablaControladores[[REFERENCIA]:[REFERENCIA]],TablaControladores[SA])*$AA416:$AJ416)</f>
        <v>8</v>
      </c>
      <c r="X416" s="14" cm="1">
        <f t="array" ref="X416">SUM(_xlfn.XLOOKUP(TablaSeleccionControladores[[#Headers],[M4-CGE04060-0]:[M4-XPM18000-0]],TablaControladores[[REFERENCIA]:[REFERENCIA]],TablaControladores[SC])*$AA416:$AJ416)</f>
        <v>20</v>
      </c>
      <c r="Y416" s="14" cm="1">
        <f t="array" ref="Y416">SUM(_xlfn.XLOOKUP(TablaSeleccionControladores[[#Headers],[M4-CGE04060-0]:[M4-XPM18000-0]],TablaControladores[[REFERENCIA]:[REFERENCIA]],TablaControladores[SD])*$AA416:$AJ416)</f>
        <v>14</v>
      </c>
      <c r="Z416" s="14">
        <f>SUM(TablaSeleccionControladores[[#This Row],[EA]:[SD]])</f>
        <v>72</v>
      </c>
      <c r="AE416" s="14">
        <v>1</v>
      </c>
      <c r="AH416" s="14">
        <v>2</v>
      </c>
      <c r="AI416" s="14">
        <v>2</v>
      </c>
      <c r="AJ416" s="14">
        <v>0</v>
      </c>
    </row>
    <row r="417" spans="17:36" x14ac:dyDescent="0.25">
      <c r="Q417">
        <f t="shared" si="8"/>
        <v>307</v>
      </c>
      <c r="R417" t="s">
        <v>830</v>
      </c>
      <c r="S417">
        <f>SUM(TablaSeleccionControladores[[#This Row],[M4-CGE04060-0]:[M4-CGM09090-0H]])</f>
        <v>1</v>
      </c>
      <c r="T417" s="14" cm="1">
        <f t="array" ref="T417">SUM(_xlfn.XLOOKUP(TablaSeleccionControladores[[#Headers],[M4-CGE04060-0]:[M4-XPM18000-0]],TablaControladores[[REFERENCIA]:[REFERENCIA]],TablaControladores[EA])*$AA417:$AJ417)</f>
        <v>0</v>
      </c>
      <c r="U417" s="14" cm="1">
        <f t="array" ref="U417">SUM(_xlfn.XLOOKUP(TablaSeleccionControladores[[#Headers],[M4-CGE04060-0]:[M4-XPM18000-0]],TablaControladores[[REFERENCIA]:[REFERENCIA]],TablaControladores[EU])*$AA417:$AJ417)</f>
        <v>23</v>
      </c>
      <c r="V417" s="14" cm="1">
        <f t="array" ref="V417">SUM(_xlfn.XLOOKUP(TablaSeleccionControladores[[#Headers],[M4-CGE04060-0]:[M4-XPM18000-0]],TablaControladores[[REFERENCIA]:[REFERENCIA]],TablaControladores[ED])*$AA417:$AJ417)</f>
        <v>25</v>
      </c>
      <c r="W417" s="14" cm="1">
        <f t="array" ref="W417">SUM(_xlfn.XLOOKUP(TablaSeleccionControladores[[#Headers],[M4-CGE04060-0]:[M4-XPM18000-0]],TablaControladores[[REFERENCIA]:[REFERENCIA]],TablaControladores[SA])*$AA417:$AJ417)</f>
        <v>8</v>
      </c>
      <c r="X417" s="14" cm="1">
        <f t="array" ref="X417">SUM(_xlfn.XLOOKUP(TablaSeleccionControladores[[#Headers],[M4-CGE04060-0]:[M4-XPM18000-0]],TablaControladores[[REFERENCIA]:[REFERENCIA]],TablaControladores[SC])*$AA417:$AJ417)</f>
        <v>20</v>
      </c>
      <c r="Y417" s="14" cm="1">
        <f t="array" ref="Y417">SUM(_xlfn.XLOOKUP(TablaSeleccionControladores[[#Headers],[M4-CGE04060-0]:[M4-XPM18000-0]],TablaControladores[[REFERENCIA]:[REFERENCIA]],TablaControladores[SD])*$AA417:$AJ417)</f>
        <v>14</v>
      </c>
      <c r="Z417" s="14">
        <f>SUM(TablaSeleccionControladores[[#This Row],[EA]:[SD]])</f>
        <v>90</v>
      </c>
      <c r="AE417" s="14">
        <v>1</v>
      </c>
      <c r="AH417" s="14">
        <v>2</v>
      </c>
      <c r="AI417" s="14">
        <v>2</v>
      </c>
      <c r="AJ417" s="14">
        <v>1</v>
      </c>
    </row>
    <row r="418" spans="17:36" x14ac:dyDescent="0.25">
      <c r="Q418">
        <f t="shared" si="8"/>
        <v>308</v>
      </c>
      <c r="R418" t="s">
        <v>830</v>
      </c>
      <c r="S418">
        <f>SUM(TablaSeleccionControladores[[#This Row],[M4-CGE04060-0]:[M4-CGM09090-0H]])</f>
        <v>1</v>
      </c>
      <c r="T418" s="14" cm="1">
        <f t="array" ref="T418">SUM(_xlfn.XLOOKUP(TablaSeleccionControladores[[#Headers],[M4-CGE04060-0]:[M4-XPM18000-0]],TablaControladores[[REFERENCIA]:[REFERENCIA]],TablaControladores[EA])*$AA418:$AJ418)</f>
        <v>0</v>
      </c>
      <c r="U418" s="14" cm="1">
        <f t="array" ref="U418">SUM(_xlfn.XLOOKUP(TablaSeleccionControladores[[#Headers],[M4-CGE04060-0]:[M4-XPM18000-0]],TablaControladores[[REFERENCIA]:[REFERENCIA]],TablaControladores[EU])*$AA418:$AJ418)</f>
        <v>23</v>
      </c>
      <c r="V418" s="14" cm="1">
        <f t="array" ref="V418">SUM(_xlfn.XLOOKUP(TablaSeleccionControladores[[#Headers],[M4-CGE04060-0]:[M4-XPM18000-0]],TablaControladores[[REFERENCIA]:[REFERENCIA]],TablaControladores[ED])*$AA418:$AJ418)</f>
        <v>43</v>
      </c>
      <c r="W418" s="14" cm="1">
        <f t="array" ref="W418">SUM(_xlfn.XLOOKUP(TablaSeleccionControladores[[#Headers],[M4-CGE04060-0]:[M4-XPM18000-0]],TablaControladores[[REFERENCIA]:[REFERENCIA]],TablaControladores[SA])*$AA418:$AJ418)</f>
        <v>8</v>
      </c>
      <c r="X418" s="14" cm="1">
        <f t="array" ref="X418">SUM(_xlfn.XLOOKUP(TablaSeleccionControladores[[#Headers],[M4-CGE04060-0]:[M4-XPM18000-0]],TablaControladores[[REFERENCIA]:[REFERENCIA]],TablaControladores[SC])*$AA418:$AJ418)</f>
        <v>20</v>
      </c>
      <c r="Y418" s="14" cm="1">
        <f t="array" ref="Y418">SUM(_xlfn.XLOOKUP(TablaSeleccionControladores[[#Headers],[M4-CGE04060-0]:[M4-XPM18000-0]],TablaControladores[[REFERENCIA]:[REFERENCIA]],TablaControladores[SD])*$AA418:$AJ418)</f>
        <v>14</v>
      </c>
      <c r="Z418" s="14">
        <f>SUM(TablaSeleccionControladores[[#This Row],[EA]:[SD]])</f>
        <v>108</v>
      </c>
      <c r="AE418" s="14">
        <v>1</v>
      </c>
      <c r="AH418" s="14">
        <v>2</v>
      </c>
      <c r="AI418" s="14">
        <v>2</v>
      </c>
      <c r="AJ418" s="14">
        <v>2</v>
      </c>
    </row>
    <row r="419" spans="17:36" x14ac:dyDescent="0.25">
      <c r="Q419">
        <f t="shared" si="8"/>
        <v>309</v>
      </c>
      <c r="R419" t="s">
        <v>830</v>
      </c>
      <c r="S419">
        <f>SUM(TablaSeleccionControladores[[#This Row],[M4-CGE04060-0]:[M4-CGM09090-0H]])</f>
        <v>1</v>
      </c>
      <c r="T419" s="14" cm="1">
        <f t="array" ref="T419">SUM(_xlfn.XLOOKUP(TablaSeleccionControladores[[#Headers],[M4-CGE04060-0]:[M4-XPM18000-0]],TablaControladores[[REFERENCIA]:[REFERENCIA]],TablaControladores[EA])*$AA419:$AJ419)</f>
        <v>0</v>
      </c>
      <c r="U419" s="14" cm="1">
        <f t="array" ref="U419">SUM(_xlfn.XLOOKUP(TablaSeleccionControladores[[#Headers],[M4-CGE04060-0]:[M4-XPM18000-0]],TablaControladores[[REFERENCIA]:[REFERENCIA]],TablaControladores[EU])*$AA419:$AJ419)</f>
        <v>30</v>
      </c>
      <c r="V419" s="14" cm="1">
        <f t="array" ref="V419">SUM(_xlfn.XLOOKUP(TablaSeleccionControladores[[#Headers],[M4-CGE04060-0]:[M4-XPM18000-0]],TablaControladores[[REFERENCIA]:[REFERENCIA]],TablaControladores[ED])*$AA419:$AJ419)</f>
        <v>9</v>
      </c>
      <c r="W419" s="14" cm="1">
        <f t="array" ref="W419">SUM(_xlfn.XLOOKUP(TablaSeleccionControladores[[#Headers],[M4-CGE04060-0]:[M4-XPM18000-0]],TablaControladores[[REFERENCIA]:[REFERENCIA]],TablaControladores[SA])*$AA419:$AJ419)</f>
        <v>10</v>
      </c>
      <c r="X419" s="14" cm="1">
        <f t="array" ref="X419">SUM(_xlfn.XLOOKUP(TablaSeleccionControladores[[#Headers],[M4-CGE04060-0]:[M4-XPM18000-0]],TablaControladores[[REFERENCIA]:[REFERENCIA]],TablaControladores[SC])*$AA419:$AJ419)</f>
        <v>24</v>
      </c>
      <c r="Y419" s="14" cm="1">
        <f t="array" ref="Y419">SUM(_xlfn.XLOOKUP(TablaSeleccionControladores[[#Headers],[M4-CGE04060-0]:[M4-XPM18000-0]],TablaControladores[[REFERENCIA]:[REFERENCIA]],TablaControladores[SD])*$AA419:$AJ419)</f>
        <v>17</v>
      </c>
      <c r="Z419" s="14">
        <f>SUM(TablaSeleccionControladores[[#This Row],[EA]:[SD]])</f>
        <v>90</v>
      </c>
      <c r="AE419" s="14">
        <v>1</v>
      </c>
      <c r="AH419" s="14">
        <v>2</v>
      </c>
      <c r="AI419" s="14">
        <v>3</v>
      </c>
      <c r="AJ419" s="14">
        <v>0</v>
      </c>
    </row>
    <row r="420" spans="17:36" x14ac:dyDescent="0.25">
      <c r="Q420">
        <f t="shared" si="8"/>
        <v>310</v>
      </c>
      <c r="R420" t="s">
        <v>830</v>
      </c>
      <c r="S420">
        <f>SUM(TablaSeleccionControladores[[#This Row],[M4-CGE04060-0]:[M4-CGM09090-0H]])</f>
        <v>1</v>
      </c>
      <c r="T420" s="14" cm="1">
        <f t="array" ref="T420">SUM(_xlfn.XLOOKUP(TablaSeleccionControladores[[#Headers],[M4-CGE04060-0]:[M4-XPM18000-0]],TablaControladores[[REFERENCIA]:[REFERENCIA]],TablaControladores[EA])*$AA420:$AJ420)</f>
        <v>0</v>
      </c>
      <c r="U420" s="14" cm="1">
        <f t="array" ref="U420">SUM(_xlfn.XLOOKUP(TablaSeleccionControladores[[#Headers],[M4-CGE04060-0]:[M4-XPM18000-0]],TablaControladores[[REFERENCIA]:[REFERENCIA]],TablaControladores[EU])*$AA420:$AJ420)</f>
        <v>30</v>
      </c>
      <c r="V420" s="14" cm="1">
        <f t="array" ref="V420">SUM(_xlfn.XLOOKUP(TablaSeleccionControladores[[#Headers],[M4-CGE04060-0]:[M4-XPM18000-0]],TablaControladores[[REFERENCIA]:[REFERENCIA]],TablaControladores[ED])*$AA420:$AJ420)</f>
        <v>27</v>
      </c>
      <c r="W420" s="14" cm="1">
        <f t="array" ref="W420">SUM(_xlfn.XLOOKUP(TablaSeleccionControladores[[#Headers],[M4-CGE04060-0]:[M4-XPM18000-0]],TablaControladores[[REFERENCIA]:[REFERENCIA]],TablaControladores[SA])*$AA420:$AJ420)</f>
        <v>10</v>
      </c>
      <c r="X420" s="14" cm="1">
        <f t="array" ref="X420">SUM(_xlfn.XLOOKUP(TablaSeleccionControladores[[#Headers],[M4-CGE04060-0]:[M4-XPM18000-0]],TablaControladores[[REFERENCIA]:[REFERENCIA]],TablaControladores[SC])*$AA420:$AJ420)</f>
        <v>24</v>
      </c>
      <c r="Y420" s="14" cm="1">
        <f t="array" ref="Y420">SUM(_xlfn.XLOOKUP(TablaSeleccionControladores[[#Headers],[M4-CGE04060-0]:[M4-XPM18000-0]],TablaControladores[[REFERENCIA]:[REFERENCIA]],TablaControladores[SD])*$AA420:$AJ420)</f>
        <v>17</v>
      </c>
      <c r="Z420" s="14">
        <f>SUM(TablaSeleccionControladores[[#This Row],[EA]:[SD]])</f>
        <v>108</v>
      </c>
      <c r="AE420" s="14">
        <v>1</v>
      </c>
      <c r="AH420" s="14">
        <v>2</v>
      </c>
      <c r="AI420" s="14">
        <v>3</v>
      </c>
      <c r="AJ420" s="14">
        <v>1</v>
      </c>
    </row>
    <row r="421" spans="17:36" x14ac:dyDescent="0.25">
      <c r="Q421">
        <f t="shared" si="8"/>
        <v>311</v>
      </c>
      <c r="R421" t="s">
        <v>830</v>
      </c>
      <c r="S421">
        <f>SUM(TablaSeleccionControladores[[#This Row],[M4-CGE04060-0]:[M4-CGM09090-0H]])</f>
        <v>1</v>
      </c>
      <c r="T421" s="14" cm="1">
        <f t="array" ref="T421">SUM(_xlfn.XLOOKUP(TablaSeleccionControladores[[#Headers],[M4-CGE04060-0]:[M4-XPM18000-0]],TablaControladores[[REFERENCIA]:[REFERENCIA]],TablaControladores[EA])*$AA421:$AJ421)</f>
        <v>0</v>
      </c>
      <c r="U421" s="14" cm="1">
        <f t="array" ref="U421">SUM(_xlfn.XLOOKUP(TablaSeleccionControladores[[#Headers],[M4-CGE04060-0]:[M4-XPM18000-0]],TablaControladores[[REFERENCIA]:[REFERENCIA]],TablaControladores[EU])*$AA421:$AJ421)</f>
        <v>7</v>
      </c>
      <c r="V421" s="14" cm="1">
        <f t="array" ref="V421">SUM(_xlfn.XLOOKUP(TablaSeleccionControladores[[#Headers],[M4-CGE04060-0]:[M4-XPM18000-0]],TablaControladores[[REFERENCIA]:[REFERENCIA]],TablaControladores[ED])*$AA421:$AJ421)</f>
        <v>2</v>
      </c>
      <c r="W421" s="14" cm="1">
        <f t="array" ref="W421">SUM(_xlfn.XLOOKUP(TablaSeleccionControladores[[#Headers],[M4-CGE04060-0]:[M4-XPM18000-0]],TablaControladores[[REFERENCIA]:[REFERENCIA]],TablaControladores[SA])*$AA421:$AJ421)</f>
        <v>2</v>
      </c>
      <c r="X421" s="14" cm="1">
        <f t="array" ref="X421">SUM(_xlfn.XLOOKUP(TablaSeleccionControladores[[#Headers],[M4-CGE04060-0]:[M4-XPM18000-0]],TablaControladores[[REFERENCIA]:[REFERENCIA]],TablaControladores[SC])*$AA421:$AJ421)</f>
        <v>4</v>
      </c>
      <c r="Y421" s="14" cm="1">
        <f t="array" ref="Y421">SUM(_xlfn.XLOOKUP(TablaSeleccionControladores[[#Headers],[M4-CGE04060-0]:[M4-XPM18000-0]],TablaControladores[[REFERENCIA]:[REFERENCIA]],TablaControladores[SD])*$AA421:$AJ421)</f>
        <v>3</v>
      </c>
      <c r="Z421" s="14">
        <f>SUM(TablaSeleccionControladores[[#This Row],[EA]:[SD]])</f>
        <v>18</v>
      </c>
      <c r="AF421" s="14">
        <v>1</v>
      </c>
      <c r="AH421" s="14">
        <v>0</v>
      </c>
      <c r="AI421" s="14">
        <v>0</v>
      </c>
      <c r="AJ421" s="14">
        <v>0</v>
      </c>
    </row>
    <row r="422" spans="17:36" x14ac:dyDescent="0.25">
      <c r="Q422">
        <f t="shared" si="8"/>
        <v>312</v>
      </c>
      <c r="R422" t="s">
        <v>830</v>
      </c>
      <c r="S422">
        <f>SUM(TablaSeleccionControladores[[#This Row],[M4-CGE04060-0]:[M4-CGM09090-0H]])</f>
        <v>1</v>
      </c>
      <c r="T422" s="14" cm="1">
        <f t="array" ref="T422">SUM(_xlfn.XLOOKUP(TablaSeleccionControladores[[#Headers],[M4-CGE04060-0]:[M4-XPM18000-0]],TablaControladores[[REFERENCIA]:[REFERENCIA]],TablaControladores[EA])*$AA422:$AJ422)</f>
        <v>0</v>
      </c>
      <c r="U422" s="14" cm="1">
        <f t="array" ref="U422">SUM(_xlfn.XLOOKUP(TablaSeleccionControladores[[#Headers],[M4-CGE04060-0]:[M4-XPM18000-0]],TablaControladores[[REFERENCIA]:[REFERENCIA]],TablaControladores[EU])*$AA422:$AJ422)</f>
        <v>7</v>
      </c>
      <c r="V422" s="14" cm="1">
        <f t="array" ref="V422">SUM(_xlfn.XLOOKUP(TablaSeleccionControladores[[#Headers],[M4-CGE04060-0]:[M4-XPM18000-0]],TablaControladores[[REFERENCIA]:[REFERENCIA]],TablaControladores[ED])*$AA422:$AJ422)</f>
        <v>20</v>
      </c>
      <c r="W422" s="14" cm="1">
        <f t="array" ref="W422">SUM(_xlfn.XLOOKUP(TablaSeleccionControladores[[#Headers],[M4-CGE04060-0]:[M4-XPM18000-0]],TablaControladores[[REFERENCIA]:[REFERENCIA]],TablaControladores[SA])*$AA422:$AJ422)</f>
        <v>2</v>
      </c>
      <c r="X422" s="14" cm="1">
        <f t="array" ref="X422">SUM(_xlfn.XLOOKUP(TablaSeleccionControladores[[#Headers],[M4-CGE04060-0]:[M4-XPM18000-0]],TablaControladores[[REFERENCIA]:[REFERENCIA]],TablaControladores[SC])*$AA422:$AJ422)</f>
        <v>4</v>
      </c>
      <c r="Y422" s="14" cm="1">
        <f t="array" ref="Y422">SUM(_xlfn.XLOOKUP(TablaSeleccionControladores[[#Headers],[M4-CGE04060-0]:[M4-XPM18000-0]],TablaControladores[[REFERENCIA]:[REFERENCIA]],TablaControladores[SD])*$AA422:$AJ422)</f>
        <v>3</v>
      </c>
      <c r="Z422" s="14">
        <f>SUM(TablaSeleccionControladores[[#This Row],[EA]:[SD]])</f>
        <v>36</v>
      </c>
      <c r="AF422" s="14">
        <v>1</v>
      </c>
      <c r="AH422" s="14">
        <v>0</v>
      </c>
      <c r="AI422" s="14">
        <v>0</v>
      </c>
      <c r="AJ422" s="14">
        <v>1</v>
      </c>
    </row>
    <row r="423" spans="17:36" x14ac:dyDescent="0.25">
      <c r="Q423">
        <f t="shared" si="8"/>
        <v>313</v>
      </c>
      <c r="R423" t="s">
        <v>830</v>
      </c>
      <c r="S423">
        <f>SUM(TablaSeleccionControladores[[#This Row],[M4-CGE04060-0]:[M4-CGM09090-0H]])</f>
        <v>1</v>
      </c>
      <c r="T423" s="14" cm="1">
        <f t="array" ref="T423">SUM(_xlfn.XLOOKUP(TablaSeleccionControladores[[#Headers],[M4-CGE04060-0]:[M4-XPM18000-0]],TablaControladores[[REFERENCIA]:[REFERENCIA]],TablaControladores[EA])*$AA423:$AJ423)</f>
        <v>0</v>
      </c>
      <c r="U423" s="14" cm="1">
        <f t="array" ref="U423">SUM(_xlfn.XLOOKUP(TablaSeleccionControladores[[#Headers],[M4-CGE04060-0]:[M4-XPM18000-0]],TablaControladores[[REFERENCIA]:[REFERENCIA]],TablaControladores[EU])*$AA423:$AJ423)</f>
        <v>7</v>
      </c>
      <c r="V423" s="14" cm="1">
        <f t="array" ref="V423">SUM(_xlfn.XLOOKUP(TablaSeleccionControladores[[#Headers],[M4-CGE04060-0]:[M4-XPM18000-0]],TablaControladores[[REFERENCIA]:[REFERENCIA]],TablaControladores[ED])*$AA423:$AJ423)</f>
        <v>38</v>
      </c>
      <c r="W423" s="14" cm="1">
        <f t="array" ref="W423">SUM(_xlfn.XLOOKUP(TablaSeleccionControladores[[#Headers],[M4-CGE04060-0]:[M4-XPM18000-0]],TablaControladores[[REFERENCIA]:[REFERENCIA]],TablaControladores[SA])*$AA423:$AJ423)</f>
        <v>2</v>
      </c>
      <c r="X423" s="14" cm="1">
        <f t="array" ref="X423">SUM(_xlfn.XLOOKUP(TablaSeleccionControladores[[#Headers],[M4-CGE04060-0]:[M4-XPM18000-0]],TablaControladores[[REFERENCIA]:[REFERENCIA]],TablaControladores[SC])*$AA423:$AJ423)</f>
        <v>4</v>
      </c>
      <c r="Y423" s="14" cm="1">
        <f t="array" ref="Y423">SUM(_xlfn.XLOOKUP(TablaSeleccionControladores[[#Headers],[M4-CGE04060-0]:[M4-XPM18000-0]],TablaControladores[[REFERENCIA]:[REFERENCIA]],TablaControladores[SD])*$AA423:$AJ423)</f>
        <v>3</v>
      </c>
      <c r="Z423" s="14">
        <f>SUM(TablaSeleccionControladores[[#This Row],[EA]:[SD]])</f>
        <v>54</v>
      </c>
      <c r="AF423" s="14">
        <v>1</v>
      </c>
      <c r="AH423" s="14">
        <v>0</v>
      </c>
      <c r="AI423" s="14">
        <v>0</v>
      </c>
      <c r="AJ423" s="14">
        <v>2</v>
      </c>
    </row>
    <row r="424" spans="17:36" x14ac:dyDescent="0.25">
      <c r="Q424">
        <f t="shared" si="8"/>
        <v>314</v>
      </c>
      <c r="R424" t="s">
        <v>830</v>
      </c>
      <c r="S424">
        <f>SUM(TablaSeleccionControladores[[#This Row],[M4-CGE04060-0]:[M4-CGM09090-0H]])</f>
        <v>1</v>
      </c>
      <c r="T424" s="14" cm="1">
        <f t="array" ref="T424">SUM(_xlfn.XLOOKUP(TablaSeleccionControladores[[#Headers],[M4-CGE04060-0]:[M4-XPM18000-0]],TablaControladores[[REFERENCIA]:[REFERENCIA]],TablaControladores[EA])*$AA424:$AJ424)</f>
        <v>0</v>
      </c>
      <c r="U424" s="14" cm="1">
        <f t="array" ref="U424">SUM(_xlfn.XLOOKUP(TablaSeleccionControladores[[#Headers],[M4-CGE04060-0]:[M4-XPM18000-0]],TablaControladores[[REFERENCIA]:[REFERENCIA]],TablaControladores[EU])*$AA424:$AJ424)</f>
        <v>7</v>
      </c>
      <c r="V424" s="14" cm="1">
        <f t="array" ref="V424">SUM(_xlfn.XLOOKUP(TablaSeleccionControladores[[#Headers],[M4-CGE04060-0]:[M4-XPM18000-0]],TablaControladores[[REFERENCIA]:[REFERENCIA]],TablaControladores[ED])*$AA424:$AJ424)</f>
        <v>56</v>
      </c>
      <c r="W424" s="14" cm="1">
        <f t="array" ref="W424">SUM(_xlfn.XLOOKUP(TablaSeleccionControladores[[#Headers],[M4-CGE04060-0]:[M4-XPM18000-0]],TablaControladores[[REFERENCIA]:[REFERENCIA]],TablaControladores[SA])*$AA424:$AJ424)</f>
        <v>2</v>
      </c>
      <c r="X424" s="14" cm="1">
        <f t="array" ref="X424">SUM(_xlfn.XLOOKUP(TablaSeleccionControladores[[#Headers],[M4-CGE04060-0]:[M4-XPM18000-0]],TablaControladores[[REFERENCIA]:[REFERENCIA]],TablaControladores[SC])*$AA424:$AJ424)</f>
        <v>4</v>
      </c>
      <c r="Y424" s="14" cm="1">
        <f t="array" ref="Y424">SUM(_xlfn.XLOOKUP(TablaSeleccionControladores[[#Headers],[M4-CGE04060-0]:[M4-XPM18000-0]],TablaControladores[[REFERENCIA]:[REFERENCIA]],TablaControladores[SD])*$AA424:$AJ424)</f>
        <v>3</v>
      </c>
      <c r="Z424" s="14">
        <f>SUM(TablaSeleccionControladores[[#This Row],[EA]:[SD]])</f>
        <v>72</v>
      </c>
      <c r="AF424" s="14">
        <v>1</v>
      </c>
      <c r="AH424" s="14">
        <v>0</v>
      </c>
      <c r="AI424" s="14">
        <v>0</v>
      </c>
      <c r="AJ424" s="14">
        <v>3</v>
      </c>
    </row>
    <row r="425" spans="17:36" x14ac:dyDescent="0.25">
      <c r="Q425">
        <f t="shared" si="8"/>
        <v>315</v>
      </c>
      <c r="R425" t="s">
        <v>830</v>
      </c>
      <c r="S425">
        <f>SUM(TablaSeleccionControladores[[#This Row],[M4-CGE04060-0]:[M4-CGM09090-0H]])</f>
        <v>1</v>
      </c>
      <c r="T425" s="14" cm="1">
        <f t="array" ref="T425">SUM(_xlfn.XLOOKUP(TablaSeleccionControladores[[#Headers],[M4-CGE04060-0]:[M4-XPM18000-0]],TablaControladores[[REFERENCIA]:[REFERENCIA]],TablaControladores[EA])*$AA425:$AJ425)</f>
        <v>0</v>
      </c>
      <c r="U425" s="14" cm="1">
        <f t="array" ref="U425">SUM(_xlfn.XLOOKUP(TablaSeleccionControladores[[#Headers],[M4-CGE04060-0]:[M4-XPM18000-0]],TablaControladores[[REFERENCIA]:[REFERENCIA]],TablaControladores[EU])*$AA425:$AJ425)</f>
        <v>7</v>
      </c>
      <c r="V425" s="14" cm="1">
        <f t="array" ref="V425">SUM(_xlfn.XLOOKUP(TablaSeleccionControladores[[#Headers],[M4-CGE04060-0]:[M4-XPM18000-0]],TablaControladores[[REFERENCIA]:[REFERENCIA]],TablaControladores[ED])*$AA425:$AJ425)</f>
        <v>74</v>
      </c>
      <c r="W425" s="14" cm="1">
        <f t="array" ref="W425">SUM(_xlfn.XLOOKUP(TablaSeleccionControladores[[#Headers],[M4-CGE04060-0]:[M4-XPM18000-0]],TablaControladores[[REFERENCIA]:[REFERENCIA]],TablaControladores[SA])*$AA425:$AJ425)</f>
        <v>2</v>
      </c>
      <c r="X425" s="14" cm="1">
        <f t="array" ref="X425">SUM(_xlfn.XLOOKUP(TablaSeleccionControladores[[#Headers],[M4-CGE04060-0]:[M4-XPM18000-0]],TablaControladores[[REFERENCIA]:[REFERENCIA]],TablaControladores[SC])*$AA425:$AJ425)</f>
        <v>4</v>
      </c>
      <c r="Y425" s="14" cm="1">
        <f t="array" ref="Y425">SUM(_xlfn.XLOOKUP(TablaSeleccionControladores[[#Headers],[M4-CGE04060-0]:[M4-XPM18000-0]],TablaControladores[[REFERENCIA]:[REFERENCIA]],TablaControladores[SD])*$AA425:$AJ425)</f>
        <v>3</v>
      </c>
      <c r="Z425" s="14">
        <f>SUM(TablaSeleccionControladores[[#This Row],[EA]:[SD]])</f>
        <v>90</v>
      </c>
      <c r="AF425" s="14">
        <v>1</v>
      </c>
      <c r="AH425" s="14">
        <v>0</v>
      </c>
      <c r="AI425" s="14">
        <v>0</v>
      </c>
      <c r="AJ425" s="14">
        <v>4</v>
      </c>
    </row>
    <row r="426" spans="17:36" x14ac:dyDescent="0.25">
      <c r="Q426">
        <f t="shared" si="8"/>
        <v>316</v>
      </c>
      <c r="R426" t="s">
        <v>830</v>
      </c>
      <c r="S426">
        <f>SUM(TablaSeleccionControladores[[#This Row],[M4-CGE04060-0]:[M4-CGM09090-0H]])</f>
        <v>1</v>
      </c>
      <c r="T426" s="14" cm="1">
        <f t="array" ref="T426">SUM(_xlfn.XLOOKUP(TablaSeleccionControladores[[#Headers],[M4-CGE04060-0]:[M4-XPM18000-0]],TablaControladores[[REFERENCIA]:[REFERENCIA]],TablaControladores[EA])*$AA426:$AJ426)</f>
        <v>0</v>
      </c>
      <c r="U426" s="14" cm="1">
        <f t="array" ref="U426">SUM(_xlfn.XLOOKUP(TablaSeleccionControladores[[#Headers],[M4-CGE04060-0]:[M4-XPM18000-0]],TablaControladores[[REFERENCIA]:[REFERENCIA]],TablaControladores[EU])*$AA426:$AJ426)</f>
        <v>7</v>
      </c>
      <c r="V426" s="14" cm="1">
        <f t="array" ref="V426">SUM(_xlfn.XLOOKUP(TablaSeleccionControladores[[#Headers],[M4-CGE04060-0]:[M4-XPM18000-0]],TablaControladores[[REFERENCIA]:[REFERENCIA]],TablaControladores[ED])*$AA426:$AJ426)</f>
        <v>92</v>
      </c>
      <c r="W426" s="14" cm="1">
        <f t="array" ref="W426">SUM(_xlfn.XLOOKUP(TablaSeleccionControladores[[#Headers],[M4-CGE04060-0]:[M4-XPM18000-0]],TablaControladores[[REFERENCIA]:[REFERENCIA]],TablaControladores[SA])*$AA426:$AJ426)</f>
        <v>2</v>
      </c>
      <c r="X426" s="14" cm="1">
        <f t="array" ref="X426">SUM(_xlfn.XLOOKUP(TablaSeleccionControladores[[#Headers],[M4-CGE04060-0]:[M4-XPM18000-0]],TablaControladores[[REFERENCIA]:[REFERENCIA]],TablaControladores[SC])*$AA426:$AJ426)</f>
        <v>4</v>
      </c>
      <c r="Y426" s="14" cm="1">
        <f t="array" ref="Y426">SUM(_xlfn.XLOOKUP(TablaSeleccionControladores[[#Headers],[M4-CGE04060-0]:[M4-XPM18000-0]],TablaControladores[[REFERENCIA]:[REFERENCIA]],TablaControladores[SD])*$AA426:$AJ426)</f>
        <v>3</v>
      </c>
      <c r="Z426" s="14">
        <f>SUM(TablaSeleccionControladores[[#This Row],[EA]:[SD]])</f>
        <v>108</v>
      </c>
      <c r="AF426" s="14">
        <v>1</v>
      </c>
      <c r="AH426" s="14">
        <v>0</v>
      </c>
      <c r="AI426" s="14">
        <v>0</v>
      </c>
      <c r="AJ426" s="14">
        <v>5</v>
      </c>
    </row>
    <row r="427" spans="17:36" x14ac:dyDescent="0.25">
      <c r="Q427">
        <f t="shared" si="8"/>
        <v>317</v>
      </c>
      <c r="R427" t="s">
        <v>830</v>
      </c>
      <c r="S427">
        <f>SUM(TablaSeleccionControladores[[#This Row],[M4-CGE04060-0]:[M4-CGM09090-0H]])</f>
        <v>1</v>
      </c>
      <c r="T427" s="14" cm="1">
        <f t="array" ref="T427">SUM(_xlfn.XLOOKUP(TablaSeleccionControladores[[#Headers],[M4-CGE04060-0]:[M4-XPM18000-0]],TablaControladores[[REFERENCIA]:[REFERENCIA]],TablaControladores[EA])*$AA427:$AJ427)</f>
        <v>0</v>
      </c>
      <c r="U427" s="14" cm="1">
        <f t="array" ref="U427">SUM(_xlfn.XLOOKUP(TablaSeleccionControladores[[#Headers],[M4-CGE04060-0]:[M4-XPM18000-0]],TablaControladores[[REFERENCIA]:[REFERENCIA]],TablaControladores[EU])*$AA427:$AJ427)</f>
        <v>7</v>
      </c>
      <c r="V427" s="14" cm="1">
        <f t="array" ref="V427">SUM(_xlfn.XLOOKUP(TablaSeleccionControladores[[#Headers],[M4-CGE04060-0]:[M4-XPM18000-0]],TablaControladores[[REFERENCIA]:[REFERENCIA]],TablaControladores[ED])*$AA427:$AJ427)</f>
        <v>110</v>
      </c>
      <c r="W427" s="14" cm="1">
        <f t="array" ref="W427">SUM(_xlfn.XLOOKUP(TablaSeleccionControladores[[#Headers],[M4-CGE04060-0]:[M4-XPM18000-0]],TablaControladores[[REFERENCIA]:[REFERENCIA]],TablaControladores[SA])*$AA427:$AJ427)</f>
        <v>2</v>
      </c>
      <c r="X427" s="14" cm="1">
        <f t="array" ref="X427">SUM(_xlfn.XLOOKUP(TablaSeleccionControladores[[#Headers],[M4-CGE04060-0]:[M4-XPM18000-0]],TablaControladores[[REFERENCIA]:[REFERENCIA]],TablaControladores[SC])*$AA427:$AJ427)</f>
        <v>4</v>
      </c>
      <c r="Y427" s="14" cm="1">
        <f t="array" ref="Y427">SUM(_xlfn.XLOOKUP(TablaSeleccionControladores[[#Headers],[M4-CGE04060-0]:[M4-XPM18000-0]],TablaControladores[[REFERENCIA]:[REFERENCIA]],TablaControladores[SD])*$AA427:$AJ427)</f>
        <v>3</v>
      </c>
      <c r="Z427" s="14">
        <f>SUM(TablaSeleccionControladores[[#This Row],[EA]:[SD]])</f>
        <v>126</v>
      </c>
      <c r="AF427" s="14">
        <v>1</v>
      </c>
      <c r="AH427" s="14">
        <v>0</v>
      </c>
      <c r="AI427" s="14">
        <v>0</v>
      </c>
      <c r="AJ427" s="14">
        <v>6</v>
      </c>
    </row>
    <row r="428" spans="17:36" x14ac:dyDescent="0.25">
      <c r="Q428">
        <f t="shared" si="8"/>
        <v>318</v>
      </c>
      <c r="R428" t="s">
        <v>830</v>
      </c>
      <c r="S428">
        <f>SUM(TablaSeleccionControladores[[#This Row],[M4-CGE04060-0]:[M4-CGM09090-0H]])</f>
        <v>1</v>
      </c>
      <c r="T428" s="14" cm="1">
        <f t="array" ref="T428">SUM(_xlfn.XLOOKUP(TablaSeleccionControladores[[#Headers],[M4-CGE04060-0]:[M4-XPM18000-0]],TablaControladores[[REFERENCIA]:[REFERENCIA]],TablaControladores[EA])*$AA428:$AJ428)</f>
        <v>0</v>
      </c>
      <c r="U428" s="14" cm="1">
        <f t="array" ref="U428">SUM(_xlfn.XLOOKUP(TablaSeleccionControladores[[#Headers],[M4-CGE04060-0]:[M4-XPM18000-0]],TablaControladores[[REFERENCIA]:[REFERENCIA]],TablaControladores[EU])*$AA428:$AJ428)</f>
        <v>14</v>
      </c>
      <c r="V428" s="14" cm="1">
        <f t="array" ref="V428">SUM(_xlfn.XLOOKUP(TablaSeleccionControladores[[#Headers],[M4-CGE04060-0]:[M4-XPM18000-0]],TablaControladores[[REFERENCIA]:[REFERENCIA]],TablaControladores[ED])*$AA428:$AJ428)</f>
        <v>4</v>
      </c>
      <c r="W428" s="14" cm="1">
        <f t="array" ref="W428">SUM(_xlfn.XLOOKUP(TablaSeleccionControladores[[#Headers],[M4-CGE04060-0]:[M4-XPM18000-0]],TablaControladores[[REFERENCIA]:[REFERENCIA]],TablaControladores[SA])*$AA428:$AJ428)</f>
        <v>4</v>
      </c>
      <c r="X428" s="14" cm="1">
        <f t="array" ref="X428">SUM(_xlfn.XLOOKUP(TablaSeleccionControladores[[#Headers],[M4-CGE04060-0]:[M4-XPM18000-0]],TablaControladores[[REFERENCIA]:[REFERENCIA]],TablaControladores[SC])*$AA428:$AJ428)</f>
        <v>8</v>
      </c>
      <c r="Y428" s="14" cm="1">
        <f t="array" ref="Y428">SUM(_xlfn.XLOOKUP(TablaSeleccionControladores[[#Headers],[M4-CGE04060-0]:[M4-XPM18000-0]],TablaControladores[[REFERENCIA]:[REFERENCIA]],TablaControladores[SD])*$AA428:$AJ428)</f>
        <v>6</v>
      </c>
      <c r="Z428" s="14">
        <f>SUM(TablaSeleccionControladores[[#This Row],[EA]:[SD]])</f>
        <v>36</v>
      </c>
      <c r="AF428" s="14">
        <v>1</v>
      </c>
      <c r="AH428" s="14">
        <v>0</v>
      </c>
      <c r="AI428" s="14">
        <v>1</v>
      </c>
      <c r="AJ428" s="14">
        <v>0</v>
      </c>
    </row>
    <row r="429" spans="17:36" x14ac:dyDescent="0.25">
      <c r="Q429">
        <f t="shared" si="8"/>
        <v>319</v>
      </c>
      <c r="R429" t="s">
        <v>830</v>
      </c>
      <c r="S429">
        <f>SUM(TablaSeleccionControladores[[#This Row],[M4-CGE04060-0]:[M4-CGM09090-0H]])</f>
        <v>1</v>
      </c>
      <c r="T429" s="14" cm="1">
        <f t="array" ref="T429">SUM(_xlfn.XLOOKUP(TablaSeleccionControladores[[#Headers],[M4-CGE04060-0]:[M4-XPM18000-0]],TablaControladores[[REFERENCIA]:[REFERENCIA]],TablaControladores[EA])*$AA429:$AJ429)</f>
        <v>0</v>
      </c>
      <c r="U429" s="14" cm="1">
        <f t="array" ref="U429">SUM(_xlfn.XLOOKUP(TablaSeleccionControladores[[#Headers],[M4-CGE04060-0]:[M4-XPM18000-0]],TablaControladores[[REFERENCIA]:[REFERENCIA]],TablaControladores[EU])*$AA429:$AJ429)</f>
        <v>14</v>
      </c>
      <c r="V429" s="14" cm="1">
        <f t="array" ref="V429">SUM(_xlfn.XLOOKUP(TablaSeleccionControladores[[#Headers],[M4-CGE04060-0]:[M4-XPM18000-0]],TablaControladores[[REFERENCIA]:[REFERENCIA]],TablaControladores[ED])*$AA429:$AJ429)</f>
        <v>22</v>
      </c>
      <c r="W429" s="14" cm="1">
        <f t="array" ref="W429">SUM(_xlfn.XLOOKUP(TablaSeleccionControladores[[#Headers],[M4-CGE04060-0]:[M4-XPM18000-0]],TablaControladores[[REFERENCIA]:[REFERENCIA]],TablaControladores[SA])*$AA429:$AJ429)</f>
        <v>4</v>
      </c>
      <c r="X429" s="14" cm="1">
        <f t="array" ref="X429">SUM(_xlfn.XLOOKUP(TablaSeleccionControladores[[#Headers],[M4-CGE04060-0]:[M4-XPM18000-0]],TablaControladores[[REFERENCIA]:[REFERENCIA]],TablaControladores[SC])*$AA429:$AJ429)</f>
        <v>8</v>
      </c>
      <c r="Y429" s="14" cm="1">
        <f t="array" ref="Y429">SUM(_xlfn.XLOOKUP(TablaSeleccionControladores[[#Headers],[M4-CGE04060-0]:[M4-XPM18000-0]],TablaControladores[[REFERENCIA]:[REFERENCIA]],TablaControladores[SD])*$AA429:$AJ429)</f>
        <v>6</v>
      </c>
      <c r="Z429" s="14">
        <f>SUM(TablaSeleccionControladores[[#This Row],[EA]:[SD]])</f>
        <v>54</v>
      </c>
      <c r="AF429" s="14">
        <v>1</v>
      </c>
      <c r="AH429" s="14">
        <v>0</v>
      </c>
      <c r="AI429" s="14">
        <v>1</v>
      </c>
      <c r="AJ429" s="14">
        <v>1</v>
      </c>
    </row>
    <row r="430" spans="17:36" x14ac:dyDescent="0.25">
      <c r="Q430">
        <f t="shared" si="8"/>
        <v>320</v>
      </c>
      <c r="R430" t="s">
        <v>830</v>
      </c>
      <c r="S430">
        <f>SUM(TablaSeleccionControladores[[#This Row],[M4-CGE04060-0]:[M4-CGM09090-0H]])</f>
        <v>1</v>
      </c>
      <c r="T430" s="14" cm="1">
        <f t="array" ref="T430">SUM(_xlfn.XLOOKUP(TablaSeleccionControladores[[#Headers],[M4-CGE04060-0]:[M4-XPM18000-0]],TablaControladores[[REFERENCIA]:[REFERENCIA]],TablaControladores[EA])*$AA430:$AJ430)</f>
        <v>0</v>
      </c>
      <c r="U430" s="14" cm="1">
        <f t="array" ref="U430">SUM(_xlfn.XLOOKUP(TablaSeleccionControladores[[#Headers],[M4-CGE04060-0]:[M4-XPM18000-0]],TablaControladores[[REFERENCIA]:[REFERENCIA]],TablaControladores[EU])*$AA430:$AJ430)</f>
        <v>14</v>
      </c>
      <c r="V430" s="14" cm="1">
        <f t="array" ref="V430">SUM(_xlfn.XLOOKUP(TablaSeleccionControladores[[#Headers],[M4-CGE04060-0]:[M4-XPM18000-0]],TablaControladores[[REFERENCIA]:[REFERENCIA]],TablaControladores[ED])*$AA430:$AJ430)</f>
        <v>40</v>
      </c>
      <c r="W430" s="14" cm="1">
        <f t="array" ref="W430">SUM(_xlfn.XLOOKUP(TablaSeleccionControladores[[#Headers],[M4-CGE04060-0]:[M4-XPM18000-0]],TablaControladores[[REFERENCIA]:[REFERENCIA]],TablaControladores[SA])*$AA430:$AJ430)</f>
        <v>4</v>
      </c>
      <c r="X430" s="14" cm="1">
        <f t="array" ref="X430">SUM(_xlfn.XLOOKUP(TablaSeleccionControladores[[#Headers],[M4-CGE04060-0]:[M4-XPM18000-0]],TablaControladores[[REFERENCIA]:[REFERENCIA]],TablaControladores[SC])*$AA430:$AJ430)</f>
        <v>8</v>
      </c>
      <c r="Y430" s="14" cm="1">
        <f t="array" ref="Y430">SUM(_xlfn.XLOOKUP(TablaSeleccionControladores[[#Headers],[M4-CGE04060-0]:[M4-XPM18000-0]],TablaControladores[[REFERENCIA]:[REFERENCIA]],TablaControladores[SD])*$AA430:$AJ430)</f>
        <v>6</v>
      </c>
      <c r="Z430" s="14">
        <f>SUM(TablaSeleccionControladores[[#This Row],[EA]:[SD]])</f>
        <v>72</v>
      </c>
      <c r="AF430" s="14">
        <v>1</v>
      </c>
      <c r="AH430" s="14">
        <v>0</v>
      </c>
      <c r="AI430" s="14">
        <v>1</v>
      </c>
      <c r="AJ430" s="14">
        <v>2</v>
      </c>
    </row>
    <row r="431" spans="17:36" x14ac:dyDescent="0.25">
      <c r="Q431">
        <f t="shared" ref="Q431:Q494" si="9">ROW()-110</f>
        <v>321</v>
      </c>
      <c r="R431" t="s">
        <v>830</v>
      </c>
      <c r="S431">
        <f>SUM(TablaSeleccionControladores[[#This Row],[M4-CGE04060-0]:[M4-CGM09090-0H]])</f>
        <v>1</v>
      </c>
      <c r="T431" s="14" cm="1">
        <f t="array" ref="T431">SUM(_xlfn.XLOOKUP(TablaSeleccionControladores[[#Headers],[M4-CGE04060-0]:[M4-XPM18000-0]],TablaControladores[[REFERENCIA]:[REFERENCIA]],TablaControladores[EA])*$AA431:$AJ431)</f>
        <v>0</v>
      </c>
      <c r="U431" s="14" cm="1">
        <f t="array" ref="U431">SUM(_xlfn.XLOOKUP(TablaSeleccionControladores[[#Headers],[M4-CGE04060-0]:[M4-XPM18000-0]],TablaControladores[[REFERENCIA]:[REFERENCIA]],TablaControladores[EU])*$AA431:$AJ431)</f>
        <v>14</v>
      </c>
      <c r="V431" s="14" cm="1">
        <f t="array" ref="V431">SUM(_xlfn.XLOOKUP(TablaSeleccionControladores[[#Headers],[M4-CGE04060-0]:[M4-XPM18000-0]],TablaControladores[[REFERENCIA]:[REFERENCIA]],TablaControladores[ED])*$AA431:$AJ431)</f>
        <v>58</v>
      </c>
      <c r="W431" s="14" cm="1">
        <f t="array" ref="W431">SUM(_xlfn.XLOOKUP(TablaSeleccionControladores[[#Headers],[M4-CGE04060-0]:[M4-XPM18000-0]],TablaControladores[[REFERENCIA]:[REFERENCIA]],TablaControladores[SA])*$AA431:$AJ431)</f>
        <v>4</v>
      </c>
      <c r="X431" s="14" cm="1">
        <f t="array" ref="X431">SUM(_xlfn.XLOOKUP(TablaSeleccionControladores[[#Headers],[M4-CGE04060-0]:[M4-XPM18000-0]],TablaControladores[[REFERENCIA]:[REFERENCIA]],TablaControladores[SC])*$AA431:$AJ431)</f>
        <v>8</v>
      </c>
      <c r="Y431" s="14" cm="1">
        <f t="array" ref="Y431">SUM(_xlfn.XLOOKUP(TablaSeleccionControladores[[#Headers],[M4-CGE04060-0]:[M4-XPM18000-0]],TablaControladores[[REFERENCIA]:[REFERENCIA]],TablaControladores[SD])*$AA431:$AJ431)</f>
        <v>6</v>
      </c>
      <c r="Z431" s="14">
        <f>SUM(TablaSeleccionControladores[[#This Row],[EA]:[SD]])</f>
        <v>90</v>
      </c>
      <c r="AF431" s="14">
        <v>1</v>
      </c>
      <c r="AH431" s="14">
        <v>0</v>
      </c>
      <c r="AI431" s="14">
        <v>1</v>
      </c>
      <c r="AJ431" s="14">
        <v>3</v>
      </c>
    </row>
    <row r="432" spans="17:36" x14ac:dyDescent="0.25">
      <c r="Q432">
        <f t="shared" si="9"/>
        <v>322</v>
      </c>
      <c r="R432" t="s">
        <v>830</v>
      </c>
      <c r="S432">
        <f>SUM(TablaSeleccionControladores[[#This Row],[M4-CGE04060-0]:[M4-CGM09090-0H]])</f>
        <v>1</v>
      </c>
      <c r="T432" s="14" cm="1">
        <f t="array" ref="T432">SUM(_xlfn.XLOOKUP(TablaSeleccionControladores[[#Headers],[M4-CGE04060-0]:[M4-XPM18000-0]],TablaControladores[[REFERENCIA]:[REFERENCIA]],TablaControladores[EA])*$AA432:$AJ432)</f>
        <v>0</v>
      </c>
      <c r="U432" s="14" cm="1">
        <f t="array" ref="U432">SUM(_xlfn.XLOOKUP(TablaSeleccionControladores[[#Headers],[M4-CGE04060-0]:[M4-XPM18000-0]],TablaControladores[[REFERENCIA]:[REFERENCIA]],TablaControladores[EU])*$AA432:$AJ432)</f>
        <v>14</v>
      </c>
      <c r="V432" s="14" cm="1">
        <f t="array" ref="V432">SUM(_xlfn.XLOOKUP(TablaSeleccionControladores[[#Headers],[M4-CGE04060-0]:[M4-XPM18000-0]],TablaControladores[[REFERENCIA]:[REFERENCIA]],TablaControladores[ED])*$AA432:$AJ432)</f>
        <v>76</v>
      </c>
      <c r="W432" s="14" cm="1">
        <f t="array" ref="W432">SUM(_xlfn.XLOOKUP(TablaSeleccionControladores[[#Headers],[M4-CGE04060-0]:[M4-XPM18000-0]],TablaControladores[[REFERENCIA]:[REFERENCIA]],TablaControladores[SA])*$AA432:$AJ432)</f>
        <v>4</v>
      </c>
      <c r="X432" s="14" cm="1">
        <f t="array" ref="X432">SUM(_xlfn.XLOOKUP(TablaSeleccionControladores[[#Headers],[M4-CGE04060-0]:[M4-XPM18000-0]],TablaControladores[[REFERENCIA]:[REFERENCIA]],TablaControladores[SC])*$AA432:$AJ432)</f>
        <v>8</v>
      </c>
      <c r="Y432" s="14" cm="1">
        <f t="array" ref="Y432">SUM(_xlfn.XLOOKUP(TablaSeleccionControladores[[#Headers],[M4-CGE04060-0]:[M4-XPM18000-0]],TablaControladores[[REFERENCIA]:[REFERENCIA]],TablaControladores[SD])*$AA432:$AJ432)</f>
        <v>6</v>
      </c>
      <c r="Z432" s="14">
        <f>SUM(TablaSeleccionControladores[[#This Row],[EA]:[SD]])</f>
        <v>108</v>
      </c>
      <c r="AF432" s="14">
        <v>1</v>
      </c>
      <c r="AH432" s="14">
        <v>0</v>
      </c>
      <c r="AI432" s="14">
        <v>1</v>
      </c>
      <c r="AJ432" s="14">
        <v>4</v>
      </c>
    </row>
    <row r="433" spans="17:36" x14ac:dyDescent="0.25">
      <c r="Q433">
        <f t="shared" si="9"/>
        <v>323</v>
      </c>
      <c r="R433" t="s">
        <v>830</v>
      </c>
      <c r="S433">
        <f>SUM(TablaSeleccionControladores[[#This Row],[M4-CGE04060-0]:[M4-CGM09090-0H]])</f>
        <v>1</v>
      </c>
      <c r="T433" s="14" cm="1">
        <f t="array" ref="T433">SUM(_xlfn.XLOOKUP(TablaSeleccionControladores[[#Headers],[M4-CGE04060-0]:[M4-XPM18000-0]],TablaControladores[[REFERENCIA]:[REFERENCIA]],TablaControladores[EA])*$AA433:$AJ433)</f>
        <v>0</v>
      </c>
      <c r="U433" s="14" cm="1">
        <f t="array" ref="U433">SUM(_xlfn.XLOOKUP(TablaSeleccionControladores[[#Headers],[M4-CGE04060-0]:[M4-XPM18000-0]],TablaControladores[[REFERENCIA]:[REFERENCIA]],TablaControladores[EU])*$AA433:$AJ433)</f>
        <v>14</v>
      </c>
      <c r="V433" s="14" cm="1">
        <f t="array" ref="V433">SUM(_xlfn.XLOOKUP(TablaSeleccionControladores[[#Headers],[M4-CGE04060-0]:[M4-XPM18000-0]],TablaControladores[[REFERENCIA]:[REFERENCIA]],TablaControladores[ED])*$AA433:$AJ433)</f>
        <v>94</v>
      </c>
      <c r="W433" s="14" cm="1">
        <f t="array" ref="W433">SUM(_xlfn.XLOOKUP(TablaSeleccionControladores[[#Headers],[M4-CGE04060-0]:[M4-XPM18000-0]],TablaControladores[[REFERENCIA]:[REFERENCIA]],TablaControladores[SA])*$AA433:$AJ433)</f>
        <v>4</v>
      </c>
      <c r="X433" s="14" cm="1">
        <f t="array" ref="X433">SUM(_xlfn.XLOOKUP(TablaSeleccionControladores[[#Headers],[M4-CGE04060-0]:[M4-XPM18000-0]],TablaControladores[[REFERENCIA]:[REFERENCIA]],TablaControladores[SC])*$AA433:$AJ433)</f>
        <v>8</v>
      </c>
      <c r="Y433" s="14" cm="1">
        <f t="array" ref="Y433">SUM(_xlfn.XLOOKUP(TablaSeleccionControladores[[#Headers],[M4-CGE04060-0]:[M4-XPM18000-0]],TablaControladores[[REFERENCIA]:[REFERENCIA]],TablaControladores[SD])*$AA433:$AJ433)</f>
        <v>6</v>
      </c>
      <c r="Z433" s="14">
        <f>SUM(TablaSeleccionControladores[[#This Row],[EA]:[SD]])</f>
        <v>126</v>
      </c>
      <c r="AF433" s="14">
        <v>1</v>
      </c>
      <c r="AH433" s="14">
        <v>0</v>
      </c>
      <c r="AI433" s="14">
        <v>1</v>
      </c>
      <c r="AJ433" s="14">
        <v>5</v>
      </c>
    </row>
    <row r="434" spans="17:36" x14ac:dyDescent="0.25">
      <c r="Q434">
        <f t="shared" si="9"/>
        <v>324</v>
      </c>
      <c r="R434" t="s">
        <v>830</v>
      </c>
      <c r="S434">
        <f>SUM(TablaSeleccionControladores[[#This Row],[M4-CGE04060-0]:[M4-CGM09090-0H]])</f>
        <v>1</v>
      </c>
      <c r="T434" s="14" cm="1">
        <f t="array" ref="T434">SUM(_xlfn.XLOOKUP(TablaSeleccionControladores[[#Headers],[M4-CGE04060-0]:[M4-XPM18000-0]],TablaControladores[[REFERENCIA]:[REFERENCIA]],TablaControladores[EA])*$AA434:$AJ434)</f>
        <v>0</v>
      </c>
      <c r="U434" s="14" cm="1">
        <f t="array" ref="U434">SUM(_xlfn.XLOOKUP(TablaSeleccionControladores[[#Headers],[M4-CGE04060-0]:[M4-XPM18000-0]],TablaControladores[[REFERENCIA]:[REFERENCIA]],TablaControladores[EU])*$AA434:$AJ434)</f>
        <v>21</v>
      </c>
      <c r="V434" s="14" cm="1">
        <f t="array" ref="V434">SUM(_xlfn.XLOOKUP(TablaSeleccionControladores[[#Headers],[M4-CGE04060-0]:[M4-XPM18000-0]],TablaControladores[[REFERENCIA]:[REFERENCIA]],TablaControladores[ED])*$AA434:$AJ434)</f>
        <v>6</v>
      </c>
      <c r="W434" s="14" cm="1">
        <f t="array" ref="W434">SUM(_xlfn.XLOOKUP(TablaSeleccionControladores[[#Headers],[M4-CGE04060-0]:[M4-XPM18000-0]],TablaControladores[[REFERENCIA]:[REFERENCIA]],TablaControladores[SA])*$AA434:$AJ434)</f>
        <v>6</v>
      </c>
      <c r="X434" s="14" cm="1">
        <f t="array" ref="X434">SUM(_xlfn.XLOOKUP(TablaSeleccionControladores[[#Headers],[M4-CGE04060-0]:[M4-XPM18000-0]],TablaControladores[[REFERENCIA]:[REFERENCIA]],TablaControladores[SC])*$AA434:$AJ434)</f>
        <v>12</v>
      </c>
      <c r="Y434" s="14" cm="1">
        <f t="array" ref="Y434">SUM(_xlfn.XLOOKUP(TablaSeleccionControladores[[#Headers],[M4-CGE04060-0]:[M4-XPM18000-0]],TablaControladores[[REFERENCIA]:[REFERENCIA]],TablaControladores[SD])*$AA434:$AJ434)</f>
        <v>9</v>
      </c>
      <c r="Z434" s="14">
        <f>SUM(TablaSeleccionControladores[[#This Row],[EA]:[SD]])</f>
        <v>54</v>
      </c>
      <c r="AF434" s="14">
        <v>1</v>
      </c>
      <c r="AH434" s="14">
        <v>0</v>
      </c>
      <c r="AI434" s="14">
        <v>2</v>
      </c>
      <c r="AJ434" s="14">
        <v>0</v>
      </c>
    </row>
    <row r="435" spans="17:36" x14ac:dyDescent="0.25">
      <c r="Q435">
        <f t="shared" si="9"/>
        <v>325</v>
      </c>
      <c r="R435" t="s">
        <v>830</v>
      </c>
      <c r="S435">
        <f>SUM(TablaSeleccionControladores[[#This Row],[M4-CGE04060-0]:[M4-CGM09090-0H]])</f>
        <v>1</v>
      </c>
      <c r="T435" s="14" cm="1">
        <f t="array" ref="T435">SUM(_xlfn.XLOOKUP(TablaSeleccionControladores[[#Headers],[M4-CGE04060-0]:[M4-XPM18000-0]],TablaControladores[[REFERENCIA]:[REFERENCIA]],TablaControladores[EA])*$AA435:$AJ435)</f>
        <v>0</v>
      </c>
      <c r="U435" s="14" cm="1">
        <f t="array" ref="U435">SUM(_xlfn.XLOOKUP(TablaSeleccionControladores[[#Headers],[M4-CGE04060-0]:[M4-XPM18000-0]],TablaControladores[[REFERENCIA]:[REFERENCIA]],TablaControladores[EU])*$AA435:$AJ435)</f>
        <v>21</v>
      </c>
      <c r="V435" s="14" cm="1">
        <f t="array" ref="V435">SUM(_xlfn.XLOOKUP(TablaSeleccionControladores[[#Headers],[M4-CGE04060-0]:[M4-XPM18000-0]],TablaControladores[[REFERENCIA]:[REFERENCIA]],TablaControladores[ED])*$AA435:$AJ435)</f>
        <v>24</v>
      </c>
      <c r="W435" s="14" cm="1">
        <f t="array" ref="W435">SUM(_xlfn.XLOOKUP(TablaSeleccionControladores[[#Headers],[M4-CGE04060-0]:[M4-XPM18000-0]],TablaControladores[[REFERENCIA]:[REFERENCIA]],TablaControladores[SA])*$AA435:$AJ435)</f>
        <v>6</v>
      </c>
      <c r="X435" s="14" cm="1">
        <f t="array" ref="X435">SUM(_xlfn.XLOOKUP(TablaSeleccionControladores[[#Headers],[M4-CGE04060-0]:[M4-XPM18000-0]],TablaControladores[[REFERENCIA]:[REFERENCIA]],TablaControladores[SC])*$AA435:$AJ435)</f>
        <v>12</v>
      </c>
      <c r="Y435" s="14" cm="1">
        <f t="array" ref="Y435">SUM(_xlfn.XLOOKUP(TablaSeleccionControladores[[#Headers],[M4-CGE04060-0]:[M4-XPM18000-0]],TablaControladores[[REFERENCIA]:[REFERENCIA]],TablaControladores[SD])*$AA435:$AJ435)</f>
        <v>9</v>
      </c>
      <c r="Z435" s="14">
        <f>SUM(TablaSeleccionControladores[[#This Row],[EA]:[SD]])</f>
        <v>72</v>
      </c>
      <c r="AF435" s="14">
        <v>1</v>
      </c>
      <c r="AH435" s="14">
        <v>0</v>
      </c>
      <c r="AI435" s="14">
        <v>2</v>
      </c>
      <c r="AJ435" s="14">
        <v>1</v>
      </c>
    </row>
    <row r="436" spans="17:36" x14ac:dyDescent="0.25">
      <c r="Q436">
        <f t="shared" si="9"/>
        <v>326</v>
      </c>
      <c r="R436" t="s">
        <v>830</v>
      </c>
      <c r="S436">
        <f>SUM(TablaSeleccionControladores[[#This Row],[M4-CGE04060-0]:[M4-CGM09090-0H]])</f>
        <v>1</v>
      </c>
      <c r="T436" s="14" cm="1">
        <f t="array" ref="T436">SUM(_xlfn.XLOOKUP(TablaSeleccionControladores[[#Headers],[M4-CGE04060-0]:[M4-XPM18000-0]],TablaControladores[[REFERENCIA]:[REFERENCIA]],TablaControladores[EA])*$AA436:$AJ436)</f>
        <v>0</v>
      </c>
      <c r="U436" s="14" cm="1">
        <f t="array" ref="U436">SUM(_xlfn.XLOOKUP(TablaSeleccionControladores[[#Headers],[M4-CGE04060-0]:[M4-XPM18000-0]],TablaControladores[[REFERENCIA]:[REFERENCIA]],TablaControladores[EU])*$AA436:$AJ436)</f>
        <v>21</v>
      </c>
      <c r="V436" s="14" cm="1">
        <f t="array" ref="V436">SUM(_xlfn.XLOOKUP(TablaSeleccionControladores[[#Headers],[M4-CGE04060-0]:[M4-XPM18000-0]],TablaControladores[[REFERENCIA]:[REFERENCIA]],TablaControladores[ED])*$AA436:$AJ436)</f>
        <v>42</v>
      </c>
      <c r="W436" s="14" cm="1">
        <f t="array" ref="W436">SUM(_xlfn.XLOOKUP(TablaSeleccionControladores[[#Headers],[M4-CGE04060-0]:[M4-XPM18000-0]],TablaControladores[[REFERENCIA]:[REFERENCIA]],TablaControladores[SA])*$AA436:$AJ436)</f>
        <v>6</v>
      </c>
      <c r="X436" s="14" cm="1">
        <f t="array" ref="X436">SUM(_xlfn.XLOOKUP(TablaSeleccionControladores[[#Headers],[M4-CGE04060-0]:[M4-XPM18000-0]],TablaControladores[[REFERENCIA]:[REFERENCIA]],TablaControladores[SC])*$AA436:$AJ436)</f>
        <v>12</v>
      </c>
      <c r="Y436" s="14" cm="1">
        <f t="array" ref="Y436">SUM(_xlfn.XLOOKUP(TablaSeleccionControladores[[#Headers],[M4-CGE04060-0]:[M4-XPM18000-0]],TablaControladores[[REFERENCIA]:[REFERENCIA]],TablaControladores[SD])*$AA436:$AJ436)</f>
        <v>9</v>
      </c>
      <c r="Z436" s="14">
        <f>SUM(TablaSeleccionControladores[[#This Row],[EA]:[SD]])</f>
        <v>90</v>
      </c>
      <c r="AF436" s="14">
        <v>1</v>
      </c>
      <c r="AH436" s="14">
        <v>0</v>
      </c>
      <c r="AI436" s="14">
        <v>2</v>
      </c>
      <c r="AJ436" s="14">
        <v>2</v>
      </c>
    </row>
    <row r="437" spans="17:36" x14ac:dyDescent="0.25">
      <c r="Q437">
        <f t="shared" si="9"/>
        <v>327</v>
      </c>
      <c r="R437" t="s">
        <v>830</v>
      </c>
      <c r="S437">
        <f>SUM(TablaSeleccionControladores[[#This Row],[M4-CGE04060-0]:[M4-CGM09090-0H]])</f>
        <v>1</v>
      </c>
      <c r="T437" s="14" cm="1">
        <f t="array" ref="T437">SUM(_xlfn.XLOOKUP(TablaSeleccionControladores[[#Headers],[M4-CGE04060-0]:[M4-XPM18000-0]],TablaControladores[[REFERENCIA]:[REFERENCIA]],TablaControladores[EA])*$AA437:$AJ437)</f>
        <v>0</v>
      </c>
      <c r="U437" s="14" cm="1">
        <f t="array" ref="U437">SUM(_xlfn.XLOOKUP(TablaSeleccionControladores[[#Headers],[M4-CGE04060-0]:[M4-XPM18000-0]],TablaControladores[[REFERENCIA]:[REFERENCIA]],TablaControladores[EU])*$AA437:$AJ437)</f>
        <v>21</v>
      </c>
      <c r="V437" s="14" cm="1">
        <f t="array" ref="V437">SUM(_xlfn.XLOOKUP(TablaSeleccionControladores[[#Headers],[M4-CGE04060-0]:[M4-XPM18000-0]],TablaControladores[[REFERENCIA]:[REFERENCIA]],TablaControladores[ED])*$AA437:$AJ437)</f>
        <v>60</v>
      </c>
      <c r="W437" s="14" cm="1">
        <f t="array" ref="W437">SUM(_xlfn.XLOOKUP(TablaSeleccionControladores[[#Headers],[M4-CGE04060-0]:[M4-XPM18000-0]],TablaControladores[[REFERENCIA]:[REFERENCIA]],TablaControladores[SA])*$AA437:$AJ437)</f>
        <v>6</v>
      </c>
      <c r="X437" s="14" cm="1">
        <f t="array" ref="X437">SUM(_xlfn.XLOOKUP(TablaSeleccionControladores[[#Headers],[M4-CGE04060-0]:[M4-XPM18000-0]],TablaControladores[[REFERENCIA]:[REFERENCIA]],TablaControladores[SC])*$AA437:$AJ437)</f>
        <v>12</v>
      </c>
      <c r="Y437" s="14" cm="1">
        <f t="array" ref="Y437">SUM(_xlfn.XLOOKUP(TablaSeleccionControladores[[#Headers],[M4-CGE04060-0]:[M4-XPM18000-0]],TablaControladores[[REFERENCIA]:[REFERENCIA]],TablaControladores[SD])*$AA437:$AJ437)</f>
        <v>9</v>
      </c>
      <c r="Z437" s="14">
        <f>SUM(TablaSeleccionControladores[[#This Row],[EA]:[SD]])</f>
        <v>108</v>
      </c>
      <c r="AF437" s="14">
        <v>1</v>
      </c>
      <c r="AH437" s="14">
        <v>0</v>
      </c>
      <c r="AI437" s="14">
        <v>2</v>
      </c>
      <c r="AJ437" s="14">
        <v>3</v>
      </c>
    </row>
    <row r="438" spans="17:36" x14ac:dyDescent="0.25">
      <c r="Q438">
        <f t="shared" si="9"/>
        <v>328</v>
      </c>
      <c r="R438" t="s">
        <v>830</v>
      </c>
      <c r="S438">
        <f>SUM(TablaSeleccionControladores[[#This Row],[M4-CGE04060-0]:[M4-CGM09090-0H]])</f>
        <v>1</v>
      </c>
      <c r="T438" s="14" cm="1">
        <f t="array" ref="T438">SUM(_xlfn.XLOOKUP(TablaSeleccionControladores[[#Headers],[M4-CGE04060-0]:[M4-XPM18000-0]],TablaControladores[[REFERENCIA]:[REFERENCIA]],TablaControladores[EA])*$AA438:$AJ438)</f>
        <v>0</v>
      </c>
      <c r="U438" s="14" cm="1">
        <f t="array" ref="U438">SUM(_xlfn.XLOOKUP(TablaSeleccionControladores[[#Headers],[M4-CGE04060-0]:[M4-XPM18000-0]],TablaControladores[[REFERENCIA]:[REFERENCIA]],TablaControladores[EU])*$AA438:$AJ438)</f>
        <v>21</v>
      </c>
      <c r="V438" s="14" cm="1">
        <f t="array" ref="V438">SUM(_xlfn.XLOOKUP(TablaSeleccionControladores[[#Headers],[M4-CGE04060-0]:[M4-XPM18000-0]],TablaControladores[[REFERENCIA]:[REFERENCIA]],TablaControladores[ED])*$AA438:$AJ438)</f>
        <v>78</v>
      </c>
      <c r="W438" s="14" cm="1">
        <f t="array" ref="W438">SUM(_xlfn.XLOOKUP(TablaSeleccionControladores[[#Headers],[M4-CGE04060-0]:[M4-XPM18000-0]],TablaControladores[[REFERENCIA]:[REFERENCIA]],TablaControladores[SA])*$AA438:$AJ438)</f>
        <v>6</v>
      </c>
      <c r="X438" s="14" cm="1">
        <f t="array" ref="X438">SUM(_xlfn.XLOOKUP(TablaSeleccionControladores[[#Headers],[M4-CGE04060-0]:[M4-XPM18000-0]],TablaControladores[[REFERENCIA]:[REFERENCIA]],TablaControladores[SC])*$AA438:$AJ438)</f>
        <v>12</v>
      </c>
      <c r="Y438" s="14" cm="1">
        <f t="array" ref="Y438">SUM(_xlfn.XLOOKUP(TablaSeleccionControladores[[#Headers],[M4-CGE04060-0]:[M4-XPM18000-0]],TablaControladores[[REFERENCIA]:[REFERENCIA]],TablaControladores[SD])*$AA438:$AJ438)</f>
        <v>9</v>
      </c>
      <c r="Z438" s="14">
        <f>SUM(TablaSeleccionControladores[[#This Row],[EA]:[SD]])</f>
        <v>126</v>
      </c>
      <c r="AF438" s="14">
        <v>1</v>
      </c>
      <c r="AH438" s="14">
        <v>0</v>
      </c>
      <c r="AI438" s="14">
        <v>2</v>
      </c>
      <c r="AJ438" s="14">
        <v>4</v>
      </c>
    </row>
    <row r="439" spans="17:36" x14ac:dyDescent="0.25">
      <c r="Q439">
        <f t="shared" si="9"/>
        <v>329</v>
      </c>
      <c r="R439" t="s">
        <v>830</v>
      </c>
      <c r="S439">
        <f>SUM(TablaSeleccionControladores[[#This Row],[M4-CGE04060-0]:[M4-CGM09090-0H]])</f>
        <v>1</v>
      </c>
      <c r="T439" s="14" cm="1">
        <f t="array" ref="T439">SUM(_xlfn.XLOOKUP(TablaSeleccionControladores[[#Headers],[M4-CGE04060-0]:[M4-XPM18000-0]],TablaControladores[[REFERENCIA]:[REFERENCIA]],TablaControladores[EA])*$AA439:$AJ439)</f>
        <v>0</v>
      </c>
      <c r="U439" s="14" cm="1">
        <f t="array" ref="U439">SUM(_xlfn.XLOOKUP(TablaSeleccionControladores[[#Headers],[M4-CGE04060-0]:[M4-XPM18000-0]],TablaControladores[[REFERENCIA]:[REFERENCIA]],TablaControladores[EU])*$AA439:$AJ439)</f>
        <v>28</v>
      </c>
      <c r="V439" s="14" cm="1">
        <f t="array" ref="V439">SUM(_xlfn.XLOOKUP(TablaSeleccionControladores[[#Headers],[M4-CGE04060-0]:[M4-XPM18000-0]],TablaControladores[[REFERENCIA]:[REFERENCIA]],TablaControladores[ED])*$AA439:$AJ439)</f>
        <v>8</v>
      </c>
      <c r="W439" s="14" cm="1">
        <f t="array" ref="W439">SUM(_xlfn.XLOOKUP(TablaSeleccionControladores[[#Headers],[M4-CGE04060-0]:[M4-XPM18000-0]],TablaControladores[[REFERENCIA]:[REFERENCIA]],TablaControladores[SA])*$AA439:$AJ439)</f>
        <v>8</v>
      </c>
      <c r="X439" s="14" cm="1">
        <f t="array" ref="X439">SUM(_xlfn.XLOOKUP(TablaSeleccionControladores[[#Headers],[M4-CGE04060-0]:[M4-XPM18000-0]],TablaControladores[[REFERENCIA]:[REFERENCIA]],TablaControladores[SC])*$AA439:$AJ439)</f>
        <v>16</v>
      </c>
      <c r="Y439" s="14" cm="1">
        <f t="array" ref="Y439">SUM(_xlfn.XLOOKUP(TablaSeleccionControladores[[#Headers],[M4-CGE04060-0]:[M4-XPM18000-0]],TablaControladores[[REFERENCIA]:[REFERENCIA]],TablaControladores[SD])*$AA439:$AJ439)</f>
        <v>12</v>
      </c>
      <c r="Z439" s="14">
        <f>SUM(TablaSeleccionControladores[[#This Row],[EA]:[SD]])</f>
        <v>72</v>
      </c>
      <c r="AF439" s="14">
        <v>1</v>
      </c>
      <c r="AH439" s="14">
        <v>0</v>
      </c>
      <c r="AI439" s="14">
        <v>3</v>
      </c>
      <c r="AJ439" s="14">
        <v>0</v>
      </c>
    </row>
    <row r="440" spans="17:36" x14ac:dyDescent="0.25">
      <c r="Q440">
        <f t="shared" si="9"/>
        <v>330</v>
      </c>
      <c r="R440" t="s">
        <v>830</v>
      </c>
      <c r="S440">
        <f>SUM(TablaSeleccionControladores[[#This Row],[M4-CGE04060-0]:[M4-CGM09090-0H]])</f>
        <v>1</v>
      </c>
      <c r="T440" s="14" cm="1">
        <f t="array" ref="T440">SUM(_xlfn.XLOOKUP(TablaSeleccionControladores[[#Headers],[M4-CGE04060-0]:[M4-XPM18000-0]],TablaControladores[[REFERENCIA]:[REFERENCIA]],TablaControladores[EA])*$AA440:$AJ440)</f>
        <v>0</v>
      </c>
      <c r="U440" s="14" cm="1">
        <f t="array" ref="U440">SUM(_xlfn.XLOOKUP(TablaSeleccionControladores[[#Headers],[M4-CGE04060-0]:[M4-XPM18000-0]],TablaControladores[[REFERENCIA]:[REFERENCIA]],TablaControladores[EU])*$AA440:$AJ440)</f>
        <v>28</v>
      </c>
      <c r="V440" s="14" cm="1">
        <f t="array" ref="V440">SUM(_xlfn.XLOOKUP(TablaSeleccionControladores[[#Headers],[M4-CGE04060-0]:[M4-XPM18000-0]],TablaControladores[[REFERENCIA]:[REFERENCIA]],TablaControladores[ED])*$AA440:$AJ440)</f>
        <v>26</v>
      </c>
      <c r="W440" s="14" cm="1">
        <f t="array" ref="W440">SUM(_xlfn.XLOOKUP(TablaSeleccionControladores[[#Headers],[M4-CGE04060-0]:[M4-XPM18000-0]],TablaControladores[[REFERENCIA]:[REFERENCIA]],TablaControladores[SA])*$AA440:$AJ440)</f>
        <v>8</v>
      </c>
      <c r="X440" s="14" cm="1">
        <f t="array" ref="X440">SUM(_xlfn.XLOOKUP(TablaSeleccionControladores[[#Headers],[M4-CGE04060-0]:[M4-XPM18000-0]],TablaControladores[[REFERENCIA]:[REFERENCIA]],TablaControladores[SC])*$AA440:$AJ440)</f>
        <v>16</v>
      </c>
      <c r="Y440" s="14" cm="1">
        <f t="array" ref="Y440">SUM(_xlfn.XLOOKUP(TablaSeleccionControladores[[#Headers],[M4-CGE04060-0]:[M4-XPM18000-0]],TablaControladores[[REFERENCIA]:[REFERENCIA]],TablaControladores[SD])*$AA440:$AJ440)</f>
        <v>12</v>
      </c>
      <c r="Z440" s="14">
        <f>SUM(TablaSeleccionControladores[[#This Row],[EA]:[SD]])</f>
        <v>90</v>
      </c>
      <c r="AF440" s="14">
        <v>1</v>
      </c>
      <c r="AH440" s="14">
        <v>0</v>
      </c>
      <c r="AI440" s="14">
        <v>3</v>
      </c>
      <c r="AJ440" s="14">
        <v>1</v>
      </c>
    </row>
    <row r="441" spans="17:36" x14ac:dyDescent="0.25">
      <c r="Q441">
        <f t="shared" si="9"/>
        <v>331</v>
      </c>
      <c r="R441" t="s">
        <v>830</v>
      </c>
      <c r="S441">
        <f>SUM(TablaSeleccionControladores[[#This Row],[M4-CGE04060-0]:[M4-CGM09090-0H]])</f>
        <v>1</v>
      </c>
      <c r="T441" s="14" cm="1">
        <f t="array" ref="T441">SUM(_xlfn.XLOOKUP(TablaSeleccionControladores[[#Headers],[M4-CGE04060-0]:[M4-XPM18000-0]],TablaControladores[[REFERENCIA]:[REFERENCIA]],TablaControladores[EA])*$AA441:$AJ441)</f>
        <v>0</v>
      </c>
      <c r="U441" s="14" cm="1">
        <f t="array" ref="U441">SUM(_xlfn.XLOOKUP(TablaSeleccionControladores[[#Headers],[M4-CGE04060-0]:[M4-XPM18000-0]],TablaControladores[[REFERENCIA]:[REFERENCIA]],TablaControladores[EU])*$AA441:$AJ441)</f>
        <v>28</v>
      </c>
      <c r="V441" s="14" cm="1">
        <f t="array" ref="V441">SUM(_xlfn.XLOOKUP(TablaSeleccionControladores[[#Headers],[M4-CGE04060-0]:[M4-XPM18000-0]],TablaControladores[[REFERENCIA]:[REFERENCIA]],TablaControladores[ED])*$AA441:$AJ441)</f>
        <v>44</v>
      </c>
      <c r="W441" s="14" cm="1">
        <f t="array" ref="W441">SUM(_xlfn.XLOOKUP(TablaSeleccionControladores[[#Headers],[M4-CGE04060-0]:[M4-XPM18000-0]],TablaControladores[[REFERENCIA]:[REFERENCIA]],TablaControladores[SA])*$AA441:$AJ441)</f>
        <v>8</v>
      </c>
      <c r="X441" s="14" cm="1">
        <f t="array" ref="X441">SUM(_xlfn.XLOOKUP(TablaSeleccionControladores[[#Headers],[M4-CGE04060-0]:[M4-XPM18000-0]],TablaControladores[[REFERENCIA]:[REFERENCIA]],TablaControladores[SC])*$AA441:$AJ441)</f>
        <v>16</v>
      </c>
      <c r="Y441" s="14" cm="1">
        <f t="array" ref="Y441">SUM(_xlfn.XLOOKUP(TablaSeleccionControladores[[#Headers],[M4-CGE04060-0]:[M4-XPM18000-0]],TablaControladores[[REFERENCIA]:[REFERENCIA]],TablaControladores[SD])*$AA441:$AJ441)</f>
        <v>12</v>
      </c>
      <c r="Z441" s="14">
        <f>SUM(TablaSeleccionControladores[[#This Row],[EA]:[SD]])</f>
        <v>108</v>
      </c>
      <c r="AF441" s="14">
        <v>1</v>
      </c>
      <c r="AH441" s="14">
        <v>0</v>
      </c>
      <c r="AI441" s="14">
        <v>3</v>
      </c>
      <c r="AJ441" s="14">
        <v>2</v>
      </c>
    </row>
    <row r="442" spans="17:36" x14ac:dyDescent="0.25">
      <c r="Q442">
        <f t="shared" si="9"/>
        <v>332</v>
      </c>
      <c r="R442" t="s">
        <v>830</v>
      </c>
      <c r="S442">
        <f>SUM(TablaSeleccionControladores[[#This Row],[M4-CGE04060-0]:[M4-CGM09090-0H]])</f>
        <v>1</v>
      </c>
      <c r="T442" s="14" cm="1">
        <f t="array" ref="T442">SUM(_xlfn.XLOOKUP(TablaSeleccionControladores[[#Headers],[M4-CGE04060-0]:[M4-XPM18000-0]],TablaControladores[[REFERENCIA]:[REFERENCIA]],TablaControladores[EA])*$AA442:$AJ442)</f>
        <v>0</v>
      </c>
      <c r="U442" s="14" cm="1">
        <f t="array" ref="U442">SUM(_xlfn.XLOOKUP(TablaSeleccionControladores[[#Headers],[M4-CGE04060-0]:[M4-XPM18000-0]],TablaControladores[[REFERENCIA]:[REFERENCIA]],TablaControladores[EU])*$AA442:$AJ442)</f>
        <v>28</v>
      </c>
      <c r="V442" s="14" cm="1">
        <f t="array" ref="V442">SUM(_xlfn.XLOOKUP(TablaSeleccionControladores[[#Headers],[M4-CGE04060-0]:[M4-XPM18000-0]],TablaControladores[[REFERENCIA]:[REFERENCIA]],TablaControladores[ED])*$AA442:$AJ442)</f>
        <v>62</v>
      </c>
      <c r="W442" s="14" cm="1">
        <f t="array" ref="W442">SUM(_xlfn.XLOOKUP(TablaSeleccionControladores[[#Headers],[M4-CGE04060-0]:[M4-XPM18000-0]],TablaControladores[[REFERENCIA]:[REFERENCIA]],TablaControladores[SA])*$AA442:$AJ442)</f>
        <v>8</v>
      </c>
      <c r="X442" s="14" cm="1">
        <f t="array" ref="X442">SUM(_xlfn.XLOOKUP(TablaSeleccionControladores[[#Headers],[M4-CGE04060-0]:[M4-XPM18000-0]],TablaControladores[[REFERENCIA]:[REFERENCIA]],TablaControladores[SC])*$AA442:$AJ442)</f>
        <v>16</v>
      </c>
      <c r="Y442" s="14" cm="1">
        <f t="array" ref="Y442">SUM(_xlfn.XLOOKUP(TablaSeleccionControladores[[#Headers],[M4-CGE04060-0]:[M4-XPM18000-0]],TablaControladores[[REFERENCIA]:[REFERENCIA]],TablaControladores[SD])*$AA442:$AJ442)</f>
        <v>12</v>
      </c>
      <c r="Z442" s="14">
        <f>SUM(TablaSeleccionControladores[[#This Row],[EA]:[SD]])</f>
        <v>126</v>
      </c>
      <c r="AF442" s="14">
        <v>1</v>
      </c>
      <c r="AH442" s="14">
        <v>0</v>
      </c>
      <c r="AI442" s="14">
        <v>3</v>
      </c>
      <c r="AJ442" s="14">
        <v>3</v>
      </c>
    </row>
    <row r="443" spans="17:36" x14ac:dyDescent="0.25">
      <c r="Q443">
        <f t="shared" si="9"/>
        <v>333</v>
      </c>
      <c r="R443" t="s">
        <v>830</v>
      </c>
      <c r="S443">
        <f>SUM(TablaSeleccionControladores[[#This Row],[M4-CGE04060-0]:[M4-CGM09090-0H]])</f>
        <v>1</v>
      </c>
      <c r="T443" s="14" cm="1">
        <f t="array" ref="T443">SUM(_xlfn.XLOOKUP(TablaSeleccionControladores[[#Headers],[M4-CGE04060-0]:[M4-XPM18000-0]],TablaControladores[[REFERENCIA]:[REFERENCIA]],TablaControladores[EA])*$AA443:$AJ443)</f>
        <v>0</v>
      </c>
      <c r="U443" s="14" cm="1">
        <f t="array" ref="U443">SUM(_xlfn.XLOOKUP(TablaSeleccionControladores[[#Headers],[M4-CGE04060-0]:[M4-XPM18000-0]],TablaControladores[[REFERENCIA]:[REFERENCIA]],TablaControladores[EU])*$AA443:$AJ443)</f>
        <v>35</v>
      </c>
      <c r="V443" s="14" cm="1">
        <f t="array" ref="V443">SUM(_xlfn.XLOOKUP(TablaSeleccionControladores[[#Headers],[M4-CGE04060-0]:[M4-XPM18000-0]],TablaControladores[[REFERENCIA]:[REFERENCIA]],TablaControladores[ED])*$AA443:$AJ443)</f>
        <v>10</v>
      </c>
      <c r="W443" s="14" cm="1">
        <f t="array" ref="W443">SUM(_xlfn.XLOOKUP(TablaSeleccionControladores[[#Headers],[M4-CGE04060-0]:[M4-XPM18000-0]],TablaControladores[[REFERENCIA]:[REFERENCIA]],TablaControladores[SA])*$AA443:$AJ443)</f>
        <v>10</v>
      </c>
      <c r="X443" s="14" cm="1">
        <f t="array" ref="X443">SUM(_xlfn.XLOOKUP(TablaSeleccionControladores[[#Headers],[M4-CGE04060-0]:[M4-XPM18000-0]],TablaControladores[[REFERENCIA]:[REFERENCIA]],TablaControladores[SC])*$AA443:$AJ443)</f>
        <v>20</v>
      </c>
      <c r="Y443" s="14" cm="1">
        <f t="array" ref="Y443">SUM(_xlfn.XLOOKUP(TablaSeleccionControladores[[#Headers],[M4-CGE04060-0]:[M4-XPM18000-0]],TablaControladores[[REFERENCIA]:[REFERENCIA]],TablaControladores[SD])*$AA443:$AJ443)</f>
        <v>15</v>
      </c>
      <c r="Z443" s="14">
        <f>SUM(TablaSeleccionControladores[[#This Row],[EA]:[SD]])</f>
        <v>90</v>
      </c>
      <c r="AF443" s="14">
        <v>1</v>
      </c>
      <c r="AH443" s="14">
        <v>0</v>
      </c>
      <c r="AI443" s="14">
        <v>4</v>
      </c>
      <c r="AJ443" s="14">
        <v>0</v>
      </c>
    </row>
    <row r="444" spans="17:36" x14ac:dyDescent="0.25">
      <c r="Q444">
        <f t="shared" si="9"/>
        <v>334</v>
      </c>
      <c r="R444" t="s">
        <v>830</v>
      </c>
      <c r="S444">
        <f>SUM(TablaSeleccionControladores[[#This Row],[M4-CGE04060-0]:[M4-CGM09090-0H]])</f>
        <v>1</v>
      </c>
      <c r="T444" s="14" cm="1">
        <f t="array" ref="T444">SUM(_xlfn.XLOOKUP(TablaSeleccionControladores[[#Headers],[M4-CGE04060-0]:[M4-XPM18000-0]],TablaControladores[[REFERENCIA]:[REFERENCIA]],TablaControladores[EA])*$AA444:$AJ444)</f>
        <v>0</v>
      </c>
      <c r="U444" s="14" cm="1">
        <f t="array" ref="U444">SUM(_xlfn.XLOOKUP(TablaSeleccionControladores[[#Headers],[M4-CGE04060-0]:[M4-XPM18000-0]],TablaControladores[[REFERENCIA]:[REFERENCIA]],TablaControladores[EU])*$AA444:$AJ444)</f>
        <v>35</v>
      </c>
      <c r="V444" s="14" cm="1">
        <f t="array" ref="V444">SUM(_xlfn.XLOOKUP(TablaSeleccionControladores[[#Headers],[M4-CGE04060-0]:[M4-XPM18000-0]],TablaControladores[[REFERENCIA]:[REFERENCIA]],TablaControladores[ED])*$AA444:$AJ444)</f>
        <v>28</v>
      </c>
      <c r="W444" s="14" cm="1">
        <f t="array" ref="W444">SUM(_xlfn.XLOOKUP(TablaSeleccionControladores[[#Headers],[M4-CGE04060-0]:[M4-XPM18000-0]],TablaControladores[[REFERENCIA]:[REFERENCIA]],TablaControladores[SA])*$AA444:$AJ444)</f>
        <v>10</v>
      </c>
      <c r="X444" s="14" cm="1">
        <f t="array" ref="X444">SUM(_xlfn.XLOOKUP(TablaSeleccionControladores[[#Headers],[M4-CGE04060-0]:[M4-XPM18000-0]],TablaControladores[[REFERENCIA]:[REFERENCIA]],TablaControladores[SC])*$AA444:$AJ444)</f>
        <v>20</v>
      </c>
      <c r="Y444" s="14" cm="1">
        <f t="array" ref="Y444">SUM(_xlfn.XLOOKUP(TablaSeleccionControladores[[#Headers],[M4-CGE04060-0]:[M4-XPM18000-0]],TablaControladores[[REFERENCIA]:[REFERENCIA]],TablaControladores[SD])*$AA444:$AJ444)</f>
        <v>15</v>
      </c>
      <c r="Z444" s="14">
        <f>SUM(TablaSeleccionControladores[[#This Row],[EA]:[SD]])</f>
        <v>108</v>
      </c>
      <c r="AF444" s="14">
        <v>1</v>
      </c>
      <c r="AH444" s="14">
        <v>0</v>
      </c>
      <c r="AI444" s="14">
        <v>4</v>
      </c>
      <c r="AJ444" s="14">
        <v>1</v>
      </c>
    </row>
    <row r="445" spans="17:36" x14ac:dyDescent="0.25">
      <c r="Q445">
        <f t="shared" si="9"/>
        <v>335</v>
      </c>
      <c r="R445" t="s">
        <v>830</v>
      </c>
      <c r="S445">
        <f>SUM(TablaSeleccionControladores[[#This Row],[M4-CGE04060-0]:[M4-CGM09090-0H]])</f>
        <v>1</v>
      </c>
      <c r="T445" s="14" cm="1">
        <f t="array" ref="T445">SUM(_xlfn.XLOOKUP(TablaSeleccionControladores[[#Headers],[M4-CGE04060-0]:[M4-XPM18000-0]],TablaControladores[[REFERENCIA]:[REFERENCIA]],TablaControladores[EA])*$AA445:$AJ445)</f>
        <v>0</v>
      </c>
      <c r="U445" s="14" cm="1">
        <f t="array" ref="U445">SUM(_xlfn.XLOOKUP(TablaSeleccionControladores[[#Headers],[M4-CGE04060-0]:[M4-XPM18000-0]],TablaControladores[[REFERENCIA]:[REFERENCIA]],TablaControladores[EU])*$AA445:$AJ445)</f>
        <v>35</v>
      </c>
      <c r="V445" s="14" cm="1">
        <f t="array" ref="V445">SUM(_xlfn.XLOOKUP(TablaSeleccionControladores[[#Headers],[M4-CGE04060-0]:[M4-XPM18000-0]],TablaControladores[[REFERENCIA]:[REFERENCIA]],TablaControladores[ED])*$AA445:$AJ445)</f>
        <v>46</v>
      </c>
      <c r="W445" s="14" cm="1">
        <f t="array" ref="W445">SUM(_xlfn.XLOOKUP(TablaSeleccionControladores[[#Headers],[M4-CGE04060-0]:[M4-XPM18000-0]],TablaControladores[[REFERENCIA]:[REFERENCIA]],TablaControladores[SA])*$AA445:$AJ445)</f>
        <v>10</v>
      </c>
      <c r="X445" s="14" cm="1">
        <f t="array" ref="X445">SUM(_xlfn.XLOOKUP(TablaSeleccionControladores[[#Headers],[M4-CGE04060-0]:[M4-XPM18000-0]],TablaControladores[[REFERENCIA]:[REFERENCIA]],TablaControladores[SC])*$AA445:$AJ445)</f>
        <v>20</v>
      </c>
      <c r="Y445" s="14" cm="1">
        <f t="array" ref="Y445">SUM(_xlfn.XLOOKUP(TablaSeleccionControladores[[#Headers],[M4-CGE04060-0]:[M4-XPM18000-0]],TablaControladores[[REFERENCIA]:[REFERENCIA]],TablaControladores[SD])*$AA445:$AJ445)</f>
        <v>15</v>
      </c>
      <c r="Z445" s="14">
        <f>SUM(TablaSeleccionControladores[[#This Row],[EA]:[SD]])</f>
        <v>126</v>
      </c>
      <c r="AF445" s="14">
        <v>1</v>
      </c>
      <c r="AH445" s="14">
        <v>0</v>
      </c>
      <c r="AI445" s="14">
        <v>4</v>
      </c>
      <c r="AJ445" s="14">
        <v>2</v>
      </c>
    </row>
    <row r="446" spans="17:36" x14ac:dyDescent="0.25">
      <c r="Q446">
        <f t="shared" si="9"/>
        <v>336</v>
      </c>
      <c r="R446" t="s">
        <v>830</v>
      </c>
      <c r="S446">
        <f>SUM(TablaSeleccionControladores[[#This Row],[M4-CGE04060-0]:[M4-CGM09090-0H]])</f>
        <v>1</v>
      </c>
      <c r="T446" s="14" cm="1">
        <f t="array" ref="T446">SUM(_xlfn.XLOOKUP(TablaSeleccionControladores[[#Headers],[M4-CGE04060-0]:[M4-XPM18000-0]],TablaControladores[[REFERENCIA]:[REFERENCIA]],TablaControladores[EA])*$AA446:$AJ446)</f>
        <v>0</v>
      </c>
      <c r="U446" s="14" cm="1">
        <f t="array" ref="U446">SUM(_xlfn.XLOOKUP(TablaSeleccionControladores[[#Headers],[M4-CGE04060-0]:[M4-XPM18000-0]],TablaControladores[[REFERENCIA]:[REFERENCIA]],TablaControladores[EU])*$AA446:$AJ446)</f>
        <v>42</v>
      </c>
      <c r="V446" s="14" cm="1">
        <f t="array" ref="V446">SUM(_xlfn.XLOOKUP(TablaSeleccionControladores[[#Headers],[M4-CGE04060-0]:[M4-XPM18000-0]],TablaControladores[[REFERENCIA]:[REFERENCIA]],TablaControladores[ED])*$AA446:$AJ446)</f>
        <v>12</v>
      </c>
      <c r="W446" s="14" cm="1">
        <f t="array" ref="W446">SUM(_xlfn.XLOOKUP(TablaSeleccionControladores[[#Headers],[M4-CGE04060-0]:[M4-XPM18000-0]],TablaControladores[[REFERENCIA]:[REFERENCIA]],TablaControladores[SA])*$AA446:$AJ446)</f>
        <v>12</v>
      </c>
      <c r="X446" s="14" cm="1">
        <f t="array" ref="X446">SUM(_xlfn.XLOOKUP(TablaSeleccionControladores[[#Headers],[M4-CGE04060-0]:[M4-XPM18000-0]],TablaControladores[[REFERENCIA]:[REFERENCIA]],TablaControladores[SC])*$AA446:$AJ446)</f>
        <v>24</v>
      </c>
      <c r="Y446" s="14" cm="1">
        <f t="array" ref="Y446">SUM(_xlfn.XLOOKUP(TablaSeleccionControladores[[#Headers],[M4-CGE04060-0]:[M4-XPM18000-0]],TablaControladores[[REFERENCIA]:[REFERENCIA]],TablaControladores[SD])*$AA446:$AJ446)</f>
        <v>18</v>
      </c>
      <c r="Z446" s="14">
        <f>SUM(TablaSeleccionControladores[[#This Row],[EA]:[SD]])</f>
        <v>108</v>
      </c>
      <c r="AF446" s="14">
        <v>1</v>
      </c>
      <c r="AH446" s="14">
        <v>0</v>
      </c>
      <c r="AI446" s="14">
        <v>5</v>
      </c>
      <c r="AJ446" s="14">
        <v>0</v>
      </c>
    </row>
    <row r="447" spans="17:36" x14ac:dyDescent="0.25">
      <c r="Q447">
        <f t="shared" si="9"/>
        <v>337</v>
      </c>
      <c r="R447" t="s">
        <v>830</v>
      </c>
      <c r="S447">
        <f>SUM(TablaSeleccionControladores[[#This Row],[M4-CGE04060-0]:[M4-CGM09090-0H]])</f>
        <v>1</v>
      </c>
      <c r="T447" s="14" cm="1">
        <f t="array" ref="T447">SUM(_xlfn.XLOOKUP(TablaSeleccionControladores[[#Headers],[M4-CGE04060-0]:[M4-XPM18000-0]],TablaControladores[[REFERENCIA]:[REFERENCIA]],TablaControladores[EA])*$AA447:$AJ447)</f>
        <v>0</v>
      </c>
      <c r="U447" s="14" cm="1">
        <f t="array" ref="U447">SUM(_xlfn.XLOOKUP(TablaSeleccionControladores[[#Headers],[M4-CGE04060-0]:[M4-XPM18000-0]],TablaControladores[[REFERENCIA]:[REFERENCIA]],TablaControladores[EU])*$AA447:$AJ447)</f>
        <v>42</v>
      </c>
      <c r="V447" s="14" cm="1">
        <f t="array" ref="V447">SUM(_xlfn.XLOOKUP(TablaSeleccionControladores[[#Headers],[M4-CGE04060-0]:[M4-XPM18000-0]],TablaControladores[[REFERENCIA]:[REFERENCIA]],TablaControladores[ED])*$AA447:$AJ447)</f>
        <v>30</v>
      </c>
      <c r="W447" s="14" cm="1">
        <f t="array" ref="W447">SUM(_xlfn.XLOOKUP(TablaSeleccionControladores[[#Headers],[M4-CGE04060-0]:[M4-XPM18000-0]],TablaControladores[[REFERENCIA]:[REFERENCIA]],TablaControladores[SA])*$AA447:$AJ447)</f>
        <v>12</v>
      </c>
      <c r="X447" s="14" cm="1">
        <f t="array" ref="X447">SUM(_xlfn.XLOOKUP(TablaSeleccionControladores[[#Headers],[M4-CGE04060-0]:[M4-XPM18000-0]],TablaControladores[[REFERENCIA]:[REFERENCIA]],TablaControladores[SC])*$AA447:$AJ447)</f>
        <v>24</v>
      </c>
      <c r="Y447" s="14" cm="1">
        <f t="array" ref="Y447">SUM(_xlfn.XLOOKUP(TablaSeleccionControladores[[#Headers],[M4-CGE04060-0]:[M4-XPM18000-0]],TablaControladores[[REFERENCIA]:[REFERENCIA]],TablaControladores[SD])*$AA447:$AJ447)</f>
        <v>18</v>
      </c>
      <c r="Z447" s="14">
        <f>SUM(TablaSeleccionControladores[[#This Row],[EA]:[SD]])</f>
        <v>126</v>
      </c>
      <c r="AF447" s="14">
        <v>1</v>
      </c>
      <c r="AH447" s="14">
        <v>0</v>
      </c>
      <c r="AI447" s="14">
        <v>5</v>
      </c>
      <c r="AJ447" s="14">
        <v>1</v>
      </c>
    </row>
    <row r="448" spans="17:36" x14ac:dyDescent="0.25">
      <c r="Q448">
        <f t="shared" si="9"/>
        <v>338</v>
      </c>
      <c r="R448" t="s">
        <v>830</v>
      </c>
      <c r="S448">
        <f>SUM(TablaSeleccionControladores[[#This Row],[M4-CGE04060-0]:[M4-CGM09090-0H]])</f>
        <v>1</v>
      </c>
      <c r="T448" s="14" cm="1">
        <f t="array" ref="T448">SUM(_xlfn.XLOOKUP(TablaSeleccionControladores[[#Headers],[M4-CGE04060-0]:[M4-XPM18000-0]],TablaControladores[[REFERENCIA]:[REFERENCIA]],TablaControladores[EA])*$AA448:$AJ448)</f>
        <v>0</v>
      </c>
      <c r="U448" s="14" cm="1">
        <f t="array" ref="U448">SUM(_xlfn.XLOOKUP(TablaSeleccionControladores[[#Headers],[M4-CGE04060-0]:[M4-XPM18000-0]],TablaControladores[[REFERENCIA]:[REFERENCIA]],TablaControladores[EU])*$AA448:$AJ448)</f>
        <v>49</v>
      </c>
      <c r="V448" s="14" cm="1">
        <f t="array" ref="V448">SUM(_xlfn.XLOOKUP(TablaSeleccionControladores[[#Headers],[M4-CGE04060-0]:[M4-XPM18000-0]],TablaControladores[[REFERENCIA]:[REFERENCIA]],TablaControladores[ED])*$AA448:$AJ448)</f>
        <v>14</v>
      </c>
      <c r="W448" s="14" cm="1">
        <f t="array" ref="W448">SUM(_xlfn.XLOOKUP(TablaSeleccionControladores[[#Headers],[M4-CGE04060-0]:[M4-XPM18000-0]],TablaControladores[[REFERENCIA]:[REFERENCIA]],TablaControladores[SA])*$AA448:$AJ448)</f>
        <v>14</v>
      </c>
      <c r="X448" s="14" cm="1">
        <f t="array" ref="X448">SUM(_xlfn.XLOOKUP(TablaSeleccionControladores[[#Headers],[M4-CGE04060-0]:[M4-XPM18000-0]],TablaControladores[[REFERENCIA]:[REFERENCIA]],TablaControladores[SC])*$AA448:$AJ448)</f>
        <v>28</v>
      </c>
      <c r="Y448" s="14" cm="1">
        <f t="array" ref="Y448">SUM(_xlfn.XLOOKUP(TablaSeleccionControladores[[#Headers],[M4-CGE04060-0]:[M4-XPM18000-0]],TablaControladores[[REFERENCIA]:[REFERENCIA]],TablaControladores[SD])*$AA448:$AJ448)</f>
        <v>21</v>
      </c>
      <c r="Z448" s="14">
        <f>SUM(TablaSeleccionControladores[[#This Row],[EA]:[SD]])</f>
        <v>126</v>
      </c>
      <c r="AF448" s="14">
        <v>1</v>
      </c>
      <c r="AH448" s="14">
        <v>0</v>
      </c>
      <c r="AI448" s="14">
        <v>6</v>
      </c>
      <c r="AJ448" s="14">
        <v>0</v>
      </c>
    </row>
    <row r="449" spans="17:36" x14ac:dyDescent="0.25">
      <c r="Q449">
        <f t="shared" si="9"/>
        <v>339</v>
      </c>
      <c r="R449" t="s">
        <v>830</v>
      </c>
      <c r="S449">
        <f>SUM(TablaSeleccionControladores[[#This Row],[M4-CGE04060-0]:[M4-CGM09090-0H]])</f>
        <v>1</v>
      </c>
      <c r="T449" s="14" cm="1">
        <f t="array" ref="T449">SUM(_xlfn.XLOOKUP(TablaSeleccionControladores[[#Headers],[M4-CGE04060-0]:[M4-XPM18000-0]],TablaControladores[[REFERENCIA]:[REFERENCIA]],TablaControladores[EA])*$AA449:$AJ449)</f>
        <v>0</v>
      </c>
      <c r="U449" s="14" cm="1">
        <f t="array" ref="U449">SUM(_xlfn.XLOOKUP(TablaSeleccionControladores[[#Headers],[M4-CGE04060-0]:[M4-XPM18000-0]],TablaControladores[[REFERENCIA]:[REFERENCIA]],TablaControladores[EU])*$AA449:$AJ449)</f>
        <v>10</v>
      </c>
      <c r="V449" s="14" cm="1">
        <f t="array" ref="V449">SUM(_xlfn.XLOOKUP(TablaSeleccionControladores[[#Headers],[M4-CGE04060-0]:[M4-XPM18000-0]],TablaControladores[[REFERENCIA]:[REFERENCIA]],TablaControladores[ED])*$AA449:$AJ449)</f>
        <v>3</v>
      </c>
      <c r="W449" s="14" cm="1">
        <f t="array" ref="W449">SUM(_xlfn.XLOOKUP(TablaSeleccionControladores[[#Headers],[M4-CGE04060-0]:[M4-XPM18000-0]],TablaControladores[[REFERENCIA]:[REFERENCIA]],TablaControladores[SA])*$AA449:$AJ449)</f>
        <v>4</v>
      </c>
      <c r="X449" s="14" cm="1">
        <f t="array" ref="X449">SUM(_xlfn.XLOOKUP(TablaSeleccionControladores[[#Headers],[M4-CGE04060-0]:[M4-XPM18000-0]],TablaControladores[[REFERENCIA]:[REFERENCIA]],TablaControladores[SC])*$AA449:$AJ449)</f>
        <v>8</v>
      </c>
      <c r="Y449" s="14" cm="1">
        <f t="array" ref="Y449">SUM(_xlfn.XLOOKUP(TablaSeleccionControladores[[#Headers],[M4-CGE04060-0]:[M4-XPM18000-0]],TablaControladores[[REFERENCIA]:[REFERENCIA]],TablaControladores[SD])*$AA449:$AJ449)</f>
        <v>6</v>
      </c>
      <c r="Z449" s="14">
        <f>SUM(TablaSeleccionControladores[[#This Row],[EA]:[SD]])</f>
        <v>31</v>
      </c>
      <c r="AF449" s="14">
        <v>1</v>
      </c>
      <c r="AH449" s="14">
        <v>1</v>
      </c>
      <c r="AI449" s="14">
        <v>0</v>
      </c>
      <c r="AJ449" s="14">
        <v>0</v>
      </c>
    </row>
    <row r="450" spans="17:36" x14ac:dyDescent="0.25">
      <c r="Q450">
        <f t="shared" si="9"/>
        <v>340</v>
      </c>
      <c r="R450" t="s">
        <v>830</v>
      </c>
      <c r="S450">
        <f>SUM(TablaSeleccionControladores[[#This Row],[M4-CGE04060-0]:[M4-CGM09090-0H]])</f>
        <v>1</v>
      </c>
      <c r="T450" s="14" cm="1">
        <f t="array" ref="T450">SUM(_xlfn.XLOOKUP(TablaSeleccionControladores[[#Headers],[M4-CGE04060-0]:[M4-XPM18000-0]],TablaControladores[[REFERENCIA]:[REFERENCIA]],TablaControladores[EA])*$AA450:$AJ450)</f>
        <v>0</v>
      </c>
      <c r="U450" s="14" cm="1">
        <f t="array" ref="U450">SUM(_xlfn.XLOOKUP(TablaSeleccionControladores[[#Headers],[M4-CGE04060-0]:[M4-XPM18000-0]],TablaControladores[[REFERENCIA]:[REFERENCIA]],TablaControladores[EU])*$AA450:$AJ450)</f>
        <v>10</v>
      </c>
      <c r="V450" s="14" cm="1">
        <f t="array" ref="V450">SUM(_xlfn.XLOOKUP(TablaSeleccionControladores[[#Headers],[M4-CGE04060-0]:[M4-XPM18000-0]],TablaControladores[[REFERENCIA]:[REFERENCIA]],TablaControladores[ED])*$AA450:$AJ450)</f>
        <v>21</v>
      </c>
      <c r="W450" s="14" cm="1">
        <f t="array" ref="W450">SUM(_xlfn.XLOOKUP(TablaSeleccionControladores[[#Headers],[M4-CGE04060-0]:[M4-XPM18000-0]],TablaControladores[[REFERENCIA]:[REFERENCIA]],TablaControladores[SA])*$AA450:$AJ450)</f>
        <v>4</v>
      </c>
      <c r="X450" s="14" cm="1">
        <f t="array" ref="X450">SUM(_xlfn.XLOOKUP(TablaSeleccionControladores[[#Headers],[M4-CGE04060-0]:[M4-XPM18000-0]],TablaControladores[[REFERENCIA]:[REFERENCIA]],TablaControladores[SC])*$AA450:$AJ450)</f>
        <v>8</v>
      </c>
      <c r="Y450" s="14" cm="1">
        <f t="array" ref="Y450">SUM(_xlfn.XLOOKUP(TablaSeleccionControladores[[#Headers],[M4-CGE04060-0]:[M4-XPM18000-0]],TablaControladores[[REFERENCIA]:[REFERENCIA]],TablaControladores[SD])*$AA450:$AJ450)</f>
        <v>6</v>
      </c>
      <c r="Z450" s="14">
        <f>SUM(TablaSeleccionControladores[[#This Row],[EA]:[SD]])</f>
        <v>49</v>
      </c>
      <c r="AF450" s="14">
        <v>1</v>
      </c>
      <c r="AH450" s="14">
        <v>1</v>
      </c>
      <c r="AI450" s="14">
        <v>0</v>
      </c>
      <c r="AJ450" s="14">
        <v>1</v>
      </c>
    </row>
    <row r="451" spans="17:36" x14ac:dyDescent="0.25">
      <c r="Q451">
        <f t="shared" si="9"/>
        <v>341</v>
      </c>
      <c r="R451" t="s">
        <v>830</v>
      </c>
      <c r="S451">
        <f>SUM(TablaSeleccionControladores[[#This Row],[M4-CGE04060-0]:[M4-CGM09090-0H]])</f>
        <v>1</v>
      </c>
      <c r="T451" s="14" cm="1">
        <f t="array" ref="T451">SUM(_xlfn.XLOOKUP(TablaSeleccionControladores[[#Headers],[M4-CGE04060-0]:[M4-XPM18000-0]],TablaControladores[[REFERENCIA]:[REFERENCIA]],TablaControladores[EA])*$AA451:$AJ451)</f>
        <v>0</v>
      </c>
      <c r="U451" s="14" cm="1">
        <f t="array" ref="U451">SUM(_xlfn.XLOOKUP(TablaSeleccionControladores[[#Headers],[M4-CGE04060-0]:[M4-XPM18000-0]],TablaControladores[[REFERENCIA]:[REFERENCIA]],TablaControladores[EU])*$AA451:$AJ451)</f>
        <v>10</v>
      </c>
      <c r="V451" s="14" cm="1">
        <f t="array" ref="V451">SUM(_xlfn.XLOOKUP(TablaSeleccionControladores[[#Headers],[M4-CGE04060-0]:[M4-XPM18000-0]],TablaControladores[[REFERENCIA]:[REFERENCIA]],TablaControladores[ED])*$AA451:$AJ451)</f>
        <v>39</v>
      </c>
      <c r="W451" s="14" cm="1">
        <f t="array" ref="W451">SUM(_xlfn.XLOOKUP(TablaSeleccionControladores[[#Headers],[M4-CGE04060-0]:[M4-XPM18000-0]],TablaControladores[[REFERENCIA]:[REFERENCIA]],TablaControladores[SA])*$AA451:$AJ451)</f>
        <v>4</v>
      </c>
      <c r="X451" s="14" cm="1">
        <f t="array" ref="X451">SUM(_xlfn.XLOOKUP(TablaSeleccionControladores[[#Headers],[M4-CGE04060-0]:[M4-XPM18000-0]],TablaControladores[[REFERENCIA]:[REFERENCIA]],TablaControladores[SC])*$AA451:$AJ451)</f>
        <v>8</v>
      </c>
      <c r="Y451" s="14" cm="1">
        <f t="array" ref="Y451">SUM(_xlfn.XLOOKUP(TablaSeleccionControladores[[#Headers],[M4-CGE04060-0]:[M4-XPM18000-0]],TablaControladores[[REFERENCIA]:[REFERENCIA]],TablaControladores[SD])*$AA451:$AJ451)</f>
        <v>6</v>
      </c>
      <c r="Z451" s="14">
        <f>SUM(TablaSeleccionControladores[[#This Row],[EA]:[SD]])</f>
        <v>67</v>
      </c>
      <c r="AF451" s="14">
        <v>1</v>
      </c>
      <c r="AH451" s="14">
        <v>1</v>
      </c>
      <c r="AI451" s="14">
        <v>0</v>
      </c>
      <c r="AJ451" s="14">
        <v>2</v>
      </c>
    </row>
    <row r="452" spans="17:36" x14ac:dyDescent="0.25">
      <c r="Q452">
        <f t="shared" si="9"/>
        <v>342</v>
      </c>
      <c r="R452" t="s">
        <v>830</v>
      </c>
      <c r="S452">
        <f>SUM(TablaSeleccionControladores[[#This Row],[M4-CGE04060-0]:[M4-CGM09090-0H]])</f>
        <v>1</v>
      </c>
      <c r="T452" s="14" cm="1">
        <f t="array" ref="T452">SUM(_xlfn.XLOOKUP(TablaSeleccionControladores[[#Headers],[M4-CGE04060-0]:[M4-XPM18000-0]],TablaControladores[[REFERENCIA]:[REFERENCIA]],TablaControladores[EA])*$AA452:$AJ452)</f>
        <v>0</v>
      </c>
      <c r="U452" s="14" cm="1">
        <f t="array" ref="U452">SUM(_xlfn.XLOOKUP(TablaSeleccionControladores[[#Headers],[M4-CGE04060-0]:[M4-XPM18000-0]],TablaControladores[[REFERENCIA]:[REFERENCIA]],TablaControladores[EU])*$AA452:$AJ452)</f>
        <v>10</v>
      </c>
      <c r="V452" s="14" cm="1">
        <f t="array" ref="V452">SUM(_xlfn.XLOOKUP(TablaSeleccionControladores[[#Headers],[M4-CGE04060-0]:[M4-XPM18000-0]],TablaControladores[[REFERENCIA]:[REFERENCIA]],TablaControladores[ED])*$AA452:$AJ452)</f>
        <v>57</v>
      </c>
      <c r="W452" s="14" cm="1">
        <f t="array" ref="W452">SUM(_xlfn.XLOOKUP(TablaSeleccionControladores[[#Headers],[M4-CGE04060-0]:[M4-XPM18000-0]],TablaControladores[[REFERENCIA]:[REFERENCIA]],TablaControladores[SA])*$AA452:$AJ452)</f>
        <v>4</v>
      </c>
      <c r="X452" s="14" cm="1">
        <f t="array" ref="X452">SUM(_xlfn.XLOOKUP(TablaSeleccionControladores[[#Headers],[M4-CGE04060-0]:[M4-XPM18000-0]],TablaControladores[[REFERENCIA]:[REFERENCIA]],TablaControladores[SC])*$AA452:$AJ452)</f>
        <v>8</v>
      </c>
      <c r="Y452" s="14" cm="1">
        <f t="array" ref="Y452">SUM(_xlfn.XLOOKUP(TablaSeleccionControladores[[#Headers],[M4-CGE04060-0]:[M4-XPM18000-0]],TablaControladores[[REFERENCIA]:[REFERENCIA]],TablaControladores[SD])*$AA452:$AJ452)</f>
        <v>6</v>
      </c>
      <c r="Z452" s="14">
        <f>SUM(TablaSeleccionControladores[[#This Row],[EA]:[SD]])</f>
        <v>85</v>
      </c>
      <c r="AF452" s="14">
        <v>1</v>
      </c>
      <c r="AH452" s="14">
        <v>1</v>
      </c>
      <c r="AI452" s="14">
        <v>0</v>
      </c>
      <c r="AJ452" s="14">
        <v>3</v>
      </c>
    </row>
    <row r="453" spans="17:36" x14ac:dyDescent="0.25">
      <c r="Q453">
        <f t="shared" si="9"/>
        <v>343</v>
      </c>
      <c r="R453" t="s">
        <v>830</v>
      </c>
      <c r="S453">
        <f>SUM(TablaSeleccionControladores[[#This Row],[M4-CGE04060-0]:[M4-CGM09090-0H]])</f>
        <v>1</v>
      </c>
      <c r="T453" s="14" cm="1">
        <f t="array" ref="T453">SUM(_xlfn.XLOOKUP(TablaSeleccionControladores[[#Headers],[M4-CGE04060-0]:[M4-XPM18000-0]],TablaControladores[[REFERENCIA]:[REFERENCIA]],TablaControladores[EA])*$AA453:$AJ453)</f>
        <v>0</v>
      </c>
      <c r="U453" s="14" cm="1">
        <f t="array" ref="U453">SUM(_xlfn.XLOOKUP(TablaSeleccionControladores[[#Headers],[M4-CGE04060-0]:[M4-XPM18000-0]],TablaControladores[[REFERENCIA]:[REFERENCIA]],TablaControladores[EU])*$AA453:$AJ453)</f>
        <v>10</v>
      </c>
      <c r="V453" s="14" cm="1">
        <f t="array" ref="V453">SUM(_xlfn.XLOOKUP(TablaSeleccionControladores[[#Headers],[M4-CGE04060-0]:[M4-XPM18000-0]],TablaControladores[[REFERENCIA]:[REFERENCIA]],TablaControladores[ED])*$AA453:$AJ453)</f>
        <v>75</v>
      </c>
      <c r="W453" s="14" cm="1">
        <f t="array" ref="W453">SUM(_xlfn.XLOOKUP(TablaSeleccionControladores[[#Headers],[M4-CGE04060-0]:[M4-XPM18000-0]],TablaControladores[[REFERENCIA]:[REFERENCIA]],TablaControladores[SA])*$AA453:$AJ453)</f>
        <v>4</v>
      </c>
      <c r="X453" s="14" cm="1">
        <f t="array" ref="X453">SUM(_xlfn.XLOOKUP(TablaSeleccionControladores[[#Headers],[M4-CGE04060-0]:[M4-XPM18000-0]],TablaControladores[[REFERENCIA]:[REFERENCIA]],TablaControladores[SC])*$AA453:$AJ453)</f>
        <v>8</v>
      </c>
      <c r="Y453" s="14" cm="1">
        <f t="array" ref="Y453">SUM(_xlfn.XLOOKUP(TablaSeleccionControladores[[#Headers],[M4-CGE04060-0]:[M4-XPM18000-0]],TablaControladores[[REFERENCIA]:[REFERENCIA]],TablaControladores[SD])*$AA453:$AJ453)</f>
        <v>6</v>
      </c>
      <c r="Z453" s="14">
        <f>SUM(TablaSeleccionControladores[[#This Row],[EA]:[SD]])</f>
        <v>103</v>
      </c>
      <c r="AF453" s="14">
        <v>1</v>
      </c>
      <c r="AH453" s="14">
        <v>1</v>
      </c>
      <c r="AI453" s="14">
        <v>0</v>
      </c>
      <c r="AJ453" s="14">
        <v>4</v>
      </c>
    </row>
    <row r="454" spans="17:36" x14ac:dyDescent="0.25">
      <c r="Q454">
        <f t="shared" si="9"/>
        <v>344</v>
      </c>
      <c r="R454" t="s">
        <v>830</v>
      </c>
      <c r="S454">
        <f>SUM(TablaSeleccionControladores[[#This Row],[M4-CGE04060-0]:[M4-CGM09090-0H]])</f>
        <v>1</v>
      </c>
      <c r="T454" s="14" cm="1">
        <f t="array" ref="T454">SUM(_xlfn.XLOOKUP(TablaSeleccionControladores[[#Headers],[M4-CGE04060-0]:[M4-XPM18000-0]],TablaControladores[[REFERENCIA]:[REFERENCIA]],TablaControladores[EA])*$AA454:$AJ454)</f>
        <v>0</v>
      </c>
      <c r="U454" s="14" cm="1">
        <f t="array" ref="U454">SUM(_xlfn.XLOOKUP(TablaSeleccionControladores[[#Headers],[M4-CGE04060-0]:[M4-XPM18000-0]],TablaControladores[[REFERENCIA]:[REFERENCIA]],TablaControladores[EU])*$AA454:$AJ454)</f>
        <v>10</v>
      </c>
      <c r="V454" s="14" cm="1">
        <f t="array" ref="V454">SUM(_xlfn.XLOOKUP(TablaSeleccionControladores[[#Headers],[M4-CGE04060-0]:[M4-XPM18000-0]],TablaControladores[[REFERENCIA]:[REFERENCIA]],TablaControladores[ED])*$AA454:$AJ454)</f>
        <v>93</v>
      </c>
      <c r="W454" s="14" cm="1">
        <f t="array" ref="W454">SUM(_xlfn.XLOOKUP(TablaSeleccionControladores[[#Headers],[M4-CGE04060-0]:[M4-XPM18000-0]],TablaControladores[[REFERENCIA]:[REFERENCIA]],TablaControladores[SA])*$AA454:$AJ454)</f>
        <v>4</v>
      </c>
      <c r="X454" s="14" cm="1">
        <f t="array" ref="X454">SUM(_xlfn.XLOOKUP(TablaSeleccionControladores[[#Headers],[M4-CGE04060-0]:[M4-XPM18000-0]],TablaControladores[[REFERENCIA]:[REFERENCIA]],TablaControladores[SC])*$AA454:$AJ454)</f>
        <v>8</v>
      </c>
      <c r="Y454" s="14" cm="1">
        <f t="array" ref="Y454">SUM(_xlfn.XLOOKUP(TablaSeleccionControladores[[#Headers],[M4-CGE04060-0]:[M4-XPM18000-0]],TablaControladores[[REFERENCIA]:[REFERENCIA]],TablaControladores[SD])*$AA454:$AJ454)</f>
        <v>6</v>
      </c>
      <c r="Z454" s="14">
        <f>SUM(TablaSeleccionControladores[[#This Row],[EA]:[SD]])</f>
        <v>121</v>
      </c>
      <c r="AF454" s="14">
        <v>1</v>
      </c>
      <c r="AH454" s="14">
        <v>1</v>
      </c>
      <c r="AI454" s="14">
        <v>0</v>
      </c>
      <c r="AJ454" s="14">
        <v>5</v>
      </c>
    </row>
    <row r="455" spans="17:36" x14ac:dyDescent="0.25">
      <c r="Q455">
        <f t="shared" si="9"/>
        <v>345</v>
      </c>
      <c r="R455" t="s">
        <v>830</v>
      </c>
      <c r="S455">
        <f>SUM(TablaSeleccionControladores[[#This Row],[M4-CGE04060-0]:[M4-CGM09090-0H]])</f>
        <v>1</v>
      </c>
      <c r="T455" s="14" cm="1">
        <f t="array" ref="T455">SUM(_xlfn.XLOOKUP(TablaSeleccionControladores[[#Headers],[M4-CGE04060-0]:[M4-XPM18000-0]],TablaControladores[[REFERENCIA]:[REFERENCIA]],TablaControladores[EA])*$AA455:$AJ455)</f>
        <v>0</v>
      </c>
      <c r="U455" s="14" cm="1">
        <f t="array" ref="U455">SUM(_xlfn.XLOOKUP(TablaSeleccionControladores[[#Headers],[M4-CGE04060-0]:[M4-XPM18000-0]],TablaControladores[[REFERENCIA]:[REFERENCIA]],TablaControladores[EU])*$AA455:$AJ455)</f>
        <v>17</v>
      </c>
      <c r="V455" s="14" cm="1">
        <f t="array" ref="V455">SUM(_xlfn.XLOOKUP(TablaSeleccionControladores[[#Headers],[M4-CGE04060-0]:[M4-XPM18000-0]],TablaControladores[[REFERENCIA]:[REFERENCIA]],TablaControladores[ED])*$AA455:$AJ455)</f>
        <v>5</v>
      </c>
      <c r="W455" s="14" cm="1">
        <f t="array" ref="W455">SUM(_xlfn.XLOOKUP(TablaSeleccionControladores[[#Headers],[M4-CGE04060-0]:[M4-XPM18000-0]],TablaControladores[[REFERENCIA]:[REFERENCIA]],TablaControladores[SA])*$AA455:$AJ455)</f>
        <v>6</v>
      </c>
      <c r="X455" s="14" cm="1">
        <f t="array" ref="X455">SUM(_xlfn.XLOOKUP(TablaSeleccionControladores[[#Headers],[M4-CGE04060-0]:[M4-XPM18000-0]],TablaControladores[[REFERENCIA]:[REFERENCIA]],TablaControladores[SC])*$AA455:$AJ455)</f>
        <v>12</v>
      </c>
      <c r="Y455" s="14" cm="1">
        <f t="array" ref="Y455">SUM(_xlfn.XLOOKUP(TablaSeleccionControladores[[#Headers],[M4-CGE04060-0]:[M4-XPM18000-0]],TablaControladores[[REFERENCIA]:[REFERENCIA]],TablaControladores[SD])*$AA455:$AJ455)</f>
        <v>9</v>
      </c>
      <c r="Z455" s="14">
        <f>SUM(TablaSeleccionControladores[[#This Row],[EA]:[SD]])</f>
        <v>49</v>
      </c>
      <c r="AF455" s="14">
        <v>1</v>
      </c>
      <c r="AH455" s="14">
        <v>1</v>
      </c>
      <c r="AI455" s="14">
        <v>1</v>
      </c>
      <c r="AJ455" s="14">
        <v>0</v>
      </c>
    </row>
    <row r="456" spans="17:36" x14ac:dyDescent="0.25">
      <c r="Q456">
        <f t="shared" si="9"/>
        <v>346</v>
      </c>
      <c r="R456" t="s">
        <v>830</v>
      </c>
      <c r="S456">
        <f>SUM(TablaSeleccionControladores[[#This Row],[M4-CGE04060-0]:[M4-CGM09090-0H]])</f>
        <v>1</v>
      </c>
      <c r="T456" s="14" cm="1">
        <f t="array" ref="T456">SUM(_xlfn.XLOOKUP(TablaSeleccionControladores[[#Headers],[M4-CGE04060-0]:[M4-XPM18000-0]],TablaControladores[[REFERENCIA]:[REFERENCIA]],TablaControladores[EA])*$AA456:$AJ456)</f>
        <v>0</v>
      </c>
      <c r="U456" s="14" cm="1">
        <f t="array" ref="U456">SUM(_xlfn.XLOOKUP(TablaSeleccionControladores[[#Headers],[M4-CGE04060-0]:[M4-XPM18000-0]],TablaControladores[[REFERENCIA]:[REFERENCIA]],TablaControladores[EU])*$AA456:$AJ456)</f>
        <v>17</v>
      </c>
      <c r="V456" s="14" cm="1">
        <f t="array" ref="V456">SUM(_xlfn.XLOOKUP(TablaSeleccionControladores[[#Headers],[M4-CGE04060-0]:[M4-XPM18000-0]],TablaControladores[[REFERENCIA]:[REFERENCIA]],TablaControladores[ED])*$AA456:$AJ456)</f>
        <v>23</v>
      </c>
      <c r="W456" s="14" cm="1">
        <f t="array" ref="W456">SUM(_xlfn.XLOOKUP(TablaSeleccionControladores[[#Headers],[M4-CGE04060-0]:[M4-XPM18000-0]],TablaControladores[[REFERENCIA]:[REFERENCIA]],TablaControladores[SA])*$AA456:$AJ456)</f>
        <v>6</v>
      </c>
      <c r="X456" s="14" cm="1">
        <f t="array" ref="X456">SUM(_xlfn.XLOOKUP(TablaSeleccionControladores[[#Headers],[M4-CGE04060-0]:[M4-XPM18000-0]],TablaControladores[[REFERENCIA]:[REFERENCIA]],TablaControladores[SC])*$AA456:$AJ456)</f>
        <v>12</v>
      </c>
      <c r="Y456" s="14" cm="1">
        <f t="array" ref="Y456">SUM(_xlfn.XLOOKUP(TablaSeleccionControladores[[#Headers],[M4-CGE04060-0]:[M4-XPM18000-0]],TablaControladores[[REFERENCIA]:[REFERENCIA]],TablaControladores[SD])*$AA456:$AJ456)</f>
        <v>9</v>
      </c>
      <c r="Z456" s="14">
        <f>SUM(TablaSeleccionControladores[[#This Row],[EA]:[SD]])</f>
        <v>67</v>
      </c>
      <c r="AF456" s="14">
        <v>1</v>
      </c>
      <c r="AH456" s="14">
        <v>1</v>
      </c>
      <c r="AI456" s="14">
        <v>1</v>
      </c>
      <c r="AJ456" s="14">
        <v>1</v>
      </c>
    </row>
    <row r="457" spans="17:36" x14ac:dyDescent="0.25">
      <c r="Q457">
        <f t="shared" si="9"/>
        <v>347</v>
      </c>
      <c r="R457" t="s">
        <v>830</v>
      </c>
      <c r="S457">
        <f>SUM(TablaSeleccionControladores[[#This Row],[M4-CGE04060-0]:[M4-CGM09090-0H]])</f>
        <v>1</v>
      </c>
      <c r="T457" s="14" cm="1">
        <f t="array" ref="T457">SUM(_xlfn.XLOOKUP(TablaSeleccionControladores[[#Headers],[M4-CGE04060-0]:[M4-XPM18000-0]],TablaControladores[[REFERENCIA]:[REFERENCIA]],TablaControladores[EA])*$AA457:$AJ457)</f>
        <v>0</v>
      </c>
      <c r="U457" s="14" cm="1">
        <f t="array" ref="U457">SUM(_xlfn.XLOOKUP(TablaSeleccionControladores[[#Headers],[M4-CGE04060-0]:[M4-XPM18000-0]],TablaControladores[[REFERENCIA]:[REFERENCIA]],TablaControladores[EU])*$AA457:$AJ457)</f>
        <v>17</v>
      </c>
      <c r="V457" s="14" cm="1">
        <f t="array" ref="V457">SUM(_xlfn.XLOOKUP(TablaSeleccionControladores[[#Headers],[M4-CGE04060-0]:[M4-XPM18000-0]],TablaControladores[[REFERENCIA]:[REFERENCIA]],TablaControladores[ED])*$AA457:$AJ457)</f>
        <v>41</v>
      </c>
      <c r="W457" s="14" cm="1">
        <f t="array" ref="W457">SUM(_xlfn.XLOOKUP(TablaSeleccionControladores[[#Headers],[M4-CGE04060-0]:[M4-XPM18000-0]],TablaControladores[[REFERENCIA]:[REFERENCIA]],TablaControladores[SA])*$AA457:$AJ457)</f>
        <v>6</v>
      </c>
      <c r="X457" s="14" cm="1">
        <f t="array" ref="X457">SUM(_xlfn.XLOOKUP(TablaSeleccionControladores[[#Headers],[M4-CGE04060-0]:[M4-XPM18000-0]],TablaControladores[[REFERENCIA]:[REFERENCIA]],TablaControladores[SC])*$AA457:$AJ457)</f>
        <v>12</v>
      </c>
      <c r="Y457" s="14" cm="1">
        <f t="array" ref="Y457">SUM(_xlfn.XLOOKUP(TablaSeleccionControladores[[#Headers],[M4-CGE04060-0]:[M4-XPM18000-0]],TablaControladores[[REFERENCIA]:[REFERENCIA]],TablaControladores[SD])*$AA457:$AJ457)</f>
        <v>9</v>
      </c>
      <c r="Z457" s="14">
        <f>SUM(TablaSeleccionControladores[[#This Row],[EA]:[SD]])</f>
        <v>85</v>
      </c>
      <c r="AF457" s="14">
        <v>1</v>
      </c>
      <c r="AH457" s="14">
        <v>1</v>
      </c>
      <c r="AI457" s="14">
        <v>1</v>
      </c>
      <c r="AJ457" s="14">
        <v>2</v>
      </c>
    </row>
    <row r="458" spans="17:36" x14ac:dyDescent="0.25">
      <c r="Q458">
        <f t="shared" si="9"/>
        <v>348</v>
      </c>
      <c r="R458" t="s">
        <v>830</v>
      </c>
      <c r="S458">
        <f>SUM(TablaSeleccionControladores[[#This Row],[M4-CGE04060-0]:[M4-CGM09090-0H]])</f>
        <v>1</v>
      </c>
      <c r="T458" s="14" cm="1">
        <f t="array" ref="T458">SUM(_xlfn.XLOOKUP(TablaSeleccionControladores[[#Headers],[M4-CGE04060-0]:[M4-XPM18000-0]],TablaControladores[[REFERENCIA]:[REFERENCIA]],TablaControladores[EA])*$AA458:$AJ458)</f>
        <v>0</v>
      </c>
      <c r="U458" s="14" cm="1">
        <f t="array" ref="U458">SUM(_xlfn.XLOOKUP(TablaSeleccionControladores[[#Headers],[M4-CGE04060-0]:[M4-XPM18000-0]],TablaControladores[[REFERENCIA]:[REFERENCIA]],TablaControladores[EU])*$AA458:$AJ458)</f>
        <v>17</v>
      </c>
      <c r="V458" s="14" cm="1">
        <f t="array" ref="V458">SUM(_xlfn.XLOOKUP(TablaSeleccionControladores[[#Headers],[M4-CGE04060-0]:[M4-XPM18000-0]],TablaControladores[[REFERENCIA]:[REFERENCIA]],TablaControladores[ED])*$AA458:$AJ458)</f>
        <v>59</v>
      </c>
      <c r="W458" s="14" cm="1">
        <f t="array" ref="W458">SUM(_xlfn.XLOOKUP(TablaSeleccionControladores[[#Headers],[M4-CGE04060-0]:[M4-XPM18000-0]],TablaControladores[[REFERENCIA]:[REFERENCIA]],TablaControladores[SA])*$AA458:$AJ458)</f>
        <v>6</v>
      </c>
      <c r="X458" s="14" cm="1">
        <f t="array" ref="X458">SUM(_xlfn.XLOOKUP(TablaSeleccionControladores[[#Headers],[M4-CGE04060-0]:[M4-XPM18000-0]],TablaControladores[[REFERENCIA]:[REFERENCIA]],TablaControladores[SC])*$AA458:$AJ458)</f>
        <v>12</v>
      </c>
      <c r="Y458" s="14" cm="1">
        <f t="array" ref="Y458">SUM(_xlfn.XLOOKUP(TablaSeleccionControladores[[#Headers],[M4-CGE04060-0]:[M4-XPM18000-0]],TablaControladores[[REFERENCIA]:[REFERENCIA]],TablaControladores[SD])*$AA458:$AJ458)</f>
        <v>9</v>
      </c>
      <c r="Z458" s="14">
        <f>SUM(TablaSeleccionControladores[[#This Row],[EA]:[SD]])</f>
        <v>103</v>
      </c>
      <c r="AF458" s="14">
        <v>1</v>
      </c>
      <c r="AH458" s="14">
        <v>1</v>
      </c>
      <c r="AI458" s="14">
        <v>1</v>
      </c>
      <c r="AJ458" s="14">
        <v>3</v>
      </c>
    </row>
    <row r="459" spans="17:36" x14ac:dyDescent="0.25">
      <c r="Q459">
        <f t="shared" si="9"/>
        <v>349</v>
      </c>
      <c r="R459" t="s">
        <v>830</v>
      </c>
      <c r="S459">
        <f>SUM(TablaSeleccionControladores[[#This Row],[M4-CGE04060-0]:[M4-CGM09090-0H]])</f>
        <v>1</v>
      </c>
      <c r="T459" s="14" cm="1">
        <f t="array" ref="T459">SUM(_xlfn.XLOOKUP(TablaSeleccionControladores[[#Headers],[M4-CGE04060-0]:[M4-XPM18000-0]],TablaControladores[[REFERENCIA]:[REFERENCIA]],TablaControladores[EA])*$AA459:$AJ459)</f>
        <v>0</v>
      </c>
      <c r="U459" s="14" cm="1">
        <f t="array" ref="U459">SUM(_xlfn.XLOOKUP(TablaSeleccionControladores[[#Headers],[M4-CGE04060-0]:[M4-XPM18000-0]],TablaControladores[[REFERENCIA]:[REFERENCIA]],TablaControladores[EU])*$AA459:$AJ459)</f>
        <v>17</v>
      </c>
      <c r="V459" s="14" cm="1">
        <f t="array" ref="V459">SUM(_xlfn.XLOOKUP(TablaSeleccionControladores[[#Headers],[M4-CGE04060-0]:[M4-XPM18000-0]],TablaControladores[[REFERENCIA]:[REFERENCIA]],TablaControladores[ED])*$AA459:$AJ459)</f>
        <v>77</v>
      </c>
      <c r="W459" s="14" cm="1">
        <f t="array" ref="W459">SUM(_xlfn.XLOOKUP(TablaSeleccionControladores[[#Headers],[M4-CGE04060-0]:[M4-XPM18000-0]],TablaControladores[[REFERENCIA]:[REFERENCIA]],TablaControladores[SA])*$AA459:$AJ459)</f>
        <v>6</v>
      </c>
      <c r="X459" s="14" cm="1">
        <f t="array" ref="X459">SUM(_xlfn.XLOOKUP(TablaSeleccionControladores[[#Headers],[M4-CGE04060-0]:[M4-XPM18000-0]],TablaControladores[[REFERENCIA]:[REFERENCIA]],TablaControladores[SC])*$AA459:$AJ459)</f>
        <v>12</v>
      </c>
      <c r="Y459" s="14" cm="1">
        <f t="array" ref="Y459">SUM(_xlfn.XLOOKUP(TablaSeleccionControladores[[#Headers],[M4-CGE04060-0]:[M4-XPM18000-0]],TablaControladores[[REFERENCIA]:[REFERENCIA]],TablaControladores[SD])*$AA459:$AJ459)</f>
        <v>9</v>
      </c>
      <c r="Z459" s="14">
        <f>SUM(TablaSeleccionControladores[[#This Row],[EA]:[SD]])</f>
        <v>121</v>
      </c>
      <c r="AF459" s="14">
        <v>1</v>
      </c>
      <c r="AH459" s="14">
        <v>1</v>
      </c>
      <c r="AI459" s="14">
        <v>1</v>
      </c>
      <c r="AJ459" s="14">
        <v>4</v>
      </c>
    </row>
    <row r="460" spans="17:36" x14ac:dyDescent="0.25">
      <c r="Q460">
        <f t="shared" si="9"/>
        <v>350</v>
      </c>
      <c r="R460" t="s">
        <v>830</v>
      </c>
      <c r="S460">
        <f>SUM(TablaSeleccionControladores[[#This Row],[M4-CGE04060-0]:[M4-CGM09090-0H]])</f>
        <v>1</v>
      </c>
      <c r="T460" s="14" cm="1">
        <f t="array" ref="T460">SUM(_xlfn.XLOOKUP(TablaSeleccionControladores[[#Headers],[M4-CGE04060-0]:[M4-XPM18000-0]],TablaControladores[[REFERENCIA]:[REFERENCIA]],TablaControladores[EA])*$AA460:$AJ460)</f>
        <v>0</v>
      </c>
      <c r="U460" s="14" cm="1">
        <f t="array" ref="U460">SUM(_xlfn.XLOOKUP(TablaSeleccionControladores[[#Headers],[M4-CGE04060-0]:[M4-XPM18000-0]],TablaControladores[[REFERENCIA]:[REFERENCIA]],TablaControladores[EU])*$AA460:$AJ460)</f>
        <v>24</v>
      </c>
      <c r="V460" s="14" cm="1">
        <f t="array" ref="V460">SUM(_xlfn.XLOOKUP(TablaSeleccionControladores[[#Headers],[M4-CGE04060-0]:[M4-XPM18000-0]],TablaControladores[[REFERENCIA]:[REFERENCIA]],TablaControladores[ED])*$AA460:$AJ460)</f>
        <v>7</v>
      </c>
      <c r="W460" s="14" cm="1">
        <f t="array" ref="W460">SUM(_xlfn.XLOOKUP(TablaSeleccionControladores[[#Headers],[M4-CGE04060-0]:[M4-XPM18000-0]],TablaControladores[[REFERENCIA]:[REFERENCIA]],TablaControladores[SA])*$AA460:$AJ460)</f>
        <v>8</v>
      </c>
      <c r="X460" s="14" cm="1">
        <f t="array" ref="X460">SUM(_xlfn.XLOOKUP(TablaSeleccionControladores[[#Headers],[M4-CGE04060-0]:[M4-XPM18000-0]],TablaControladores[[REFERENCIA]:[REFERENCIA]],TablaControladores[SC])*$AA460:$AJ460)</f>
        <v>16</v>
      </c>
      <c r="Y460" s="14" cm="1">
        <f t="array" ref="Y460">SUM(_xlfn.XLOOKUP(TablaSeleccionControladores[[#Headers],[M4-CGE04060-0]:[M4-XPM18000-0]],TablaControladores[[REFERENCIA]:[REFERENCIA]],TablaControladores[SD])*$AA460:$AJ460)</f>
        <v>12</v>
      </c>
      <c r="Z460" s="14">
        <f>SUM(TablaSeleccionControladores[[#This Row],[EA]:[SD]])</f>
        <v>67</v>
      </c>
      <c r="AF460" s="14">
        <v>1</v>
      </c>
      <c r="AH460" s="14">
        <v>1</v>
      </c>
      <c r="AI460" s="14">
        <v>2</v>
      </c>
      <c r="AJ460" s="14">
        <v>0</v>
      </c>
    </row>
    <row r="461" spans="17:36" x14ac:dyDescent="0.25">
      <c r="Q461">
        <f t="shared" si="9"/>
        <v>351</v>
      </c>
      <c r="R461" t="s">
        <v>830</v>
      </c>
      <c r="S461">
        <f>SUM(TablaSeleccionControladores[[#This Row],[M4-CGE04060-0]:[M4-CGM09090-0H]])</f>
        <v>1</v>
      </c>
      <c r="T461" s="14" cm="1">
        <f t="array" ref="T461">SUM(_xlfn.XLOOKUP(TablaSeleccionControladores[[#Headers],[M4-CGE04060-0]:[M4-XPM18000-0]],TablaControladores[[REFERENCIA]:[REFERENCIA]],TablaControladores[EA])*$AA461:$AJ461)</f>
        <v>0</v>
      </c>
      <c r="U461" s="14" cm="1">
        <f t="array" ref="U461">SUM(_xlfn.XLOOKUP(TablaSeleccionControladores[[#Headers],[M4-CGE04060-0]:[M4-XPM18000-0]],TablaControladores[[REFERENCIA]:[REFERENCIA]],TablaControladores[EU])*$AA461:$AJ461)</f>
        <v>24</v>
      </c>
      <c r="V461" s="14" cm="1">
        <f t="array" ref="V461">SUM(_xlfn.XLOOKUP(TablaSeleccionControladores[[#Headers],[M4-CGE04060-0]:[M4-XPM18000-0]],TablaControladores[[REFERENCIA]:[REFERENCIA]],TablaControladores[ED])*$AA461:$AJ461)</f>
        <v>25</v>
      </c>
      <c r="W461" s="14" cm="1">
        <f t="array" ref="W461">SUM(_xlfn.XLOOKUP(TablaSeleccionControladores[[#Headers],[M4-CGE04060-0]:[M4-XPM18000-0]],TablaControladores[[REFERENCIA]:[REFERENCIA]],TablaControladores[SA])*$AA461:$AJ461)</f>
        <v>8</v>
      </c>
      <c r="X461" s="14" cm="1">
        <f t="array" ref="X461">SUM(_xlfn.XLOOKUP(TablaSeleccionControladores[[#Headers],[M4-CGE04060-0]:[M4-XPM18000-0]],TablaControladores[[REFERENCIA]:[REFERENCIA]],TablaControladores[SC])*$AA461:$AJ461)</f>
        <v>16</v>
      </c>
      <c r="Y461" s="14" cm="1">
        <f t="array" ref="Y461">SUM(_xlfn.XLOOKUP(TablaSeleccionControladores[[#Headers],[M4-CGE04060-0]:[M4-XPM18000-0]],TablaControladores[[REFERENCIA]:[REFERENCIA]],TablaControladores[SD])*$AA461:$AJ461)</f>
        <v>12</v>
      </c>
      <c r="Z461" s="14">
        <f>SUM(TablaSeleccionControladores[[#This Row],[EA]:[SD]])</f>
        <v>85</v>
      </c>
      <c r="AF461" s="14">
        <v>1</v>
      </c>
      <c r="AH461" s="14">
        <v>1</v>
      </c>
      <c r="AI461" s="14">
        <v>2</v>
      </c>
      <c r="AJ461" s="14">
        <v>1</v>
      </c>
    </row>
    <row r="462" spans="17:36" x14ac:dyDescent="0.25">
      <c r="Q462">
        <f t="shared" si="9"/>
        <v>352</v>
      </c>
      <c r="R462" t="s">
        <v>830</v>
      </c>
      <c r="S462">
        <f>SUM(TablaSeleccionControladores[[#This Row],[M4-CGE04060-0]:[M4-CGM09090-0H]])</f>
        <v>1</v>
      </c>
      <c r="T462" s="14" cm="1">
        <f t="array" ref="T462">SUM(_xlfn.XLOOKUP(TablaSeleccionControladores[[#Headers],[M4-CGE04060-0]:[M4-XPM18000-0]],TablaControladores[[REFERENCIA]:[REFERENCIA]],TablaControladores[EA])*$AA462:$AJ462)</f>
        <v>0</v>
      </c>
      <c r="U462" s="14" cm="1">
        <f t="array" ref="U462">SUM(_xlfn.XLOOKUP(TablaSeleccionControladores[[#Headers],[M4-CGE04060-0]:[M4-XPM18000-0]],TablaControladores[[REFERENCIA]:[REFERENCIA]],TablaControladores[EU])*$AA462:$AJ462)</f>
        <v>24</v>
      </c>
      <c r="V462" s="14" cm="1">
        <f t="array" ref="V462">SUM(_xlfn.XLOOKUP(TablaSeleccionControladores[[#Headers],[M4-CGE04060-0]:[M4-XPM18000-0]],TablaControladores[[REFERENCIA]:[REFERENCIA]],TablaControladores[ED])*$AA462:$AJ462)</f>
        <v>43</v>
      </c>
      <c r="W462" s="14" cm="1">
        <f t="array" ref="W462">SUM(_xlfn.XLOOKUP(TablaSeleccionControladores[[#Headers],[M4-CGE04060-0]:[M4-XPM18000-0]],TablaControladores[[REFERENCIA]:[REFERENCIA]],TablaControladores[SA])*$AA462:$AJ462)</f>
        <v>8</v>
      </c>
      <c r="X462" s="14" cm="1">
        <f t="array" ref="X462">SUM(_xlfn.XLOOKUP(TablaSeleccionControladores[[#Headers],[M4-CGE04060-0]:[M4-XPM18000-0]],TablaControladores[[REFERENCIA]:[REFERENCIA]],TablaControladores[SC])*$AA462:$AJ462)</f>
        <v>16</v>
      </c>
      <c r="Y462" s="14" cm="1">
        <f t="array" ref="Y462">SUM(_xlfn.XLOOKUP(TablaSeleccionControladores[[#Headers],[M4-CGE04060-0]:[M4-XPM18000-0]],TablaControladores[[REFERENCIA]:[REFERENCIA]],TablaControladores[SD])*$AA462:$AJ462)</f>
        <v>12</v>
      </c>
      <c r="Z462" s="14">
        <f>SUM(TablaSeleccionControladores[[#This Row],[EA]:[SD]])</f>
        <v>103</v>
      </c>
      <c r="AF462" s="14">
        <v>1</v>
      </c>
      <c r="AH462" s="14">
        <v>1</v>
      </c>
      <c r="AI462" s="14">
        <v>2</v>
      </c>
      <c r="AJ462" s="14">
        <v>2</v>
      </c>
    </row>
    <row r="463" spans="17:36" x14ac:dyDescent="0.25">
      <c r="Q463">
        <f t="shared" si="9"/>
        <v>353</v>
      </c>
      <c r="R463" t="s">
        <v>830</v>
      </c>
      <c r="S463">
        <f>SUM(TablaSeleccionControladores[[#This Row],[M4-CGE04060-0]:[M4-CGM09090-0H]])</f>
        <v>1</v>
      </c>
      <c r="T463" s="14" cm="1">
        <f t="array" ref="T463">SUM(_xlfn.XLOOKUP(TablaSeleccionControladores[[#Headers],[M4-CGE04060-0]:[M4-XPM18000-0]],TablaControladores[[REFERENCIA]:[REFERENCIA]],TablaControladores[EA])*$AA463:$AJ463)</f>
        <v>0</v>
      </c>
      <c r="U463" s="14" cm="1">
        <f t="array" ref="U463">SUM(_xlfn.XLOOKUP(TablaSeleccionControladores[[#Headers],[M4-CGE04060-0]:[M4-XPM18000-0]],TablaControladores[[REFERENCIA]:[REFERENCIA]],TablaControladores[EU])*$AA463:$AJ463)</f>
        <v>24</v>
      </c>
      <c r="V463" s="14" cm="1">
        <f t="array" ref="V463">SUM(_xlfn.XLOOKUP(TablaSeleccionControladores[[#Headers],[M4-CGE04060-0]:[M4-XPM18000-0]],TablaControladores[[REFERENCIA]:[REFERENCIA]],TablaControladores[ED])*$AA463:$AJ463)</f>
        <v>61</v>
      </c>
      <c r="W463" s="14" cm="1">
        <f t="array" ref="W463">SUM(_xlfn.XLOOKUP(TablaSeleccionControladores[[#Headers],[M4-CGE04060-0]:[M4-XPM18000-0]],TablaControladores[[REFERENCIA]:[REFERENCIA]],TablaControladores[SA])*$AA463:$AJ463)</f>
        <v>8</v>
      </c>
      <c r="X463" s="14" cm="1">
        <f t="array" ref="X463">SUM(_xlfn.XLOOKUP(TablaSeleccionControladores[[#Headers],[M4-CGE04060-0]:[M4-XPM18000-0]],TablaControladores[[REFERENCIA]:[REFERENCIA]],TablaControladores[SC])*$AA463:$AJ463)</f>
        <v>16</v>
      </c>
      <c r="Y463" s="14" cm="1">
        <f t="array" ref="Y463">SUM(_xlfn.XLOOKUP(TablaSeleccionControladores[[#Headers],[M4-CGE04060-0]:[M4-XPM18000-0]],TablaControladores[[REFERENCIA]:[REFERENCIA]],TablaControladores[SD])*$AA463:$AJ463)</f>
        <v>12</v>
      </c>
      <c r="Z463" s="14">
        <f>SUM(TablaSeleccionControladores[[#This Row],[EA]:[SD]])</f>
        <v>121</v>
      </c>
      <c r="AF463" s="14">
        <v>1</v>
      </c>
      <c r="AH463" s="14">
        <v>1</v>
      </c>
      <c r="AI463" s="14">
        <v>2</v>
      </c>
      <c r="AJ463" s="14">
        <v>3</v>
      </c>
    </row>
    <row r="464" spans="17:36" x14ac:dyDescent="0.25">
      <c r="Q464">
        <f t="shared" si="9"/>
        <v>354</v>
      </c>
      <c r="R464" t="s">
        <v>830</v>
      </c>
      <c r="S464">
        <f>SUM(TablaSeleccionControladores[[#This Row],[M4-CGE04060-0]:[M4-CGM09090-0H]])</f>
        <v>1</v>
      </c>
      <c r="T464" s="14" cm="1">
        <f t="array" ref="T464">SUM(_xlfn.XLOOKUP(TablaSeleccionControladores[[#Headers],[M4-CGE04060-0]:[M4-XPM18000-0]],TablaControladores[[REFERENCIA]:[REFERENCIA]],TablaControladores[EA])*$AA464:$AJ464)</f>
        <v>0</v>
      </c>
      <c r="U464" s="14" cm="1">
        <f t="array" ref="U464">SUM(_xlfn.XLOOKUP(TablaSeleccionControladores[[#Headers],[M4-CGE04060-0]:[M4-XPM18000-0]],TablaControladores[[REFERENCIA]:[REFERENCIA]],TablaControladores[EU])*$AA464:$AJ464)</f>
        <v>31</v>
      </c>
      <c r="V464" s="14" cm="1">
        <f t="array" ref="V464">SUM(_xlfn.XLOOKUP(TablaSeleccionControladores[[#Headers],[M4-CGE04060-0]:[M4-XPM18000-0]],TablaControladores[[REFERENCIA]:[REFERENCIA]],TablaControladores[ED])*$AA464:$AJ464)</f>
        <v>9</v>
      </c>
      <c r="W464" s="14" cm="1">
        <f t="array" ref="W464">SUM(_xlfn.XLOOKUP(TablaSeleccionControladores[[#Headers],[M4-CGE04060-0]:[M4-XPM18000-0]],TablaControladores[[REFERENCIA]:[REFERENCIA]],TablaControladores[SA])*$AA464:$AJ464)</f>
        <v>10</v>
      </c>
      <c r="X464" s="14" cm="1">
        <f t="array" ref="X464">SUM(_xlfn.XLOOKUP(TablaSeleccionControladores[[#Headers],[M4-CGE04060-0]:[M4-XPM18000-0]],TablaControladores[[REFERENCIA]:[REFERENCIA]],TablaControladores[SC])*$AA464:$AJ464)</f>
        <v>20</v>
      </c>
      <c r="Y464" s="14" cm="1">
        <f t="array" ref="Y464">SUM(_xlfn.XLOOKUP(TablaSeleccionControladores[[#Headers],[M4-CGE04060-0]:[M4-XPM18000-0]],TablaControladores[[REFERENCIA]:[REFERENCIA]],TablaControladores[SD])*$AA464:$AJ464)</f>
        <v>15</v>
      </c>
      <c r="Z464" s="14">
        <f>SUM(TablaSeleccionControladores[[#This Row],[EA]:[SD]])</f>
        <v>85</v>
      </c>
      <c r="AF464" s="14">
        <v>1</v>
      </c>
      <c r="AH464" s="14">
        <v>1</v>
      </c>
      <c r="AI464" s="14">
        <v>3</v>
      </c>
      <c r="AJ464" s="14">
        <v>0</v>
      </c>
    </row>
    <row r="465" spans="17:36" x14ac:dyDescent="0.25">
      <c r="Q465">
        <f t="shared" si="9"/>
        <v>355</v>
      </c>
      <c r="R465" t="s">
        <v>830</v>
      </c>
      <c r="S465">
        <f>SUM(TablaSeleccionControladores[[#This Row],[M4-CGE04060-0]:[M4-CGM09090-0H]])</f>
        <v>1</v>
      </c>
      <c r="T465" s="14" cm="1">
        <f t="array" ref="T465">SUM(_xlfn.XLOOKUP(TablaSeleccionControladores[[#Headers],[M4-CGE04060-0]:[M4-XPM18000-0]],TablaControladores[[REFERENCIA]:[REFERENCIA]],TablaControladores[EA])*$AA465:$AJ465)</f>
        <v>0</v>
      </c>
      <c r="U465" s="14" cm="1">
        <f t="array" ref="U465">SUM(_xlfn.XLOOKUP(TablaSeleccionControladores[[#Headers],[M4-CGE04060-0]:[M4-XPM18000-0]],TablaControladores[[REFERENCIA]:[REFERENCIA]],TablaControladores[EU])*$AA465:$AJ465)</f>
        <v>31</v>
      </c>
      <c r="V465" s="14" cm="1">
        <f t="array" ref="V465">SUM(_xlfn.XLOOKUP(TablaSeleccionControladores[[#Headers],[M4-CGE04060-0]:[M4-XPM18000-0]],TablaControladores[[REFERENCIA]:[REFERENCIA]],TablaControladores[ED])*$AA465:$AJ465)</f>
        <v>27</v>
      </c>
      <c r="W465" s="14" cm="1">
        <f t="array" ref="W465">SUM(_xlfn.XLOOKUP(TablaSeleccionControladores[[#Headers],[M4-CGE04060-0]:[M4-XPM18000-0]],TablaControladores[[REFERENCIA]:[REFERENCIA]],TablaControladores[SA])*$AA465:$AJ465)</f>
        <v>10</v>
      </c>
      <c r="X465" s="14" cm="1">
        <f t="array" ref="X465">SUM(_xlfn.XLOOKUP(TablaSeleccionControladores[[#Headers],[M4-CGE04060-0]:[M4-XPM18000-0]],TablaControladores[[REFERENCIA]:[REFERENCIA]],TablaControladores[SC])*$AA465:$AJ465)</f>
        <v>20</v>
      </c>
      <c r="Y465" s="14" cm="1">
        <f t="array" ref="Y465">SUM(_xlfn.XLOOKUP(TablaSeleccionControladores[[#Headers],[M4-CGE04060-0]:[M4-XPM18000-0]],TablaControladores[[REFERENCIA]:[REFERENCIA]],TablaControladores[SD])*$AA465:$AJ465)</f>
        <v>15</v>
      </c>
      <c r="Z465" s="14">
        <f>SUM(TablaSeleccionControladores[[#This Row],[EA]:[SD]])</f>
        <v>103</v>
      </c>
      <c r="AF465" s="14">
        <v>1</v>
      </c>
      <c r="AH465" s="14">
        <v>1</v>
      </c>
      <c r="AI465" s="14">
        <v>3</v>
      </c>
      <c r="AJ465" s="14">
        <v>1</v>
      </c>
    </row>
    <row r="466" spans="17:36" x14ac:dyDescent="0.25">
      <c r="Q466">
        <f t="shared" si="9"/>
        <v>356</v>
      </c>
      <c r="R466" t="s">
        <v>830</v>
      </c>
      <c r="S466">
        <f>SUM(TablaSeleccionControladores[[#This Row],[M4-CGE04060-0]:[M4-CGM09090-0H]])</f>
        <v>1</v>
      </c>
      <c r="T466" s="14" cm="1">
        <f t="array" ref="T466">SUM(_xlfn.XLOOKUP(TablaSeleccionControladores[[#Headers],[M4-CGE04060-0]:[M4-XPM18000-0]],TablaControladores[[REFERENCIA]:[REFERENCIA]],TablaControladores[EA])*$AA466:$AJ466)</f>
        <v>0</v>
      </c>
      <c r="U466" s="14" cm="1">
        <f t="array" ref="U466">SUM(_xlfn.XLOOKUP(TablaSeleccionControladores[[#Headers],[M4-CGE04060-0]:[M4-XPM18000-0]],TablaControladores[[REFERENCIA]:[REFERENCIA]],TablaControladores[EU])*$AA466:$AJ466)</f>
        <v>31</v>
      </c>
      <c r="V466" s="14" cm="1">
        <f t="array" ref="V466">SUM(_xlfn.XLOOKUP(TablaSeleccionControladores[[#Headers],[M4-CGE04060-0]:[M4-XPM18000-0]],TablaControladores[[REFERENCIA]:[REFERENCIA]],TablaControladores[ED])*$AA466:$AJ466)</f>
        <v>45</v>
      </c>
      <c r="W466" s="14" cm="1">
        <f t="array" ref="W466">SUM(_xlfn.XLOOKUP(TablaSeleccionControladores[[#Headers],[M4-CGE04060-0]:[M4-XPM18000-0]],TablaControladores[[REFERENCIA]:[REFERENCIA]],TablaControladores[SA])*$AA466:$AJ466)</f>
        <v>10</v>
      </c>
      <c r="X466" s="14" cm="1">
        <f t="array" ref="X466">SUM(_xlfn.XLOOKUP(TablaSeleccionControladores[[#Headers],[M4-CGE04060-0]:[M4-XPM18000-0]],TablaControladores[[REFERENCIA]:[REFERENCIA]],TablaControladores[SC])*$AA466:$AJ466)</f>
        <v>20</v>
      </c>
      <c r="Y466" s="14" cm="1">
        <f t="array" ref="Y466">SUM(_xlfn.XLOOKUP(TablaSeleccionControladores[[#Headers],[M4-CGE04060-0]:[M4-XPM18000-0]],TablaControladores[[REFERENCIA]:[REFERENCIA]],TablaControladores[SD])*$AA466:$AJ466)</f>
        <v>15</v>
      </c>
      <c r="Z466" s="14">
        <f>SUM(TablaSeleccionControladores[[#This Row],[EA]:[SD]])</f>
        <v>121</v>
      </c>
      <c r="AF466" s="14">
        <v>1</v>
      </c>
      <c r="AH466" s="14">
        <v>1</v>
      </c>
      <c r="AI466" s="14">
        <v>3</v>
      </c>
      <c r="AJ466" s="14">
        <v>2</v>
      </c>
    </row>
    <row r="467" spans="17:36" x14ac:dyDescent="0.25">
      <c r="Q467">
        <f t="shared" si="9"/>
        <v>357</v>
      </c>
      <c r="R467" t="s">
        <v>830</v>
      </c>
      <c r="S467">
        <f>SUM(TablaSeleccionControladores[[#This Row],[M4-CGE04060-0]:[M4-CGM09090-0H]])</f>
        <v>1</v>
      </c>
      <c r="T467" s="14" cm="1">
        <f t="array" ref="T467">SUM(_xlfn.XLOOKUP(TablaSeleccionControladores[[#Headers],[M4-CGE04060-0]:[M4-XPM18000-0]],TablaControladores[[REFERENCIA]:[REFERENCIA]],TablaControladores[EA])*$AA467:$AJ467)</f>
        <v>0</v>
      </c>
      <c r="U467" s="14" cm="1">
        <f t="array" ref="U467">SUM(_xlfn.XLOOKUP(TablaSeleccionControladores[[#Headers],[M4-CGE04060-0]:[M4-XPM18000-0]],TablaControladores[[REFERENCIA]:[REFERENCIA]],TablaControladores[EU])*$AA467:$AJ467)</f>
        <v>38</v>
      </c>
      <c r="V467" s="14" cm="1">
        <f t="array" ref="V467">SUM(_xlfn.XLOOKUP(TablaSeleccionControladores[[#Headers],[M4-CGE04060-0]:[M4-XPM18000-0]],TablaControladores[[REFERENCIA]:[REFERENCIA]],TablaControladores[ED])*$AA467:$AJ467)</f>
        <v>11</v>
      </c>
      <c r="W467" s="14" cm="1">
        <f t="array" ref="W467">SUM(_xlfn.XLOOKUP(TablaSeleccionControladores[[#Headers],[M4-CGE04060-0]:[M4-XPM18000-0]],TablaControladores[[REFERENCIA]:[REFERENCIA]],TablaControladores[SA])*$AA467:$AJ467)</f>
        <v>12</v>
      </c>
      <c r="X467" s="14" cm="1">
        <f t="array" ref="X467">SUM(_xlfn.XLOOKUP(TablaSeleccionControladores[[#Headers],[M4-CGE04060-0]:[M4-XPM18000-0]],TablaControladores[[REFERENCIA]:[REFERENCIA]],TablaControladores[SC])*$AA467:$AJ467)</f>
        <v>24</v>
      </c>
      <c r="Y467" s="14" cm="1">
        <f t="array" ref="Y467">SUM(_xlfn.XLOOKUP(TablaSeleccionControladores[[#Headers],[M4-CGE04060-0]:[M4-XPM18000-0]],TablaControladores[[REFERENCIA]:[REFERENCIA]],TablaControladores[SD])*$AA467:$AJ467)</f>
        <v>18</v>
      </c>
      <c r="Z467" s="14">
        <f>SUM(TablaSeleccionControladores[[#This Row],[EA]:[SD]])</f>
        <v>103</v>
      </c>
      <c r="AF467" s="14">
        <v>1</v>
      </c>
      <c r="AH467" s="14">
        <v>1</v>
      </c>
      <c r="AI467" s="14">
        <v>4</v>
      </c>
      <c r="AJ467" s="14">
        <v>0</v>
      </c>
    </row>
    <row r="468" spans="17:36" x14ac:dyDescent="0.25">
      <c r="Q468">
        <f t="shared" si="9"/>
        <v>358</v>
      </c>
      <c r="R468" t="s">
        <v>830</v>
      </c>
      <c r="S468">
        <f>SUM(TablaSeleccionControladores[[#This Row],[M4-CGE04060-0]:[M4-CGM09090-0H]])</f>
        <v>1</v>
      </c>
      <c r="T468" s="14" cm="1">
        <f t="array" ref="T468">SUM(_xlfn.XLOOKUP(TablaSeleccionControladores[[#Headers],[M4-CGE04060-0]:[M4-XPM18000-0]],TablaControladores[[REFERENCIA]:[REFERENCIA]],TablaControladores[EA])*$AA468:$AJ468)</f>
        <v>0</v>
      </c>
      <c r="U468" s="14" cm="1">
        <f t="array" ref="U468">SUM(_xlfn.XLOOKUP(TablaSeleccionControladores[[#Headers],[M4-CGE04060-0]:[M4-XPM18000-0]],TablaControladores[[REFERENCIA]:[REFERENCIA]],TablaControladores[EU])*$AA468:$AJ468)</f>
        <v>38</v>
      </c>
      <c r="V468" s="14" cm="1">
        <f t="array" ref="V468">SUM(_xlfn.XLOOKUP(TablaSeleccionControladores[[#Headers],[M4-CGE04060-0]:[M4-XPM18000-0]],TablaControladores[[REFERENCIA]:[REFERENCIA]],TablaControladores[ED])*$AA468:$AJ468)</f>
        <v>29</v>
      </c>
      <c r="W468" s="14" cm="1">
        <f t="array" ref="W468">SUM(_xlfn.XLOOKUP(TablaSeleccionControladores[[#Headers],[M4-CGE04060-0]:[M4-XPM18000-0]],TablaControladores[[REFERENCIA]:[REFERENCIA]],TablaControladores[SA])*$AA468:$AJ468)</f>
        <v>12</v>
      </c>
      <c r="X468" s="14" cm="1">
        <f t="array" ref="X468">SUM(_xlfn.XLOOKUP(TablaSeleccionControladores[[#Headers],[M4-CGE04060-0]:[M4-XPM18000-0]],TablaControladores[[REFERENCIA]:[REFERENCIA]],TablaControladores[SC])*$AA468:$AJ468)</f>
        <v>24</v>
      </c>
      <c r="Y468" s="14" cm="1">
        <f t="array" ref="Y468">SUM(_xlfn.XLOOKUP(TablaSeleccionControladores[[#Headers],[M4-CGE04060-0]:[M4-XPM18000-0]],TablaControladores[[REFERENCIA]:[REFERENCIA]],TablaControladores[SD])*$AA468:$AJ468)</f>
        <v>18</v>
      </c>
      <c r="Z468" s="14">
        <f>SUM(TablaSeleccionControladores[[#This Row],[EA]:[SD]])</f>
        <v>121</v>
      </c>
      <c r="AF468" s="14">
        <v>1</v>
      </c>
      <c r="AH468" s="14">
        <v>1</v>
      </c>
      <c r="AI468" s="14">
        <v>4</v>
      </c>
      <c r="AJ468" s="14">
        <v>1</v>
      </c>
    </row>
    <row r="469" spans="17:36" x14ac:dyDescent="0.25">
      <c r="Q469">
        <f t="shared" si="9"/>
        <v>359</v>
      </c>
      <c r="R469" t="s">
        <v>830</v>
      </c>
      <c r="S469">
        <f>SUM(TablaSeleccionControladores[[#This Row],[M4-CGE04060-0]:[M4-CGM09090-0H]])</f>
        <v>1</v>
      </c>
      <c r="T469" s="14" cm="1">
        <f t="array" ref="T469">SUM(_xlfn.XLOOKUP(TablaSeleccionControladores[[#Headers],[M4-CGE04060-0]:[M4-XPM18000-0]],TablaControladores[[REFERENCIA]:[REFERENCIA]],TablaControladores[EA])*$AA469:$AJ469)</f>
        <v>0</v>
      </c>
      <c r="U469" s="14" cm="1">
        <f t="array" ref="U469">SUM(_xlfn.XLOOKUP(TablaSeleccionControladores[[#Headers],[M4-CGE04060-0]:[M4-XPM18000-0]],TablaControladores[[REFERENCIA]:[REFERENCIA]],TablaControladores[EU])*$AA469:$AJ469)</f>
        <v>13</v>
      </c>
      <c r="V469" s="14" cm="1">
        <f t="array" ref="V469">SUM(_xlfn.XLOOKUP(TablaSeleccionControladores[[#Headers],[M4-CGE04060-0]:[M4-XPM18000-0]],TablaControladores[[REFERENCIA]:[REFERENCIA]],TablaControladores[ED])*$AA469:$AJ469)</f>
        <v>4</v>
      </c>
      <c r="W469" s="14" cm="1">
        <f t="array" ref="W469">SUM(_xlfn.XLOOKUP(TablaSeleccionControladores[[#Headers],[M4-CGE04060-0]:[M4-XPM18000-0]],TablaControladores[[REFERENCIA]:[REFERENCIA]],TablaControladores[SA])*$AA469:$AJ469)</f>
        <v>6</v>
      </c>
      <c r="X469" s="14" cm="1">
        <f t="array" ref="X469">SUM(_xlfn.XLOOKUP(TablaSeleccionControladores[[#Headers],[M4-CGE04060-0]:[M4-XPM18000-0]],TablaControladores[[REFERENCIA]:[REFERENCIA]],TablaControladores[SC])*$AA469:$AJ469)</f>
        <v>12</v>
      </c>
      <c r="Y469" s="14" cm="1">
        <f t="array" ref="Y469">SUM(_xlfn.XLOOKUP(TablaSeleccionControladores[[#Headers],[M4-CGE04060-0]:[M4-XPM18000-0]],TablaControladores[[REFERENCIA]:[REFERENCIA]],TablaControladores[SD])*$AA469:$AJ469)</f>
        <v>9</v>
      </c>
      <c r="Z469" s="14">
        <f>SUM(TablaSeleccionControladores[[#This Row],[EA]:[SD]])</f>
        <v>44</v>
      </c>
      <c r="AF469" s="14">
        <v>1</v>
      </c>
      <c r="AH469" s="14">
        <v>2</v>
      </c>
      <c r="AI469" s="14">
        <v>0</v>
      </c>
      <c r="AJ469" s="14">
        <v>0</v>
      </c>
    </row>
    <row r="470" spans="17:36" x14ac:dyDescent="0.25">
      <c r="Q470">
        <f t="shared" si="9"/>
        <v>360</v>
      </c>
      <c r="R470" t="s">
        <v>830</v>
      </c>
      <c r="S470">
        <f>SUM(TablaSeleccionControladores[[#This Row],[M4-CGE04060-0]:[M4-CGM09090-0H]])</f>
        <v>1</v>
      </c>
      <c r="T470" s="14" cm="1">
        <f t="array" ref="T470">SUM(_xlfn.XLOOKUP(TablaSeleccionControladores[[#Headers],[M4-CGE04060-0]:[M4-XPM18000-0]],TablaControladores[[REFERENCIA]:[REFERENCIA]],TablaControladores[EA])*$AA470:$AJ470)</f>
        <v>0</v>
      </c>
      <c r="U470" s="14" cm="1">
        <f t="array" ref="U470">SUM(_xlfn.XLOOKUP(TablaSeleccionControladores[[#Headers],[M4-CGE04060-0]:[M4-XPM18000-0]],TablaControladores[[REFERENCIA]:[REFERENCIA]],TablaControladores[EU])*$AA470:$AJ470)</f>
        <v>13</v>
      </c>
      <c r="V470" s="14" cm="1">
        <f t="array" ref="V470">SUM(_xlfn.XLOOKUP(TablaSeleccionControladores[[#Headers],[M4-CGE04060-0]:[M4-XPM18000-0]],TablaControladores[[REFERENCIA]:[REFERENCIA]],TablaControladores[ED])*$AA470:$AJ470)</f>
        <v>22</v>
      </c>
      <c r="W470" s="14" cm="1">
        <f t="array" ref="W470">SUM(_xlfn.XLOOKUP(TablaSeleccionControladores[[#Headers],[M4-CGE04060-0]:[M4-XPM18000-0]],TablaControladores[[REFERENCIA]:[REFERENCIA]],TablaControladores[SA])*$AA470:$AJ470)</f>
        <v>6</v>
      </c>
      <c r="X470" s="14" cm="1">
        <f t="array" ref="X470">SUM(_xlfn.XLOOKUP(TablaSeleccionControladores[[#Headers],[M4-CGE04060-0]:[M4-XPM18000-0]],TablaControladores[[REFERENCIA]:[REFERENCIA]],TablaControladores[SC])*$AA470:$AJ470)</f>
        <v>12</v>
      </c>
      <c r="Y470" s="14" cm="1">
        <f t="array" ref="Y470">SUM(_xlfn.XLOOKUP(TablaSeleccionControladores[[#Headers],[M4-CGE04060-0]:[M4-XPM18000-0]],TablaControladores[[REFERENCIA]:[REFERENCIA]],TablaControladores[SD])*$AA470:$AJ470)</f>
        <v>9</v>
      </c>
      <c r="Z470" s="14">
        <f>SUM(TablaSeleccionControladores[[#This Row],[EA]:[SD]])</f>
        <v>62</v>
      </c>
      <c r="AF470" s="14">
        <v>1</v>
      </c>
      <c r="AH470" s="14">
        <v>2</v>
      </c>
      <c r="AI470" s="14">
        <v>0</v>
      </c>
      <c r="AJ470" s="14">
        <v>1</v>
      </c>
    </row>
    <row r="471" spans="17:36" x14ac:dyDescent="0.25">
      <c r="Q471">
        <f t="shared" si="9"/>
        <v>361</v>
      </c>
      <c r="R471" t="s">
        <v>830</v>
      </c>
      <c r="S471">
        <f>SUM(TablaSeleccionControladores[[#This Row],[M4-CGE04060-0]:[M4-CGM09090-0H]])</f>
        <v>1</v>
      </c>
      <c r="T471" s="14" cm="1">
        <f t="array" ref="T471">SUM(_xlfn.XLOOKUP(TablaSeleccionControladores[[#Headers],[M4-CGE04060-0]:[M4-XPM18000-0]],TablaControladores[[REFERENCIA]:[REFERENCIA]],TablaControladores[EA])*$AA471:$AJ471)</f>
        <v>0</v>
      </c>
      <c r="U471" s="14" cm="1">
        <f t="array" ref="U471">SUM(_xlfn.XLOOKUP(TablaSeleccionControladores[[#Headers],[M4-CGE04060-0]:[M4-XPM18000-0]],TablaControladores[[REFERENCIA]:[REFERENCIA]],TablaControladores[EU])*$AA471:$AJ471)</f>
        <v>13</v>
      </c>
      <c r="V471" s="14" cm="1">
        <f t="array" ref="V471">SUM(_xlfn.XLOOKUP(TablaSeleccionControladores[[#Headers],[M4-CGE04060-0]:[M4-XPM18000-0]],TablaControladores[[REFERENCIA]:[REFERENCIA]],TablaControladores[ED])*$AA471:$AJ471)</f>
        <v>40</v>
      </c>
      <c r="W471" s="14" cm="1">
        <f t="array" ref="W471">SUM(_xlfn.XLOOKUP(TablaSeleccionControladores[[#Headers],[M4-CGE04060-0]:[M4-XPM18000-0]],TablaControladores[[REFERENCIA]:[REFERENCIA]],TablaControladores[SA])*$AA471:$AJ471)</f>
        <v>6</v>
      </c>
      <c r="X471" s="14" cm="1">
        <f t="array" ref="X471">SUM(_xlfn.XLOOKUP(TablaSeleccionControladores[[#Headers],[M4-CGE04060-0]:[M4-XPM18000-0]],TablaControladores[[REFERENCIA]:[REFERENCIA]],TablaControladores[SC])*$AA471:$AJ471)</f>
        <v>12</v>
      </c>
      <c r="Y471" s="14" cm="1">
        <f t="array" ref="Y471">SUM(_xlfn.XLOOKUP(TablaSeleccionControladores[[#Headers],[M4-CGE04060-0]:[M4-XPM18000-0]],TablaControladores[[REFERENCIA]:[REFERENCIA]],TablaControladores[SD])*$AA471:$AJ471)</f>
        <v>9</v>
      </c>
      <c r="Z471" s="14">
        <f>SUM(TablaSeleccionControladores[[#This Row],[EA]:[SD]])</f>
        <v>80</v>
      </c>
      <c r="AF471" s="14">
        <v>1</v>
      </c>
      <c r="AH471" s="14">
        <v>2</v>
      </c>
      <c r="AI471" s="14">
        <v>0</v>
      </c>
      <c r="AJ471" s="14">
        <v>2</v>
      </c>
    </row>
    <row r="472" spans="17:36" x14ac:dyDescent="0.25">
      <c r="Q472">
        <f t="shared" si="9"/>
        <v>362</v>
      </c>
      <c r="R472" t="s">
        <v>830</v>
      </c>
      <c r="S472">
        <f>SUM(TablaSeleccionControladores[[#This Row],[M4-CGE04060-0]:[M4-CGM09090-0H]])</f>
        <v>1</v>
      </c>
      <c r="T472" s="14" cm="1">
        <f t="array" ref="T472">SUM(_xlfn.XLOOKUP(TablaSeleccionControladores[[#Headers],[M4-CGE04060-0]:[M4-XPM18000-0]],TablaControladores[[REFERENCIA]:[REFERENCIA]],TablaControladores[EA])*$AA472:$AJ472)</f>
        <v>0</v>
      </c>
      <c r="U472" s="14" cm="1">
        <f t="array" ref="U472">SUM(_xlfn.XLOOKUP(TablaSeleccionControladores[[#Headers],[M4-CGE04060-0]:[M4-XPM18000-0]],TablaControladores[[REFERENCIA]:[REFERENCIA]],TablaControladores[EU])*$AA472:$AJ472)</f>
        <v>13</v>
      </c>
      <c r="V472" s="14" cm="1">
        <f t="array" ref="V472">SUM(_xlfn.XLOOKUP(TablaSeleccionControladores[[#Headers],[M4-CGE04060-0]:[M4-XPM18000-0]],TablaControladores[[REFERENCIA]:[REFERENCIA]],TablaControladores[ED])*$AA472:$AJ472)</f>
        <v>58</v>
      </c>
      <c r="W472" s="14" cm="1">
        <f t="array" ref="W472">SUM(_xlfn.XLOOKUP(TablaSeleccionControladores[[#Headers],[M4-CGE04060-0]:[M4-XPM18000-0]],TablaControladores[[REFERENCIA]:[REFERENCIA]],TablaControladores[SA])*$AA472:$AJ472)</f>
        <v>6</v>
      </c>
      <c r="X472" s="14" cm="1">
        <f t="array" ref="X472">SUM(_xlfn.XLOOKUP(TablaSeleccionControladores[[#Headers],[M4-CGE04060-0]:[M4-XPM18000-0]],TablaControladores[[REFERENCIA]:[REFERENCIA]],TablaControladores[SC])*$AA472:$AJ472)</f>
        <v>12</v>
      </c>
      <c r="Y472" s="14" cm="1">
        <f t="array" ref="Y472">SUM(_xlfn.XLOOKUP(TablaSeleccionControladores[[#Headers],[M4-CGE04060-0]:[M4-XPM18000-0]],TablaControladores[[REFERENCIA]:[REFERENCIA]],TablaControladores[SD])*$AA472:$AJ472)</f>
        <v>9</v>
      </c>
      <c r="Z472" s="14">
        <f>SUM(TablaSeleccionControladores[[#This Row],[EA]:[SD]])</f>
        <v>98</v>
      </c>
      <c r="AF472" s="14">
        <v>1</v>
      </c>
      <c r="AH472" s="14">
        <v>2</v>
      </c>
      <c r="AI472" s="14">
        <v>0</v>
      </c>
      <c r="AJ472" s="14">
        <v>3</v>
      </c>
    </row>
    <row r="473" spans="17:36" x14ac:dyDescent="0.25">
      <c r="Q473">
        <f t="shared" si="9"/>
        <v>363</v>
      </c>
      <c r="R473" t="s">
        <v>830</v>
      </c>
      <c r="S473">
        <f>SUM(TablaSeleccionControladores[[#This Row],[M4-CGE04060-0]:[M4-CGM09090-0H]])</f>
        <v>1</v>
      </c>
      <c r="T473" s="14" cm="1">
        <f t="array" ref="T473">SUM(_xlfn.XLOOKUP(TablaSeleccionControladores[[#Headers],[M4-CGE04060-0]:[M4-XPM18000-0]],TablaControladores[[REFERENCIA]:[REFERENCIA]],TablaControladores[EA])*$AA473:$AJ473)</f>
        <v>0</v>
      </c>
      <c r="U473" s="14" cm="1">
        <f t="array" ref="U473">SUM(_xlfn.XLOOKUP(TablaSeleccionControladores[[#Headers],[M4-CGE04060-0]:[M4-XPM18000-0]],TablaControladores[[REFERENCIA]:[REFERENCIA]],TablaControladores[EU])*$AA473:$AJ473)</f>
        <v>13</v>
      </c>
      <c r="V473" s="14" cm="1">
        <f t="array" ref="V473">SUM(_xlfn.XLOOKUP(TablaSeleccionControladores[[#Headers],[M4-CGE04060-0]:[M4-XPM18000-0]],TablaControladores[[REFERENCIA]:[REFERENCIA]],TablaControladores[ED])*$AA473:$AJ473)</f>
        <v>76</v>
      </c>
      <c r="W473" s="14" cm="1">
        <f t="array" ref="W473">SUM(_xlfn.XLOOKUP(TablaSeleccionControladores[[#Headers],[M4-CGE04060-0]:[M4-XPM18000-0]],TablaControladores[[REFERENCIA]:[REFERENCIA]],TablaControladores[SA])*$AA473:$AJ473)</f>
        <v>6</v>
      </c>
      <c r="X473" s="14" cm="1">
        <f t="array" ref="X473">SUM(_xlfn.XLOOKUP(TablaSeleccionControladores[[#Headers],[M4-CGE04060-0]:[M4-XPM18000-0]],TablaControladores[[REFERENCIA]:[REFERENCIA]],TablaControladores[SC])*$AA473:$AJ473)</f>
        <v>12</v>
      </c>
      <c r="Y473" s="14" cm="1">
        <f t="array" ref="Y473">SUM(_xlfn.XLOOKUP(TablaSeleccionControladores[[#Headers],[M4-CGE04060-0]:[M4-XPM18000-0]],TablaControladores[[REFERENCIA]:[REFERENCIA]],TablaControladores[SD])*$AA473:$AJ473)</f>
        <v>9</v>
      </c>
      <c r="Z473" s="14">
        <f>SUM(TablaSeleccionControladores[[#This Row],[EA]:[SD]])</f>
        <v>116</v>
      </c>
      <c r="AF473" s="14">
        <v>1</v>
      </c>
      <c r="AH473" s="14">
        <v>2</v>
      </c>
      <c r="AI473" s="14">
        <v>0</v>
      </c>
      <c r="AJ473" s="14">
        <v>4</v>
      </c>
    </row>
    <row r="474" spans="17:36" x14ac:dyDescent="0.25">
      <c r="Q474">
        <f t="shared" si="9"/>
        <v>364</v>
      </c>
      <c r="R474" t="s">
        <v>830</v>
      </c>
      <c r="S474">
        <f>SUM(TablaSeleccionControladores[[#This Row],[M4-CGE04060-0]:[M4-CGM09090-0H]])</f>
        <v>1</v>
      </c>
      <c r="T474" s="14" cm="1">
        <f t="array" ref="T474">SUM(_xlfn.XLOOKUP(TablaSeleccionControladores[[#Headers],[M4-CGE04060-0]:[M4-XPM18000-0]],TablaControladores[[REFERENCIA]:[REFERENCIA]],TablaControladores[EA])*$AA474:$AJ474)</f>
        <v>0</v>
      </c>
      <c r="U474" s="14" cm="1">
        <f t="array" ref="U474">SUM(_xlfn.XLOOKUP(TablaSeleccionControladores[[#Headers],[M4-CGE04060-0]:[M4-XPM18000-0]],TablaControladores[[REFERENCIA]:[REFERENCIA]],TablaControladores[EU])*$AA474:$AJ474)</f>
        <v>20</v>
      </c>
      <c r="V474" s="14" cm="1">
        <f t="array" ref="V474">SUM(_xlfn.XLOOKUP(TablaSeleccionControladores[[#Headers],[M4-CGE04060-0]:[M4-XPM18000-0]],TablaControladores[[REFERENCIA]:[REFERENCIA]],TablaControladores[ED])*$AA474:$AJ474)</f>
        <v>6</v>
      </c>
      <c r="W474" s="14" cm="1">
        <f t="array" ref="W474">SUM(_xlfn.XLOOKUP(TablaSeleccionControladores[[#Headers],[M4-CGE04060-0]:[M4-XPM18000-0]],TablaControladores[[REFERENCIA]:[REFERENCIA]],TablaControladores[SA])*$AA474:$AJ474)</f>
        <v>8</v>
      </c>
      <c r="X474" s="14" cm="1">
        <f t="array" ref="X474">SUM(_xlfn.XLOOKUP(TablaSeleccionControladores[[#Headers],[M4-CGE04060-0]:[M4-XPM18000-0]],TablaControladores[[REFERENCIA]:[REFERENCIA]],TablaControladores[SC])*$AA474:$AJ474)</f>
        <v>16</v>
      </c>
      <c r="Y474" s="14" cm="1">
        <f t="array" ref="Y474">SUM(_xlfn.XLOOKUP(TablaSeleccionControladores[[#Headers],[M4-CGE04060-0]:[M4-XPM18000-0]],TablaControladores[[REFERENCIA]:[REFERENCIA]],TablaControladores[SD])*$AA474:$AJ474)</f>
        <v>12</v>
      </c>
      <c r="Z474" s="14">
        <f>SUM(TablaSeleccionControladores[[#This Row],[EA]:[SD]])</f>
        <v>62</v>
      </c>
      <c r="AF474" s="14">
        <v>1</v>
      </c>
      <c r="AH474" s="14">
        <v>2</v>
      </c>
      <c r="AI474" s="14">
        <v>1</v>
      </c>
      <c r="AJ474" s="14">
        <v>0</v>
      </c>
    </row>
    <row r="475" spans="17:36" x14ac:dyDescent="0.25">
      <c r="Q475">
        <f t="shared" si="9"/>
        <v>365</v>
      </c>
      <c r="R475" t="s">
        <v>830</v>
      </c>
      <c r="S475">
        <f>SUM(TablaSeleccionControladores[[#This Row],[M4-CGE04060-0]:[M4-CGM09090-0H]])</f>
        <v>1</v>
      </c>
      <c r="T475" s="14" cm="1">
        <f t="array" ref="T475">SUM(_xlfn.XLOOKUP(TablaSeleccionControladores[[#Headers],[M4-CGE04060-0]:[M4-XPM18000-0]],TablaControladores[[REFERENCIA]:[REFERENCIA]],TablaControladores[EA])*$AA475:$AJ475)</f>
        <v>0</v>
      </c>
      <c r="U475" s="14" cm="1">
        <f t="array" ref="U475">SUM(_xlfn.XLOOKUP(TablaSeleccionControladores[[#Headers],[M4-CGE04060-0]:[M4-XPM18000-0]],TablaControladores[[REFERENCIA]:[REFERENCIA]],TablaControladores[EU])*$AA475:$AJ475)</f>
        <v>20</v>
      </c>
      <c r="V475" s="14" cm="1">
        <f t="array" ref="V475">SUM(_xlfn.XLOOKUP(TablaSeleccionControladores[[#Headers],[M4-CGE04060-0]:[M4-XPM18000-0]],TablaControladores[[REFERENCIA]:[REFERENCIA]],TablaControladores[ED])*$AA475:$AJ475)</f>
        <v>24</v>
      </c>
      <c r="W475" s="14" cm="1">
        <f t="array" ref="W475">SUM(_xlfn.XLOOKUP(TablaSeleccionControladores[[#Headers],[M4-CGE04060-0]:[M4-XPM18000-0]],TablaControladores[[REFERENCIA]:[REFERENCIA]],TablaControladores[SA])*$AA475:$AJ475)</f>
        <v>8</v>
      </c>
      <c r="X475" s="14" cm="1">
        <f t="array" ref="X475">SUM(_xlfn.XLOOKUP(TablaSeleccionControladores[[#Headers],[M4-CGE04060-0]:[M4-XPM18000-0]],TablaControladores[[REFERENCIA]:[REFERENCIA]],TablaControladores[SC])*$AA475:$AJ475)</f>
        <v>16</v>
      </c>
      <c r="Y475" s="14" cm="1">
        <f t="array" ref="Y475">SUM(_xlfn.XLOOKUP(TablaSeleccionControladores[[#Headers],[M4-CGE04060-0]:[M4-XPM18000-0]],TablaControladores[[REFERENCIA]:[REFERENCIA]],TablaControladores[SD])*$AA475:$AJ475)</f>
        <v>12</v>
      </c>
      <c r="Z475" s="14">
        <f>SUM(TablaSeleccionControladores[[#This Row],[EA]:[SD]])</f>
        <v>80</v>
      </c>
      <c r="AF475" s="14">
        <v>1</v>
      </c>
      <c r="AH475" s="14">
        <v>2</v>
      </c>
      <c r="AI475" s="14">
        <v>1</v>
      </c>
      <c r="AJ475" s="14">
        <v>1</v>
      </c>
    </row>
    <row r="476" spans="17:36" x14ac:dyDescent="0.25">
      <c r="Q476">
        <f t="shared" si="9"/>
        <v>366</v>
      </c>
      <c r="R476" t="s">
        <v>830</v>
      </c>
      <c r="S476">
        <f>SUM(TablaSeleccionControladores[[#This Row],[M4-CGE04060-0]:[M4-CGM09090-0H]])</f>
        <v>1</v>
      </c>
      <c r="T476" s="14" cm="1">
        <f t="array" ref="T476">SUM(_xlfn.XLOOKUP(TablaSeleccionControladores[[#Headers],[M4-CGE04060-0]:[M4-XPM18000-0]],TablaControladores[[REFERENCIA]:[REFERENCIA]],TablaControladores[EA])*$AA476:$AJ476)</f>
        <v>0</v>
      </c>
      <c r="U476" s="14" cm="1">
        <f t="array" ref="U476">SUM(_xlfn.XLOOKUP(TablaSeleccionControladores[[#Headers],[M4-CGE04060-0]:[M4-XPM18000-0]],TablaControladores[[REFERENCIA]:[REFERENCIA]],TablaControladores[EU])*$AA476:$AJ476)</f>
        <v>20</v>
      </c>
      <c r="V476" s="14" cm="1">
        <f t="array" ref="V476">SUM(_xlfn.XLOOKUP(TablaSeleccionControladores[[#Headers],[M4-CGE04060-0]:[M4-XPM18000-0]],TablaControladores[[REFERENCIA]:[REFERENCIA]],TablaControladores[ED])*$AA476:$AJ476)</f>
        <v>42</v>
      </c>
      <c r="W476" s="14" cm="1">
        <f t="array" ref="W476">SUM(_xlfn.XLOOKUP(TablaSeleccionControladores[[#Headers],[M4-CGE04060-0]:[M4-XPM18000-0]],TablaControladores[[REFERENCIA]:[REFERENCIA]],TablaControladores[SA])*$AA476:$AJ476)</f>
        <v>8</v>
      </c>
      <c r="X476" s="14" cm="1">
        <f t="array" ref="X476">SUM(_xlfn.XLOOKUP(TablaSeleccionControladores[[#Headers],[M4-CGE04060-0]:[M4-XPM18000-0]],TablaControladores[[REFERENCIA]:[REFERENCIA]],TablaControladores[SC])*$AA476:$AJ476)</f>
        <v>16</v>
      </c>
      <c r="Y476" s="14" cm="1">
        <f t="array" ref="Y476">SUM(_xlfn.XLOOKUP(TablaSeleccionControladores[[#Headers],[M4-CGE04060-0]:[M4-XPM18000-0]],TablaControladores[[REFERENCIA]:[REFERENCIA]],TablaControladores[SD])*$AA476:$AJ476)</f>
        <v>12</v>
      </c>
      <c r="Z476" s="14">
        <f>SUM(TablaSeleccionControladores[[#This Row],[EA]:[SD]])</f>
        <v>98</v>
      </c>
      <c r="AF476" s="14">
        <v>1</v>
      </c>
      <c r="AH476" s="14">
        <v>2</v>
      </c>
      <c r="AI476" s="14">
        <v>1</v>
      </c>
      <c r="AJ476" s="14">
        <v>2</v>
      </c>
    </row>
    <row r="477" spans="17:36" x14ac:dyDescent="0.25">
      <c r="Q477">
        <f t="shared" si="9"/>
        <v>367</v>
      </c>
      <c r="R477" t="s">
        <v>830</v>
      </c>
      <c r="S477">
        <f>SUM(TablaSeleccionControladores[[#This Row],[M4-CGE04060-0]:[M4-CGM09090-0H]])</f>
        <v>1</v>
      </c>
      <c r="T477" s="14" cm="1">
        <f t="array" ref="T477">SUM(_xlfn.XLOOKUP(TablaSeleccionControladores[[#Headers],[M4-CGE04060-0]:[M4-XPM18000-0]],TablaControladores[[REFERENCIA]:[REFERENCIA]],TablaControladores[EA])*$AA477:$AJ477)</f>
        <v>0</v>
      </c>
      <c r="U477" s="14" cm="1">
        <f t="array" ref="U477">SUM(_xlfn.XLOOKUP(TablaSeleccionControladores[[#Headers],[M4-CGE04060-0]:[M4-XPM18000-0]],TablaControladores[[REFERENCIA]:[REFERENCIA]],TablaControladores[EU])*$AA477:$AJ477)</f>
        <v>20</v>
      </c>
      <c r="V477" s="14" cm="1">
        <f t="array" ref="V477">SUM(_xlfn.XLOOKUP(TablaSeleccionControladores[[#Headers],[M4-CGE04060-0]:[M4-XPM18000-0]],TablaControladores[[REFERENCIA]:[REFERENCIA]],TablaControladores[ED])*$AA477:$AJ477)</f>
        <v>60</v>
      </c>
      <c r="W477" s="14" cm="1">
        <f t="array" ref="W477">SUM(_xlfn.XLOOKUP(TablaSeleccionControladores[[#Headers],[M4-CGE04060-0]:[M4-XPM18000-0]],TablaControladores[[REFERENCIA]:[REFERENCIA]],TablaControladores[SA])*$AA477:$AJ477)</f>
        <v>8</v>
      </c>
      <c r="X477" s="14" cm="1">
        <f t="array" ref="X477">SUM(_xlfn.XLOOKUP(TablaSeleccionControladores[[#Headers],[M4-CGE04060-0]:[M4-XPM18000-0]],TablaControladores[[REFERENCIA]:[REFERENCIA]],TablaControladores[SC])*$AA477:$AJ477)</f>
        <v>16</v>
      </c>
      <c r="Y477" s="14" cm="1">
        <f t="array" ref="Y477">SUM(_xlfn.XLOOKUP(TablaSeleccionControladores[[#Headers],[M4-CGE04060-0]:[M4-XPM18000-0]],TablaControladores[[REFERENCIA]:[REFERENCIA]],TablaControladores[SD])*$AA477:$AJ477)</f>
        <v>12</v>
      </c>
      <c r="Z477" s="14">
        <f>SUM(TablaSeleccionControladores[[#This Row],[EA]:[SD]])</f>
        <v>116</v>
      </c>
      <c r="AF477" s="14">
        <v>1</v>
      </c>
      <c r="AH477" s="14">
        <v>2</v>
      </c>
      <c r="AI477" s="14">
        <v>1</v>
      </c>
      <c r="AJ477" s="14">
        <v>3</v>
      </c>
    </row>
    <row r="478" spans="17:36" x14ac:dyDescent="0.25">
      <c r="Q478">
        <f t="shared" si="9"/>
        <v>368</v>
      </c>
      <c r="R478" t="s">
        <v>830</v>
      </c>
      <c r="S478">
        <f>SUM(TablaSeleccionControladores[[#This Row],[M4-CGE04060-0]:[M4-CGM09090-0H]])</f>
        <v>1</v>
      </c>
      <c r="T478" s="14" cm="1">
        <f t="array" ref="T478">SUM(_xlfn.XLOOKUP(TablaSeleccionControladores[[#Headers],[M4-CGE04060-0]:[M4-XPM18000-0]],TablaControladores[[REFERENCIA]:[REFERENCIA]],TablaControladores[EA])*$AA478:$AJ478)</f>
        <v>0</v>
      </c>
      <c r="U478" s="14" cm="1">
        <f t="array" ref="U478">SUM(_xlfn.XLOOKUP(TablaSeleccionControladores[[#Headers],[M4-CGE04060-0]:[M4-XPM18000-0]],TablaControladores[[REFERENCIA]:[REFERENCIA]],TablaControladores[EU])*$AA478:$AJ478)</f>
        <v>27</v>
      </c>
      <c r="V478" s="14" cm="1">
        <f t="array" ref="V478">SUM(_xlfn.XLOOKUP(TablaSeleccionControladores[[#Headers],[M4-CGE04060-0]:[M4-XPM18000-0]],TablaControladores[[REFERENCIA]:[REFERENCIA]],TablaControladores[ED])*$AA478:$AJ478)</f>
        <v>8</v>
      </c>
      <c r="W478" s="14" cm="1">
        <f t="array" ref="W478">SUM(_xlfn.XLOOKUP(TablaSeleccionControladores[[#Headers],[M4-CGE04060-0]:[M4-XPM18000-0]],TablaControladores[[REFERENCIA]:[REFERENCIA]],TablaControladores[SA])*$AA478:$AJ478)</f>
        <v>10</v>
      </c>
      <c r="X478" s="14" cm="1">
        <f t="array" ref="X478">SUM(_xlfn.XLOOKUP(TablaSeleccionControladores[[#Headers],[M4-CGE04060-0]:[M4-XPM18000-0]],TablaControladores[[REFERENCIA]:[REFERENCIA]],TablaControladores[SC])*$AA478:$AJ478)</f>
        <v>20</v>
      </c>
      <c r="Y478" s="14" cm="1">
        <f t="array" ref="Y478">SUM(_xlfn.XLOOKUP(TablaSeleccionControladores[[#Headers],[M4-CGE04060-0]:[M4-XPM18000-0]],TablaControladores[[REFERENCIA]:[REFERENCIA]],TablaControladores[SD])*$AA478:$AJ478)</f>
        <v>15</v>
      </c>
      <c r="Z478" s="14">
        <f>SUM(TablaSeleccionControladores[[#This Row],[EA]:[SD]])</f>
        <v>80</v>
      </c>
      <c r="AF478" s="14">
        <v>1</v>
      </c>
      <c r="AH478" s="14">
        <v>2</v>
      </c>
      <c r="AI478" s="14">
        <v>2</v>
      </c>
      <c r="AJ478" s="14">
        <v>0</v>
      </c>
    </row>
    <row r="479" spans="17:36" x14ac:dyDescent="0.25">
      <c r="Q479">
        <f t="shared" si="9"/>
        <v>369</v>
      </c>
      <c r="R479" t="s">
        <v>830</v>
      </c>
      <c r="S479">
        <f>SUM(TablaSeleccionControladores[[#This Row],[M4-CGE04060-0]:[M4-CGM09090-0H]])</f>
        <v>1</v>
      </c>
      <c r="T479" s="14" cm="1">
        <f t="array" ref="T479">SUM(_xlfn.XLOOKUP(TablaSeleccionControladores[[#Headers],[M4-CGE04060-0]:[M4-XPM18000-0]],TablaControladores[[REFERENCIA]:[REFERENCIA]],TablaControladores[EA])*$AA479:$AJ479)</f>
        <v>0</v>
      </c>
      <c r="U479" s="14" cm="1">
        <f t="array" ref="U479">SUM(_xlfn.XLOOKUP(TablaSeleccionControladores[[#Headers],[M4-CGE04060-0]:[M4-XPM18000-0]],TablaControladores[[REFERENCIA]:[REFERENCIA]],TablaControladores[EU])*$AA479:$AJ479)</f>
        <v>27</v>
      </c>
      <c r="V479" s="14" cm="1">
        <f t="array" ref="V479">SUM(_xlfn.XLOOKUP(TablaSeleccionControladores[[#Headers],[M4-CGE04060-0]:[M4-XPM18000-0]],TablaControladores[[REFERENCIA]:[REFERENCIA]],TablaControladores[ED])*$AA479:$AJ479)</f>
        <v>26</v>
      </c>
      <c r="W479" s="14" cm="1">
        <f t="array" ref="W479">SUM(_xlfn.XLOOKUP(TablaSeleccionControladores[[#Headers],[M4-CGE04060-0]:[M4-XPM18000-0]],TablaControladores[[REFERENCIA]:[REFERENCIA]],TablaControladores[SA])*$AA479:$AJ479)</f>
        <v>10</v>
      </c>
      <c r="X479" s="14" cm="1">
        <f t="array" ref="X479">SUM(_xlfn.XLOOKUP(TablaSeleccionControladores[[#Headers],[M4-CGE04060-0]:[M4-XPM18000-0]],TablaControladores[[REFERENCIA]:[REFERENCIA]],TablaControladores[SC])*$AA479:$AJ479)</f>
        <v>20</v>
      </c>
      <c r="Y479" s="14" cm="1">
        <f t="array" ref="Y479">SUM(_xlfn.XLOOKUP(TablaSeleccionControladores[[#Headers],[M4-CGE04060-0]:[M4-XPM18000-0]],TablaControladores[[REFERENCIA]:[REFERENCIA]],TablaControladores[SD])*$AA479:$AJ479)</f>
        <v>15</v>
      </c>
      <c r="Z479" s="14">
        <f>SUM(TablaSeleccionControladores[[#This Row],[EA]:[SD]])</f>
        <v>98</v>
      </c>
      <c r="AF479" s="14">
        <v>1</v>
      </c>
      <c r="AH479" s="14">
        <v>2</v>
      </c>
      <c r="AI479" s="14">
        <v>2</v>
      </c>
      <c r="AJ479" s="14">
        <v>1</v>
      </c>
    </row>
    <row r="480" spans="17:36" x14ac:dyDescent="0.25">
      <c r="Q480">
        <f t="shared" si="9"/>
        <v>370</v>
      </c>
      <c r="R480" t="s">
        <v>830</v>
      </c>
      <c r="S480">
        <f>SUM(TablaSeleccionControladores[[#This Row],[M4-CGE04060-0]:[M4-CGM09090-0H]])</f>
        <v>1</v>
      </c>
      <c r="T480" s="14" cm="1">
        <f t="array" ref="T480">SUM(_xlfn.XLOOKUP(TablaSeleccionControladores[[#Headers],[M4-CGE04060-0]:[M4-XPM18000-0]],TablaControladores[[REFERENCIA]:[REFERENCIA]],TablaControladores[EA])*$AA480:$AJ480)</f>
        <v>0</v>
      </c>
      <c r="U480" s="14" cm="1">
        <f t="array" ref="U480">SUM(_xlfn.XLOOKUP(TablaSeleccionControladores[[#Headers],[M4-CGE04060-0]:[M4-XPM18000-0]],TablaControladores[[REFERENCIA]:[REFERENCIA]],TablaControladores[EU])*$AA480:$AJ480)</f>
        <v>27</v>
      </c>
      <c r="V480" s="14" cm="1">
        <f t="array" ref="V480">SUM(_xlfn.XLOOKUP(TablaSeleccionControladores[[#Headers],[M4-CGE04060-0]:[M4-XPM18000-0]],TablaControladores[[REFERENCIA]:[REFERENCIA]],TablaControladores[ED])*$AA480:$AJ480)</f>
        <v>44</v>
      </c>
      <c r="W480" s="14" cm="1">
        <f t="array" ref="W480">SUM(_xlfn.XLOOKUP(TablaSeleccionControladores[[#Headers],[M4-CGE04060-0]:[M4-XPM18000-0]],TablaControladores[[REFERENCIA]:[REFERENCIA]],TablaControladores[SA])*$AA480:$AJ480)</f>
        <v>10</v>
      </c>
      <c r="X480" s="14" cm="1">
        <f t="array" ref="X480">SUM(_xlfn.XLOOKUP(TablaSeleccionControladores[[#Headers],[M4-CGE04060-0]:[M4-XPM18000-0]],TablaControladores[[REFERENCIA]:[REFERENCIA]],TablaControladores[SC])*$AA480:$AJ480)</f>
        <v>20</v>
      </c>
      <c r="Y480" s="14" cm="1">
        <f t="array" ref="Y480">SUM(_xlfn.XLOOKUP(TablaSeleccionControladores[[#Headers],[M4-CGE04060-0]:[M4-XPM18000-0]],TablaControladores[[REFERENCIA]:[REFERENCIA]],TablaControladores[SD])*$AA480:$AJ480)</f>
        <v>15</v>
      </c>
      <c r="Z480" s="14">
        <f>SUM(TablaSeleccionControladores[[#This Row],[EA]:[SD]])</f>
        <v>116</v>
      </c>
      <c r="AF480" s="14">
        <v>1</v>
      </c>
      <c r="AH480" s="14">
        <v>2</v>
      </c>
      <c r="AI480" s="14">
        <v>2</v>
      </c>
      <c r="AJ480" s="14">
        <v>2</v>
      </c>
    </row>
    <row r="481" spans="17:36" x14ac:dyDescent="0.25">
      <c r="Q481">
        <f t="shared" si="9"/>
        <v>371</v>
      </c>
      <c r="R481" t="s">
        <v>830</v>
      </c>
      <c r="S481">
        <f>SUM(TablaSeleccionControladores[[#This Row],[M4-CGE04060-0]:[M4-CGM09090-0H]])</f>
        <v>1</v>
      </c>
      <c r="T481" s="14" cm="1">
        <f t="array" ref="T481">SUM(_xlfn.XLOOKUP(TablaSeleccionControladores[[#Headers],[M4-CGE04060-0]:[M4-XPM18000-0]],TablaControladores[[REFERENCIA]:[REFERENCIA]],TablaControladores[EA])*$AA481:$AJ481)</f>
        <v>0</v>
      </c>
      <c r="U481" s="14" cm="1">
        <f t="array" ref="U481">SUM(_xlfn.XLOOKUP(TablaSeleccionControladores[[#Headers],[M4-CGE04060-0]:[M4-XPM18000-0]],TablaControladores[[REFERENCIA]:[REFERENCIA]],TablaControladores[EU])*$AA481:$AJ481)</f>
        <v>34</v>
      </c>
      <c r="V481" s="14" cm="1">
        <f t="array" ref="V481">SUM(_xlfn.XLOOKUP(TablaSeleccionControladores[[#Headers],[M4-CGE04060-0]:[M4-XPM18000-0]],TablaControladores[[REFERENCIA]:[REFERENCIA]],TablaControladores[ED])*$AA481:$AJ481)</f>
        <v>10</v>
      </c>
      <c r="W481" s="14" cm="1">
        <f t="array" ref="W481">SUM(_xlfn.XLOOKUP(TablaSeleccionControladores[[#Headers],[M4-CGE04060-0]:[M4-XPM18000-0]],TablaControladores[[REFERENCIA]:[REFERENCIA]],TablaControladores[SA])*$AA481:$AJ481)</f>
        <v>12</v>
      </c>
      <c r="X481" s="14" cm="1">
        <f t="array" ref="X481">SUM(_xlfn.XLOOKUP(TablaSeleccionControladores[[#Headers],[M4-CGE04060-0]:[M4-XPM18000-0]],TablaControladores[[REFERENCIA]:[REFERENCIA]],TablaControladores[SC])*$AA481:$AJ481)</f>
        <v>24</v>
      </c>
      <c r="Y481" s="14" cm="1">
        <f t="array" ref="Y481">SUM(_xlfn.XLOOKUP(TablaSeleccionControladores[[#Headers],[M4-CGE04060-0]:[M4-XPM18000-0]],TablaControladores[[REFERENCIA]:[REFERENCIA]],TablaControladores[SD])*$AA481:$AJ481)</f>
        <v>18</v>
      </c>
      <c r="Z481" s="14">
        <f>SUM(TablaSeleccionControladores[[#This Row],[EA]:[SD]])</f>
        <v>98</v>
      </c>
      <c r="AF481" s="14">
        <v>1</v>
      </c>
      <c r="AH481" s="14">
        <v>2</v>
      </c>
      <c r="AI481" s="14">
        <v>3</v>
      </c>
      <c r="AJ481" s="14">
        <v>0</v>
      </c>
    </row>
    <row r="482" spans="17:36" x14ac:dyDescent="0.25">
      <c r="Q482">
        <f t="shared" si="9"/>
        <v>372</v>
      </c>
      <c r="R482" t="s">
        <v>830</v>
      </c>
      <c r="S482">
        <f>SUM(TablaSeleccionControladores[[#This Row],[M4-CGE04060-0]:[M4-CGM09090-0H]])</f>
        <v>1</v>
      </c>
      <c r="T482" s="14" cm="1">
        <f t="array" ref="T482">SUM(_xlfn.XLOOKUP(TablaSeleccionControladores[[#Headers],[M4-CGE04060-0]:[M4-XPM18000-0]],TablaControladores[[REFERENCIA]:[REFERENCIA]],TablaControladores[EA])*$AA482:$AJ482)</f>
        <v>0</v>
      </c>
      <c r="U482" s="14" cm="1">
        <f t="array" ref="U482">SUM(_xlfn.XLOOKUP(TablaSeleccionControladores[[#Headers],[M4-CGE04060-0]:[M4-XPM18000-0]],TablaControladores[[REFERENCIA]:[REFERENCIA]],TablaControladores[EU])*$AA482:$AJ482)</f>
        <v>34</v>
      </c>
      <c r="V482" s="14" cm="1">
        <f t="array" ref="V482">SUM(_xlfn.XLOOKUP(TablaSeleccionControladores[[#Headers],[M4-CGE04060-0]:[M4-XPM18000-0]],TablaControladores[[REFERENCIA]:[REFERENCIA]],TablaControladores[ED])*$AA482:$AJ482)</f>
        <v>28</v>
      </c>
      <c r="W482" s="14" cm="1">
        <f t="array" ref="W482">SUM(_xlfn.XLOOKUP(TablaSeleccionControladores[[#Headers],[M4-CGE04060-0]:[M4-XPM18000-0]],TablaControladores[[REFERENCIA]:[REFERENCIA]],TablaControladores[SA])*$AA482:$AJ482)</f>
        <v>12</v>
      </c>
      <c r="X482" s="14" cm="1">
        <f t="array" ref="X482">SUM(_xlfn.XLOOKUP(TablaSeleccionControladores[[#Headers],[M4-CGE04060-0]:[M4-XPM18000-0]],TablaControladores[[REFERENCIA]:[REFERENCIA]],TablaControladores[SC])*$AA482:$AJ482)</f>
        <v>24</v>
      </c>
      <c r="Y482" s="14" cm="1">
        <f t="array" ref="Y482">SUM(_xlfn.XLOOKUP(TablaSeleccionControladores[[#Headers],[M4-CGE04060-0]:[M4-XPM18000-0]],TablaControladores[[REFERENCIA]:[REFERENCIA]],TablaControladores[SD])*$AA482:$AJ482)</f>
        <v>18</v>
      </c>
      <c r="Z482" s="14">
        <f>SUM(TablaSeleccionControladores[[#This Row],[EA]:[SD]])</f>
        <v>116</v>
      </c>
      <c r="AF482" s="14">
        <v>1</v>
      </c>
      <c r="AH482" s="14">
        <v>2</v>
      </c>
      <c r="AI482" s="14">
        <v>3</v>
      </c>
      <c r="AJ482" s="14">
        <v>1</v>
      </c>
    </row>
    <row r="483" spans="17:36" x14ac:dyDescent="0.25">
      <c r="Q483">
        <f t="shared" si="9"/>
        <v>373</v>
      </c>
      <c r="R483" t="s">
        <v>832</v>
      </c>
      <c r="S483">
        <f>SUM(TablaSeleccionControladores[[#This Row],[M4-CGE04060-0]:[M4-CGM09090-0H]])</f>
        <v>1</v>
      </c>
      <c r="T483" s="14" cm="1">
        <f t="array" ref="T483">SUM(_xlfn.XLOOKUP(TablaSeleccionControladores[[#Headers],[M4-CGE04060-0]:[M4-XPM18000-0]],TablaControladores[[REFERENCIA]:[REFERENCIA]],TablaControladores[EA])*$AA483:$AJ483)</f>
        <v>0</v>
      </c>
      <c r="U483" s="14" cm="1">
        <f t="array" ref="U483">SUM(_xlfn.XLOOKUP(TablaSeleccionControladores[[#Headers],[M4-CGE04060-0]:[M4-XPM18000-0]],TablaControladores[[REFERENCIA]:[REFERENCIA]],TablaControladores[EU])*$AA483:$AJ483)</f>
        <v>7</v>
      </c>
      <c r="V483" s="14" cm="1">
        <f t="array" ref="V483">SUM(_xlfn.XLOOKUP(TablaSeleccionControladores[[#Headers],[M4-CGE04060-0]:[M4-XPM18000-0]],TablaControladores[[REFERENCIA]:[REFERENCIA]],TablaControladores[ED])*$AA483:$AJ483)</f>
        <v>2</v>
      </c>
      <c r="W483" s="14" cm="1">
        <f t="array" ref="W483">SUM(_xlfn.XLOOKUP(TablaSeleccionControladores[[#Headers],[M4-CGE04060-0]:[M4-XPM18000-0]],TablaControladores[[REFERENCIA]:[REFERENCIA]],TablaControladores[SA])*$AA483:$AJ483)</f>
        <v>2</v>
      </c>
      <c r="X483" s="14" cm="1">
        <f t="array" ref="X483">SUM(_xlfn.XLOOKUP(TablaSeleccionControladores[[#Headers],[M4-CGE04060-0]:[M4-XPM18000-0]],TablaControladores[[REFERENCIA]:[REFERENCIA]],TablaControladores[SC])*$AA483:$AJ483)</f>
        <v>4</v>
      </c>
      <c r="Y483" s="14" cm="1">
        <f t="array" ref="Y483">SUM(_xlfn.XLOOKUP(TablaSeleccionControladores[[#Headers],[M4-CGE04060-0]:[M4-XPM18000-0]],TablaControladores[[REFERENCIA]:[REFERENCIA]],TablaControladores[SD])*$AA483:$AJ483)</f>
        <v>3</v>
      </c>
      <c r="Z483" s="14">
        <f>SUM(TablaSeleccionControladores[[#This Row],[EA]:[SD]])</f>
        <v>18</v>
      </c>
      <c r="AG483" s="14">
        <v>1</v>
      </c>
      <c r="AH483" s="14">
        <v>0</v>
      </c>
      <c r="AI483" s="14">
        <v>0</v>
      </c>
      <c r="AJ483" s="14">
        <v>0</v>
      </c>
    </row>
    <row r="484" spans="17:36" x14ac:dyDescent="0.25">
      <c r="Q484">
        <f t="shared" si="9"/>
        <v>374</v>
      </c>
      <c r="R484" t="s">
        <v>832</v>
      </c>
      <c r="S484">
        <f>SUM(TablaSeleccionControladores[[#This Row],[M4-CGE04060-0]:[M4-CGM09090-0H]])</f>
        <v>1</v>
      </c>
      <c r="T484" s="14" cm="1">
        <f t="array" ref="T484">SUM(_xlfn.XLOOKUP(TablaSeleccionControladores[[#Headers],[M4-CGE04060-0]:[M4-XPM18000-0]],TablaControladores[[REFERENCIA]:[REFERENCIA]],TablaControladores[EA])*$AA484:$AJ484)</f>
        <v>0</v>
      </c>
      <c r="U484" s="14" cm="1">
        <f t="array" ref="U484">SUM(_xlfn.XLOOKUP(TablaSeleccionControladores[[#Headers],[M4-CGE04060-0]:[M4-XPM18000-0]],TablaControladores[[REFERENCIA]:[REFERENCIA]],TablaControladores[EU])*$AA484:$AJ484)</f>
        <v>7</v>
      </c>
      <c r="V484" s="14" cm="1">
        <f t="array" ref="V484">SUM(_xlfn.XLOOKUP(TablaSeleccionControladores[[#Headers],[M4-CGE04060-0]:[M4-XPM18000-0]],TablaControladores[[REFERENCIA]:[REFERENCIA]],TablaControladores[ED])*$AA484:$AJ484)</f>
        <v>20</v>
      </c>
      <c r="W484" s="14" cm="1">
        <f t="array" ref="W484">SUM(_xlfn.XLOOKUP(TablaSeleccionControladores[[#Headers],[M4-CGE04060-0]:[M4-XPM18000-0]],TablaControladores[[REFERENCIA]:[REFERENCIA]],TablaControladores[SA])*$AA484:$AJ484)</f>
        <v>2</v>
      </c>
      <c r="X484" s="14" cm="1">
        <f t="array" ref="X484">SUM(_xlfn.XLOOKUP(TablaSeleccionControladores[[#Headers],[M4-CGE04060-0]:[M4-XPM18000-0]],TablaControladores[[REFERENCIA]:[REFERENCIA]],TablaControladores[SC])*$AA484:$AJ484)</f>
        <v>4</v>
      </c>
      <c r="Y484" s="14" cm="1">
        <f t="array" ref="Y484">SUM(_xlfn.XLOOKUP(TablaSeleccionControladores[[#Headers],[M4-CGE04060-0]:[M4-XPM18000-0]],TablaControladores[[REFERENCIA]:[REFERENCIA]],TablaControladores[SD])*$AA484:$AJ484)</f>
        <v>3</v>
      </c>
      <c r="Z484" s="14">
        <f>SUM(TablaSeleccionControladores[[#This Row],[EA]:[SD]])</f>
        <v>36</v>
      </c>
      <c r="AG484" s="14">
        <v>1</v>
      </c>
      <c r="AH484" s="14">
        <v>0</v>
      </c>
      <c r="AI484" s="14">
        <v>0</v>
      </c>
      <c r="AJ484" s="14">
        <v>1</v>
      </c>
    </row>
    <row r="485" spans="17:36" x14ac:dyDescent="0.25">
      <c r="Q485">
        <f t="shared" si="9"/>
        <v>375</v>
      </c>
      <c r="R485" t="s">
        <v>832</v>
      </c>
      <c r="S485">
        <f>SUM(TablaSeleccionControladores[[#This Row],[M4-CGE04060-0]:[M4-CGM09090-0H]])</f>
        <v>1</v>
      </c>
      <c r="T485" s="14" cm="1">
        <f t="array" ref="T485">SUM(_xlfn.XLOOKUP(TablaSeleccionControladores[[#Headers],[M4-CGE04060-0]:[M4-XPM18000-0]],TablaControladores[[REFERENCIA]:[REFERENCIA]],TablaControladores[EA])*$AA485:$AJ485)</f>
        <v>0</v>
      </c>
      <c r="U485" s="14" cm="1">
        <f t="array" ref="U485">SUM(_xlfn.XLOOKUP(TablaSeleccionControladores[[#Headers],[M4-CGE04060-0]:[M4-XPM18000-0]],TablaControladores[[REFERENCIA]:[REFERENCIA]],TablaControladores[EU])*$AA485:$AJ485)</f>
        <v>7</v>
      </c>
      <c r="V485" s="14" cm="1">
        <f t="array" ref="V485">SUM(_xlfn.XLOOKUP(TablaSeleccionControladores[[#Headers],[M4-CGE04060-0]:[M4-XPM18000-0]],TablaControladores[[REFERENCIA]:[REFERENCIA]],TablaControladores[ED])*$AA485:$AJ485)</f>
        <v>38</v>
      </c>
      <c r="W485" s="14" cm="1">
        <f t="array" ref="W485">SUM(_xlfn.XLOOKUP(TablaSeleccionControladores[[#Headers],[M4-CGE04060-0]:[M4-XPM18000-0]],TablaControladores[[REFERENCIA]:[REFERENCIA]],TablaControladores[SA])*$AA485:$AJ485)</f>
        <v>2</v>
      </c>
      <c r="X485" s="14" cm="1">
        <f t="array" ref="X485">SUM(_xlfn.XLOOKUP(TablaSeleccionControladores[[#Headers],[M4-CGE04060-0]:[M4-XPM18000-0]],TablaControladores[[REFERENCIA]:[REFERENCIA]],TablaControladores[SC])*$AA485:$AJ485)</f>
        <v>4</v>
      </c>
      <c r="Y485" s="14" cm="1">
        <f t="array" ref="Y485">SUM(_xlfn.XLOOKUP(TablaSeleccionControladores[[#Headers],[M4-CGE04060-0]:[M4-XPM18000-0]],TablaControladores[[REFERENCIA]:[REFERENCIA]],TablaControladores[SD])*$AA485:$AJ485)</f>
        <v>3</v>
      </c>
      <c r="Z485" s="14">
        <f>SUM(TablaSeleccionControladores[[#This Row],[EA]:[SD]])</f>
        <v>54</v>
      </c>
      <c r="AG485" s="14">
        <v>1</v>
      </c>
      <c r="AH485" s="14">
        <v>0</v>
      </c>
      <c r="AI485" s="14">
        <v>0</v>
      </c>
      <c r="AJ485" s="14">
        <v>2</v>
      </c>
    </row>
    <row r="486" spans="17:36" x14ac:dyDescent="0.25">
      <c r="Q486">
        <f t="shared" si="9"/>
        <v>376</v>
      </c>
      <c r="R486" t="s">
        <v>832</v>
      </c>
      <c r="S486">
        <f>SUM(TablaSeleccionControladores[[#This Row],[M4-CGE04060-0]:[M4-CGM09090-0H]])</f>
        <v>1</v>
      </c>
      <c r="T486" s="14" cm="1">
        <f t="array" ref="T486">SUM(_xlfn.XLOOKUP(TablaSeleccionControladores[[#Headers],[M4-CGE04060-0]:[M4-XPM18000-0]],TablaControladores[[REFERENCIA]:[REFERENCIA]],TablaControladores[EA])*$AA486:$AJ486)</f>
        <v>0</v>
      </c>
      <c r="U486" s="14" cm="1">
        <f t="array" ref="U486">SUM(_xlfn.XLOOKUP(TablaSeleccionControladores[[#Headers],[M4-CGE04060-0]:[M4-XPM18000-0]],TablaControladores[[REFERENCIA]:[REFERENCIA]],TablaControladores[EU])*$AA486:$AJ486)</f>
        <v>7</v>
      </c>
      <c r="V486" s="14" cm="1">
        <f t="array" ref="V486">SUM(_xlfn.XLOOKUP(TablaSeleccionControladores[[#Headers],[M4-CGE04060-0]:[M4-XPM18000-0]],TablaControladores[[REFERENCIA]:[REFERENCIA]],TablaControladores[ED])*$AA486:$AJ486)</f>
        <v>56</v>
      </c>
      <c r="W486" s="14" cm="1">
        <f t="array" ref="W486">SUM(_xlfn.XLOOKUP(TablaSeleccionControladores[[#Headers],[M4-CGE04060-0]:[M4-XPM18000-0]],TablaControladores[[REFERENCIA]:[REFERENCIA]],TablaControladores[SA])*$AA486:$AJ486)</f>
        <v>2</v>
      </c>
      <c r="X486" s="14" cm="1">
        <f t="array" ref="X486">SUM(_xlfn.XLOOKUP(TablaSeleccionControladores[[#Headers],[M4-CGE04060-0]:[M4-XPM18000-0]],TablaControladores[[REFERENCIA]:[REFERENCIA]],TablaControladores[SC])*$AA486:$AJ486)</f>
        <v>4</v>
      </c>
      <c r="Y486" s="14" cm="1">
        <f t="array" ref="Y486">SUM(_xlfn.XLOOKUP(TablaSeleccionControladores[[#Headers],[M4-CGE04060-0]:[M4-XPM18000-0]],TablaControladores[[REFERENCIA]:[REFERENCIA]],TablaControladores[SD])*$AA486:$AJ486)</f>
        <v>3</v>
      </c>
      <c r="Z486" s="14">
        <f>SUM(TablaSeleccionControladores[[#This Row],[EA]:[SD]])</f>
        <v>72</v>
      </c>
      <c r="AG486" s="14">
        <v>1</v>
      </c>
      <c r="AH486" s="14">
        <v>0</v>
      </c>
      <c r="AI486" s="14">
        <v>0</v>
      </c>
      <c r="AJ486" s="14">
        <v>3</v>
      </c>
    </row>
    <row r="487" spans="17:36" x14ac:dyDescent="0.25">
      <c r="Q487">
        <f t="shared" si="9"/>
        <v>377</v>
      </c>
      <c r="R487" t="s">
        <v>832</v>
      </c>
      <c r="S487">
        <f>SUM(TablaSeleccionControladores[[#This Row],[M4-CGE04060-0]:[M4-CGM09090-0H]])</f>
        <v>1</v>
      </c>
      <c r="T487" s="14" cm="1">
        <f t="array" ref="T487">SUM(_xlfn.XLOOKUP(TablaSeleccionControladores[[#Headers],[M4-CGE04060-0]:[M4-XPM18000-0]],TablaControladores[[REFERENCIA]:[REFERENCIA]],TablaControladores[EA])*$AA487:$AJ487)</f>
        <v>0</v>
      </c>
      <c r="U487" s="14" cm="1">
        <f t="array" ref="U487">SUM(_xlfn.XLOOKUP(TablaSeleccionControladores[[#Headers],[M4-CGE04060-0]:[M4-XPM18000-0]],TablaControladores[[REFERENCIA]:[REFERENCIA]],TablaControladores[EU])*$AA487:$AJ487)</f>
        <v>7</v>
      </c>
      <c r="V487" s="14" cm="1">
        <f t="array" ref="V487">SUM(_xlfn.XLOOKUP(TablaSeleccionControladores[[#Headers],[M4-CGE04060-0]:[M4-XPM18000-0]],TablaControladores[[REFERENCIA]:[REFERENCIA]],TablaControladores[ED])*$AA487:$AJ487)</f>
        <v>74</v>
      </c>
      <c r="W487" s="14" cm="1">
        <f t="array" ref="W487">SUM(_xlfn.XLOOKUP(TablaSeleccionControladores[[#Headers],[M4-CGE04060-0]:[M4-XPM18000-0]],TablaControladores[[REFERENCIA]:[REFERENCIA]],TablaControladores[SA])*$AA487:$AJ487)</f>
        <v>2</v>
      </c>
      <c r="X487" s="14" cm="1">
        <f t="array" ref="X487">SUM(_xlfn.XLOOKUP(TablaSeleccionControladores[[#Headers],[M4-CGE04060-0]:[M4-XPM18000-0]],TablaControladores[[REFERENCIA]:[REFERENCIA]],TablaControladores[SC])*$AA487:$AJ487)</f>
        <v>4</v>
      </c>
      <c r="Y487" s="14" cm="1">
        <f t="array" ref="Y487">SUM(_xlfn.XLOOKUP(TablaSeleccionControladores[[#Headers],[M4-CGE04060-0]:[M4-XPM18000-0]],TablaControladores[[REFERENCIA]:[REFERENCIA]],TablaControladores[SD])*$AA487:$AJ487)</f>
        <v>3</v>
      </c>
      <c r="Z487" s="14">
        <f>SUM(TablaSeleccionControladores[[#This Row],[EA]:[SD]])</f>
        <v>90</v>
      </c>
      <c r="AG487" s="14">
        <v>1</v>
      </c>
      <c r="AH487" s="14">
        <v>0</v>
      </c>
      <c r="AI487" s="14">
        <v>0</v>
      </c>
      <c r="AJ487" s="14">
        <v>4</v>
      </c>
    </row>
    <row r="488" spans="17:36" x14ac:dyDescent="0.25">
      <c r="Q488">
        <f t="shared" si="9"/>
        <v>378</v>
      </c>
      <c r="R488" t="s">
        <v>832</v>
      </c>
      <c r="S488">
        <f>SUM(TablaSeleccionControladores[[#This Row],[M4-CGE04060-0]:[M4-CGM09090-0H]])</f>
        <v>1</v>
      </c>
      <c r="T488" s="14" cm="1">
        <f t="array" ref="T488">SUM(_xlfn.XLOOKUP(TablaSeleccionControladores[[#Headers],[M4-CGE04060-0]:[M4-XPM18000-0]],TablaControladores[[REFERENCIA]:[REFERENCIA]],TablaControladores[EA])*$AA488:$AJ488)</f>
        <v>0</v>
      </c>
      <c r="U488" s="14" cm="1">
        <f t="array" ref="U488">SUM(_xlfn.XLOOKUP(TablaSeleccionControladores[[#Headers],[M4-CGE04060-0]:[M4-XPM18000-0]],TablaControladores[[REFERENCIA]:[REFERENCIA]],TablaControladores[EU])*$AA488:$AJ488)</f>
        <v>7</v>
      </c>
      <c r="V488" s="14" cm="1">
        <f t="array" ref="V488">SUM(_xlfn.XLOOKUP(TablaSeleccionControladores[[#Headers],[M4-CGE04060-0]:[M4-XPM18000-0]],TablaControladores[[REFERENCIA]:[REFERENCIA]],TablaControladores[ED])*$AA488:$AJ488)</f>
        <v>92</v>
      </c>
      <c r="W488" s="14" cm="1">
        <f t="array" ref="W488">SUM(_xlfn.XLOOKUP(TablaSeleccionControladores[[#Headers],[M4-CGE04060-0]:[M4-XPM18000-0]],TablaControladores[[REFERENCIA]:[REFERENCIA]],TablaControladores[SA])*$AA488:$AJ488)</f>
        <v>2</v>
      </c>
      <c r="X488" s="14" cm="1">
        <f t="array" ref="X488">SUM(_xlfn.XLOOKUP(TablaSeleccionControladores[[#Headers],[M4-CGE04060-0]:[M4-XPM18000-0]],TablaControladores[[REFERENCIA]:[REFERENCIA]],TablaControladores[SC])*$AA488:$AJ488)</f>
        <v>4</v>
      </c>
      <c r="Y488" s="14" cm="1">
        <f t="array" ref="Y488">SUM(_xlfn.XLOOKUP(TablaSeleccionControladores[[#Headers],[M4-CGE04060-0]:[M4-XPM18000-0]],TablaControladores[[REFERENCIA]:[REFERENCIA]],TablaControladores[SD])*$AA488:$AJ488)</f>
        <v>3</v>
      </c>
      <c r="Z488" s="14">
        <f>SUM(TablaSeleccionControladores[[#This Row],[EA]:[SD]])</f>
        <v>108</v>
      </c>
      <c r="AG488" s="14">
        <v>1</v>
      </c>
      <c r="AH488" s="14">
        <v>0</v>
      </c>
      <c r="AI488" s="14">
        <v>0</v>
      </c>
      <c r="AJ488" s="14">
        <v>5</v>
      </c>
    </row>
    <row r="489" spans="17:36" x14ac:dyDescent="0.25">
      <c r="Q489">
        <f t="shared" si="9"/>
        <v>379</v>
      </c>
      <c r="R489" t="s">
        <v>832</v>
      </c>
      <c r="S489">
        <f>SUM(TablaSeleccionControladores[[#This Row],[M4-CGE04060-0]:[M4-CGM09090-0H]])</f>
        <v>1</v>
      </c>
      <c r="T489" s="14" cm="1">
        <f t="array" ref="T489">SUM(_xlfn.XLOOKUP(TablaSeleccionControladores[[#Headers],[M4-CGE04060-0]:[M4-XPM18000-0]],TablaControladores[[REFERENCIA]:[REFERENCIA]],TablaControladores[EA])*$AA489:$AJ489)</f>
        <v>0</v>
      </c>
      <c r="U489" s="14" cm="1">
        <f t="array" ref="U489">SUM(_xlfn.XLOOKUP(TablaSeleccionControladores[[#Headers],[M4-CGE04060-0]:[M4-XPM18000-0]],TablaControladores[[REFERENCIA]:[REFERENCIA]],TablaControladores[EU])*$AA489:$AJ489)</f>
        <v>7</v>
      </c>
      <c r="V489" s="14" cm="1">
        <f t="array" ref="V489">SUM(_xlfn.XLOOKUP(TablaSeleccionControladores[[#Headers],[M4-CGE04060-0]:[M4-XPM18000-0]],TablaControladores[[REFERENCIA]:[REFERENCIA]],TablaControladores[ED])*$AA489:$AJ489)</f>
        <v>110</v>
      </c>
      <c r="W489" s="14" cm="1">
        <f t="array" ref="W489">SUM(_xlfn.XLOOKUP(TablaSeleccionControladores[[#Headers],[M4-CGE04060-0]:[M4-XPM18000-0]],TablaControladores[[REFERENCIA]:[REFERENCIA]],TablaControladores[SA])*$AA489:$AJ489)</f>
        <v>2</v>
      </c>
      <c r="X489" s="14" cm="1">
        <f t="array" ref="X489">SUM(_xlfn.XLOOKUP(TablaSeleccionControladores[[#Headers],[M4-CGE04060-0]:[M4-XPM18000-0]],TablaControladores[[REFERENCIA]:[REFERENCIA]],TablaControladores[SC])*$AA489:$AJ489)</f>
        <v>4</v>
      </c>
      <c r="Y489" s="14" cm="1">
        <f t="array" ref="Y489">SUM(_xlfn.XLOOKUP(TablaSeleccionControladores[[#Headers],[M4-CGE04060-0]:[M4-XPM18000-0]],TablaControladores[[REFERENCIA]:[REFERENCIA]],TablaControladores[SD])*$AA489:$AJ489)</f>
        <v>3</v>
      </c>
      <c r="Z489" s="14">
        <f>SUM(TablaSeleccionControladores[[#This Row],[EA]:[SD]])</f>
        <v>126</v>
      </c>
      <c r="AG489" s="14">
        <v>1</v>
      </c>
      <c r="AH489" s="14">
        <v>0</v>
      </c>
      <c r="AI489" s="14">
        <v>0</v>
      </c>
      <c r="AJ489" s="14">
        <v>6</v>
      </c>
    </row>
    <row r="490" spans="17:36" x14ac:dyDescent="0.25">
      <c r="Q490">
        <f t="shared" si="9"/>
        <v>380</v>
      </c>
      <c r="R490" t="s">
        <v>832</v>
      </c>
      <c r="S490">
        <f>SUM(TablaSeleccionControladores[[#This Row],[M4-CGE04060-0]:[M4-CGM09090-0H]])</f>
        <v>1</v>
      </c>
      <c r="T490" s="14" cm="1">
        <f t="array" ref="T490">SUM(_xlfn.XLOOKUP(TablaSeleccionControladores[[#Headers],[M4-CGE04060-0]:[M4-XPM18000-0]],TablaControladores[[REFERENCIA]:[REFERENCIA]],TablaControladores[EA])*$AA490:$AJ490)</f>
        <v>0</v>
      </c>
      <c r="U490" s="14" cm="1">
        <f t="array" ref="U490">SUM(_xlfn.XLOOKUP(TablaSeleccionControladores[[#Headers],[M4-CGE04060-0]:[M4-XPM18000-0]],TablaControladores[[REFERENCIA]:[REFERENCIA]],TablaControladores[EU])*$AA490:$AJ490)</f>
        <v>14</v>
      </c>
      <c r="V490" s="14" cm="1">
        <f t="array" ref="V490">SUM(_xlfn.XLOOKUP(TablaSeleccionControladores[[#Headers],[M4-CGE04060-0]:[M4-XPM18000-0]],TablaControladores[[REFERENCIA]:[REFERENCIA]],TablaControladores[ED])*$AA490:$AJ490)</f>
        <v>4</v>
      </c>
      <c r="W490" s="14" cm="1">
        <f t="array" ref="W490">SUM(_xlfn.XLOOKUP(TablaSeleccionControladores[[#Headers],[M4-CGE04060-0]:[M4-XPM18000-0]],TablaControladores[[REFERENCIA]:[REFERENCIA]],TablaControladores[SA])*$AA490:$AJ490)</f>
        <v>4</v>
      </c>
      <c r="X490" s="14" cm="1">
        <f t="array" ref="X490">SUM(_xlfn.XLOOKUP(TablaSeleccionControladores[[#Headers],[M4-CGE04060-0]:[M4-XPM18000-0]],TablaControladores[[REFERENCIA]:[REFERENCIA]],TablaControladores[SC])*$AA490:$AJ490)</f>
        <v>8</v>
      </c>
      <c r="Y490" s="14" cm="1">
        <f t="array" ref="Y490">SUM(_xlfn.XLOOKUP(TablaSeleccionControladores[[#Headers],[M4-CGE04060-0]:[M4-XPM18000-0]],TablaControladores[[REFERENCIA]:[REFERENCIA]],TablaControladores[SD])*$AA490:$AJ490)</f>
        <v>6</v>
      </c>
      <c r="Z490" s="14">
        <f>SUM(TablaSeleccionControladores[[#This Row],[EA]:[SD]])</f>
        <v>36</v>
      </c>
      <c r="AG490" s="14">
        <v>1</v>
      </c>
      <c r="AH490" s="14">
        <v>0</v>
      </c>
      <c r="AI490" s="14">
        <v>1</v>
      </c>
      <c r="AJ490" s="14">
        <v>0</v>
      </c>
    </row>
    <row r="491" spans="17:36" x14ac:dyDescent="0.25">
      <c r="Q491">
        <f t="shared" si="9"/>
        <v>381</v>
      </c>
      <c r="R491" t="s">
        <v>832</v>
      </c>
      <c r="S491">
        <f>SUM(TablaSeleccionControladores[[#This Row],[M4-CGE04060-0]:[M4-CGM09090-0H]])</f>
        <v>1</v>
      </c>
      <c r="T491" s="14" cm="1">
        <f t="array" ref="T491">SUM(_xlfn.XLOOKUP(TablaSeleccionControladores[[#Headers],[M4-CGE04060-0]:[M4-XPM18000-0]],TablaControladores[[REFERENCIA]:[REFERENCIA]],TablaControladores[EA])*$AA491:$AJ491)</f>
        <v>0</v>
      </c>
      <c r="U491" s="14" cm="1">
        <f t="array" ref="U491">SUM(_xlfn.XLOOKUP(TablaSeleccionControladores[[#Headers],[M4-CGE04060-0]:[M4-XPM18000-0]],TablaControladores[[REFERENCIA]:[REFERENCIA]],TablaControladores[EU])*$AA491:$AJ491)</f>
        <v>14</v>
      </c>
      <c r="V491" s="14" cm="1">
        <f t="array" ref="V491">SUM(_xlfn.XLOOKUP(TablaSeleccionControladores[[#Headers],[M4-CGE04060-0]:[M4-XPM18000-0]],TablaControladores[[REFERENCIA]:[REFERENCIA]],TablaControladores[ED])*$AA491:$AJ491)</f>
        <v>22</v>
      </c>
      <c r="W491" s="14" cm="1">
        <f t="array" ref="W491">SUM(_xlfn.XLOOKUP(TablaSeleccionControladores[[#Headers],[M4-CGE04060-0]:[M4-XPM18000-0]],TablaControladores[[REFERENCIA]:[REFERENCIA]],TablaControladores[SA])*$AA491:$AJ491)</f>
        <v>4</v>
      </c>
      <c r="X491" s="14" cm="1">
        <f t="array" ref="X491">SUM(_xlfn.XLOOKUP(TablaSeleccionControladores[[#Headers],[M4-CGE04060-0]:[M4-XPM18000-0]],TablaControladores[[REFERENCIA]:[REFERENCIA]],TablaControladores[SC])*$AA491:$AJ491)</f>
        <v>8</v>
      </c>
      <c r="Y491" s="14" cm="1">
        <f t="array" ref="Y491">SUM(_xlfn.XLOOKUP(TablaSeleccionControladores[[#Headers],[M4-CGE04060-0]:[M4-XPM18000-0]],TablaControladores[[REFERENCIA]:[REFERENCIA]],TablaControladores[SD])*$AA491:$AJ491)</f>
        <v>6</v>
      </c>
      <c r="Z491" s="14">
        <f>SUM(TablaSeleccionControladores[[#This Row],[EA]:[SD]])</f>
        <v>54</v>
      </c>
      <c r="AG491" s="14">
        <v>1</v>
      </c>
      <c r="AH491" s="14">
        <v>0</v>
      </c>
      <c r="AI491" s="14">
        <v>1</v>
      </c>
      <c r="AJ491" s="14">
        <v>1</v>
      </c>
    </row>
    <row r="492" spans="17:36" x14ac:dyDescent="0.25">
      <c r="Q492">
        <f t="shared" si="9"/>
        <v>382</v>
      </c>
      <c r="R492" t="s">
        <v>832</v>
      </c>
      <c r="S492">
        <f>SUM(TablaSeleccionControladores[[#This Row],[M4-CGE04060-0]:[M4-CGM09090-0H]])</f>
        <v>1</v>
      </c>
      <c r="T492" s="14" cm="1">
        <f t="array" ref="T492">SUM(_xlfn.XLOOKUP(TablaSeleccionControladores[[#Headers],[M4-CGE04060-0]:[M4-XPM18000-0]],TablaControladores[[REFERENCIA]:[REFERENCIA]],TablaControladores[EA])*$AA492:$AJ492)</f>
        <v>0</v>
      </c>
      <c r="U492" s="14" cm="1">
        <f t="array" ref="U492">SUM(_xlfn.XLOOKUP(TablaSeleccionControladores[[#Headers],[M4-CGE04060-0]:[M4-XPM18000-0]],TablaControladores[[REFERENCIA]:[REFERENCIA]],TablaControladores[EU])*$AA492:$AJ492)</f>
        <v>14</v>
      </c>
      <c r="V492" s="14" cm="1">
        <f t="array" ref="V492">SUM(_xlfn.XLOOKUP(TablaSeleccionControladores[[#Headers],[M4-CGE04060-0]:[M4-XPM18000-0]],TablaControladores[[REFERENCIA]:[REFERENCIA]],TablaControladores[ED])*$AA492:$AJ492)</f>
        <v>40</v>
      </c>
      <c r="W492" s="14" cm="1">
        <f t="array" ref="W492">SUM(_xlfn.XLOOKUP(TablaSeleccionControladores[[#Headers],[M4-CGE04060-0]:[M4-XPM18000-0]],TablaControladores[[REFERENCIA]:[REFERENCIA]],TablaControladores[SA])*$AA492:$AJ492)</f>
        <v>4</v>
      </c>
      <c r="X492" s="14" cm="1">
        <f t="array" ref="X492">SUM(_xlfn.XLOOKUP(TablaSeleccionControladores[[#Headers],[M4-CGE04060-0]:[M4-XPM18000-0]],TablaControladores[[REFERENCIA]:[REFERENCIA]],TablaControladores[SC])*$AA492:$AJ492)</f>
        <v>8</v>
      </c>
      <c r="Y492" s="14" cm="1">
        <f t="array" ref="Y492">SUM(_xlfn.XLOOKUP(TablaSeleccionControladores[[#Headers],[M4-CGE04060-0]:[M4-XPM18000-0]],TablaControladores[[REFERENCIA]:[REFERENCIA]],TablaControladores[SD])*$AA492:$AJ492)</f>
        <v>6</v>
      </c>
      <c r="Z492" s="14">
        <f>SUM(TablaSeleccionControladores[[#This Row],[EA]:[SD]])</f>
        <v>72</v>
      </c>
      <c r="AG492" s="14">
        <v>1</v>
      </c>
      <c r="AH492" s="14">
        <v>0</v>
      </c>
      <c r="AI492" s="14">
        <v>1</v>
      </c>
      <c r="AJ492" s="14">
        <v>2</v>
      </c>
    </row>
    <row r="493" spans="17:36" x14ac:dyDescent="0.25">
      <c r="Q493">
        <f t="shared" si="9"/>
        <v>383</v>
      </c>
      <c r="R493" t="s">
        <v>832</v>
      </c>
      <c r="S493">
        <f>SUM(TablaSeleccionControladores[[#This Row],[M4-CGE04060-0]:[M4-CGM09090-0H]])</f>
        <v>1</v>
      </c>
      <c r="T493" s="14" cm="1">
        <f t="array" ref="T493">SUM(_xlfn.XLOOKUP(TablaSeleccionControladores[[#Headers],[M4-CGE04060-0]:[M4-XPM18000-0]],TablaControladores[[REFERENCIA]:[REFERENCIA]],TablaControladores[EA])*$AA493:$AJ493)</f>
        <v>0</v>
      </c>
      <c r="U493" s="14" cm="1">
        <f t="array" ref="U493">SUM(_xlfn.XLOOKUP(TablaSeleccionControladores[[#Headers],[M4-CGE04060-0]:[M4-XPM18000-0]],TablaControladores[[REFERENCIA]:[REFERENCIA]],TablaControladores[EU])*$AA493:$AJ493)</f>
        <v>14</v>
      </c>
      <c r="V493" s="14" cm="1">
        <f t="array" ref="V493">SUM(_xlfn.XLOOKUP(TablaSeleccionControladores[[#Headers],[M4-CGE04060-0]:[M4-XPM18000-0]],TablaControladores[[REFERENCIA]:[REFERENCIA]],TablaControladores[ED])*$AA493:$AJ493)</f>
        <v>58</v>
      </c>
      <c r="W493" s="14" cm="1">
        <f t="array" ref="W493">SUM(_xlfn.XLOOKUP(TablaSeleccionControladores[[#Headers],[M4-CGE04060-0]:[M4-XPM18000-0]],TablaControladores[[REFERENCIA]:[REFERENCIA]],TablaControladores[SA])*$AA493:$AJ493)</f>
        <v>4</v>
      </c>
      <c r="X493" s="14" cm="1">
        <f t="array" ref="X493">SUM(_xlfn.XLOOKUP(TablaSeleccionControladores[[#Headers],[M4-CGE04060-0]:[M4-XPM18000-0]],TablaControladores[[REFERENCIA]:[REFERENCIA]],TablaControladores[SC])*$AA493:$AJ493)</f>
        <v>8</v>
      </c>
      <c r="Y493" s="14" cm="1">
        <f t="array" ref="Y493">SUM(_xlfn.XLOOKUP(TablaSeleccionControladores[[#Headers],[M4-CGE04060-0]:[M4-XPM18000-0]],TablaControladores[[REFERENCIA]:[REFERENCIA]],TablaControladores[SD])*$AA493:$AJ493)</f>
        <v>6</v>
      </c>
      <c r="Z493" s="14">
        <f>SUM(TablaSeleccionControladores[[#This Row],[EA]:[SD]])</f>
        <v>90</v>
      </c>
      <c r="AG493" s="14">
        <v>1</v>
      </c>
      <c r="AH493" s="14">
        <v>0</v>
      </c>
      <c r="AI493" s="14">
        <v>1</v>
      </c>
      <c r="AJ493" s="14">
        <v>3</v>
      </c>
    </row>
    <row r="494" spans="17:36" x14ac:dyDescent="0.25">
      <c r="Q494">
        <f t="shared" si="9"/>
        <v>384</v>
      </c>
      <c r="R494" t="s">
        <v>832</v>
      </c>
      <c r="S494">
        <f>SUM(TablaSeleccionControladores[[#This Row],[M4-CGE04060-0]:[M4-CGM09090-0H]])</f>
        <v>1</v>
      </c>
      <c r="T494" s="14" cm="1">
        <f t="array" ref="T494">SUM(_xlfn.XLOOKUP(TablaSeleccionControladores[[#Headers],[M4-CGE04060-0]:[M4-XPM18000-0]],TablaControladores[[REFERENCIA]:[REFERENCIA]],TablaControladores[EA])*$AA494:$AJ494)</f>
        <v>0</v>
      </c>
      <c r="U494" s="14" cm="1">
        <f t="array" ref="U494">SUM(_xlfn.XLOOKUP(TablaSeleccionControladores[[#Headers],[M4-CGE04060-0]:[M4-XPM18000-0]],TablaControladores[[REFERENCIA]:[REFERENCIA]],TablaControladores[EU])*$AA494:$AJ494)</f>
        <v>14</v>
      </c>
      <c r="V494" s="14" cm="1">
        <f t="array" ref="V494">SUM(_xlfn.XLOOKUP(TablaSeleccionControladores[[#Headers],[M4-CGE04060-0]:[M4-XPM18000-0]],TablaControladores[[REFERENCIA]:[REFERENCIA]],TablaControladores[ED])*$AA494:$AJ494)</f>
        <v>76</v>
      </c>
      <c r="W494" s="14" cm="1">
        <f t="array" ref="W494">SUM(_xlfn.XLOOKUP(TablaSeleccionControladores[[#Headers],[M4-CGE04060-0]:[M4-XPM18000-0]],TablaControladores[[REFERENCIA]:[REFERENCIA]],TablaControladores[SA])*$AA494:$AJ494)</f>
        <v>4</v>
      </c>
      <c r="X494" s="14" cm="1">
        <f t="array" ref="X494">SUM(_xlfn.XLOOKUP(TablaSeleccionControladores[[#Headers],[M4-CGE04060-0]:[M4-XPM18000-0]],TablaControladores[[REFERENCIA]:[REFERENCIA]],TablaControladores[SC])*$AA494:$AJ494)</f>
        <v>8</v>
      </c>
      <c r="Y494" s="14" cm="1">
        <f t="array" ref="Y494">SUM(_xlfn.XLOOKUP(TablaSeleccionControladores[[#Headers],[M4-CGE04060-0]:[M4-XPM18000-0]],TablaControladores[[REFERENCIA]:[REFERENCIA]],TablaControladores[SD])*$AA494:$AJ494)</f>
        <v>6</v>
      </c>
      <c r="Z494" s="14">
        <f>SUM(TablaSeleccionControladores[[#This Row],[EA]:[SD]])</f>
        <v>108</v>
      </c>
      <c r="AG494" s="14">
        <v>1</v>
      </c>
      <c r="AH494" s="14">
        <v>0</v>
      </c>
      <c r="AI494" s="14">
        <v>1</v>
      </c>
      <c r="AJ494" s="14">
        <v>4</v>
      </c>
    </row>
    <row r="495" spans="17:36" x14ac:dyDescent="0.25">
      <c r="Q495">
        <f t="shared" ref="Q495:Q558" si="10">ROW()-110</f>
        <v>385</v>
      </c>
      <c r="R495" t="s">
        <v>832</v>
      </c>
      <c r="S495">
        <f>SUM(TablaSeleccionControladores[[#This Row],[M4-CGE04060-0]:[M4-CGM09090-0H]])</f>
        <v>1</v>
      </c>
      <c r="T495" s="14" cm="1">
        <f t="array" ref="T495">SUM(_xlfn.XLOOKUP(TablaSeleccionControladores[[#Headers],[M4-CGE04060-0]:[M4-XPM18000-0]],TablaControladores[[REFERENCIA]:[REFERENCIA]],TablaControladores[EA])*$AA495:$AJ495)</f>
        <v>0</v>
      </c>
      <c r="U495" s="14" cm="1">
        <f t="array" ref="U495">SUM(_xlfn.XLOOKUP(TablaSeleccionControladores[[#Headers],[M4-CGE04060-0]:[M4-XPM18000-0]],TablaControladores[[REFERENCIA]:[REFERENCIA]],TablaControladores[EU])*$AA495:$AJ495)</f>
        <v>14</v>
      </c>
      <c r="V495" s="14" cm="1">
        <f t="array" ref="V495">SUM(_xlfn.XLOOKUP(TablaSeleccionControladores[[#Headers],[M4-CGE04060-0]:[M4-XPM18000-0]],TablaControladores[[REFERENCIA]:[REFERENCIA]],TablaControladores[ED])*$AA495:$AJ495)</f>
        <v>94</v>
      </c>
      <c r="W495" s="14" cm="1">
        <f t="array" ref="W495">SUM(_xlfn.XLOOKUP(TablaSeleccionControladores[[#Headers],[M4-CGE04060-0]:[M4-XPM18000-0]],TablaControladores[[REFERENCIA]:[REFERENCIA]],TablaControladores[SA])*$AA495:$AJ495)</f>
        <v>4</v>
      </c>
      <c r="X495" s="14" cm="1">
        <f t="array" ref="X495">SUM(_xlfn.XLOOKUP(TablaSeleccionControladores[[#Headers],[M4-CGE04060-0]:[M4-XPM18000-0]],TablaControladores[[REFERENCIA]:[REFERENCIA]],TablaControladores[SC])*$AA495:$AJ495)</f>
        <v>8</v>
      </c>
      <c r="Y495" s="14" cm="1">
        <f t="array" ref="Y495">SUM(_xlfn.XLOOKUP(TablaSeleccionControladores[[#Headers],[M4-CGE04060-0]:[M4-XPM18000-0]],TablaControladores[[REFERENCIA]:[REFERENCIA]],TablaControladores[SD])*$AA495:$AJ495)</f>
        <v>6</v>
      </c>
      <c r="Z495" s="14">
        <f>SUM(TablaSeleccionControladores[[#This Row],[EA]:[SD]])</f>
        <v>126</v>
      </c>
      <c r="AG495" s="14">
        <v>1</v>
      </c>
      <c r="AH495" s="14">
        <v>0</v>
      </c>
      <c r="AI495" s="14">
        <v>1</v>
      </c>
      <c r="AJ495" s="14">
        <v>5</v>
      </c>
    </row>
    <row r="496" spans="17:36" x14ac:dyDescent="0.25">
      <c r="Q496">
        <f t="shared" si="10"/>
        <v>386</v>
      </c>
      <c r="R496" t="s">
        <v>832</v>
      </c>
      <c r="S496">
        <f>SUM(TablaSeleccionControladores[[#This Row],[M4-CGE04060-0]:[M4-CGM09090-0H]])</f>
        <v>1</v>
      </c>
      <c r="T496" s="14" cm="1">
        <f t="array" ref="T496">SUM(_xlfn.XLOOKUP(TablaSeleccionControladores[[#Headers],[M4-CGE04060-0]:[M4-XPM18000-0]],TablaControladores[[REFERENCIA]:[REFERENCIA]],TablaControladores[EA])*$AA496:$AJ496)</f>
        <v>0</v>
      </c>
      <c r="U496" s="14" cm="1">
        <f t="array" ref="U496">SUM(_xlfn.XLOOKUP(TablaSeleccionControladores[[#Headers],[M4-CGE04060-0]:[M4-XPM18000-0]],TablaControladores[[REFERENCIA]:[REFERENCIA]],TablaControladores[EU])*$AA496:$AJ496)</f>
        <v>21</v>
      </c>
      <c r="V496" s="14" cm="1">
        <f t="array" ref="V496">SUM(_xlfn.XLOOKUP(TablaSeleccionControladores[[#Headers],[M4-CGE04060-0]:[M4-XPM18000-0]],TablaControladores[[REFERENCIA]:[REFERENCIA]],TablaControladores[ED])*$AA496:$AJ496)</f>
        <v>6</v>
      </c>
      <c r="W496" s="14" cm="1">
        <f t="array" ref="W496">SUM(_xlfn.XLOOKUP(TablaSeleccionControladores[[#Headers],[M4-CGE04060-0]:[M4-XPM18000-0]],TablaControladores[[REFERENCIA]:[REFERENCIA]],TablaControladores[SA])*$AA496:$AJ496)</f>
        <v>6</v>
      </c>
      <c r="X496" s="14" cm="1">
        <f t="array" ref="X496">SUM(_xlfn.XLOOKUP(TablaSeleccionControladores[[#Headers],[M4-CGE04060-0]:[M4-XPM18000-0]],TablaControladores[[REFERENCIA]:[REFERENCIA]],TablaControladores[SC])*$AA496:$AJ496)</f>
        <v>12</v>
      </c>
      <c r="Y496" s="14" cm="1">
        <f t="array" ref="Y496">SUM(_xlfn.XLOOKUP(TablaSeleccionControladores[[#Headers],[M4-CGE04060-0]:[M4-XPM18000-0]],TablaControladores[[REFERENCIA]:[REFERENCIA]],TablaControladores[SD])*$AA496:$AJ496)</f>
        <v>9</v>
      </c>
      <c r="Z496" s="14">
        <f>SUM(TablaSeleccionControladores[[#This Row],[EA]:[SD]])</f>
        <v>54</v>
      </c>
      <c r="AG496" s="14">
        <v>1</v>
      </c>
      <c r="AH496" s="14">
        <v>0</v>
      </c>
      <c r="AI496" s="14">
        <v>2</v>
      </c>
      <c r="AJ496" s="14">
        <v>0</v>
      </c>
    </row>
    <row r="497" spans="17:36" x14ac:dyDescent="0.25">
      <c r="Q497">
        <f t="shared" si="10"/>
        <v>387</v>
      </c>
      <c r="R497" t="s">
        <v>832</v>
      </c>
      <c r="S497">
        <f>SUM(TablaSeleccionControladores[[#This Row],[M4-CGE04060-0]:[M4-CGM09090-0H]])</f>
        <v>1</v>
      </c>
      <c r="T497" s="14" cm="1">
        <f t="array" ref="T497">SUM(_xlfn.XLOOKUP(TablaSeleccionControladores[[#Headers],[M4-CGE04060-0]:[M4-XPM18000-0]],TablaControladores[[REFERENCIA]:[REFERENCIA]],TablaControladores[EA])*$AA497:$AJ497)</f>
        <v>0</v>
      </c>
      <c r="U497" s="14" cm="1">
        <f t="array" ref="U497">SUM(_xlfn.XLOOKUP(TablaSeleccionControladores[[#Headers],[M4-CGE04060-0]:[M4-XPM18000-0]],TablaControladores[[REFERENCIA]:[REFERENCIA]],TablaControladores[EU])*$AA497:$AJ497)</f>
        <v>21</v>
      </c>
      <c r="V497" s="14" cm="1">
        <f t="array" ref="V497">SUM(_xlfn.XLOOKUP(TablaSeleccionControladores[[#Headers],[M4-CGE04060-0]:[M4-XPM18000-0]],TablaControladores[[REFERENCIA]:[REFERENCIA]],TablaControladores[ED])*$AA497:$AJ497)</f>
        <v>24</v>
      </c>
      <c r="W497" s="14" cm="1">
        <f t="array" ref="W497">SUM(_xlfn.XLOOKUP(TablaSeleccionControladores[[#Headers],[M4-CGE04060-0]:[M4-XPM18000-0]],TablaControladores[[REFERENCIA]:[REFERENCIA]],TablaControladores[SA])*$AA497:$AJ497)</f>
        <v>6</v>
      </c>
      <c r="X497" s="14" cm="1">
        <f t="array" ref="X497">SUM(_xlfn.XLOOKUP(TablaSeleccionControladores[[#Headers],[M4-CGE04060-0]:[M4-XPM18000-0]],TablaControladores[[REFERENCIA]:[REFERENCIA]],TablaControladores[SC])*$AA497:$AJ497)</f>
        <v>12</v>
      </c>
      <c r="Y497" s="14" cm="1">
        <f t="array" ref="Y497">SUM(_xlfn.XLOOKUP(TablaSeleccionControladores[[#Headers],[M4-CGE04060-0]:[M4-XPM18000-0]],TablaControladores[[REFERENCIA]:[REFERENCIA]],TablaControladores[SD])*$AA497:$AJ497)</f>
        <v>9</v>
      </c>
      <c r="Z497" s="14">
        <f>SUM(TablaSeleccionControladores[[#This Row],[EA]:[SD]])</f>
        <v>72</v>
      </c>
      <c r="AG497" s="14">
        <v>1</v>
      </c>
      <c r="AH497" s="14">
        <v>0</v>
      </c>
      <c r="AI497" s="14">
        <v>2</v>
      </c>
      <c r="AJ497" s="14">
        <v>1</v>
      </c>
    </row>
    <row r="498" spans="17:36" x14ac:dyDescent="0.25">
      <c r="Q498">
        <f t="shared" si="10"/>
        <v>388</v>
      </c>
      <c r="R498" t="s">
        <v>832</v>
      </c>
      <c r="S498">
        <f>SUM(TablaSeleccionControladores[[#This Row],[M4-CGE04060-0]:[M4-CGM09090-0H]])</f>
        <v>1</v>
      </c>
      <c r="T498" s="14" cm="1">
        <f t="array" ref="T498">SUM(_xlfn.XLOOKUP(TablaSeleccionControladores[[#Headers],[M4-CGE04060-0]:[M4-XPM18000-0]],TablaControladores[[REFERENCIA]:[REFERENCIA]],TablaControladores[EA])*$AA498:$AJ498)</f>
        <v>0</v>
      </c>
      <c r="U498" s="14" cm="1">
        <f t="array" ref="U498">SUM(_xlfn.XLOOKUP(TablaSeleccionControladores[[#Headers],[M4-CGE04060-0]:[M4-XPM18000-0]],TablaControladores[[REFERENCIA]:[REFERENCIA]],TablaControladores[EU])*$AA498:$AJ498)</f>
        <v>21</v>
      </c>
      <c r="V498" s="14" cm="1">
        <f t="array" ref="V498">SUM(_xlfn.XLOOKUP(TablaSeleccionControladores[[#Headers],[M4-CGE04060-0]:[M4-XPM18000-0]],TablaControladores[[REFERENCIA]:[REFERENCIA]],TablaControladores[ED])*$AA498:$AJ498)</f>
        <v>42</v>
      </c>
      <c r="W498" s="14" cm="1">
        <f t="array" ref="W498">SUM(_xlfn.XLOOKUP(TablaSeleccionControladores[[#Headers],[M4-CGE04060-0]:[M4-XPM18000-0]],TablaControladores[[REFERENCIA]:[REFERENCIA]],TablaControladores[SA])*$AA498:$AJ498)</f>
        <v>6</v>
      </c>
      <c r="X498" s="14" cm="1">
        <f t="array" ref="X498">SUM(_xlfn.XLOOKUP(TablaSeleccionControladores[[#Headers],[M4-CGE04060-0]:[M4-XPM18000-0]],TablaControladores[[REFERENCIA]:[REFERENCIA]],TablaControladores[SC])*$AA498:$AJ498)</f>
        <v>12</v>
      </c>
      <c r="Y498" s="14" cm="1">
        <f t="array" ref="Y498">SUM(_xlfn.XLOOKUP(TablaSeleccionControladores[[#Headers],[M4-CGE04060-0]:[M4-XPM18000-0]],TablaControladores[[REFERENCIA]:[REFERENCIA]],TablaControladores[SD])*$AA498:$AJ498)</f>
        <v>9</v>
      </c>
      <c r="Z498" s="14">
        <f>SUM(TablaSeleccionControladores[[#This Row],[EA]:[SD]])</f>
        <v>90</v>
      </c>
      <c r="AG498" s="14">
        <v>1</v>
      </c>
      <c r="AH498" s="14">
        <v>0</v>
      </c>
      <c r="AI498" s="14">
        <v>2</v>
      </c>
      <c r="AJ498" s="14">
        <v>2</v>
      </c>
    </row>
    <row r="499" spans="17:36" x14ac:dyDescent="0.25">
      <c r="Q499">
        <f t="shared" si="10"/>
        <v>389</v>
      </c>
      <c r="R499" t="s">
        <v>832</v>
      </c>
      <c r="S499">
        <f>SUM(TablaSeleccionControladores[[#This Row],[M4-CGE04060-0]:[M4-CGM09090-0H]])</f>
        <v>1</v>
      </c>
      <c r="T499" s="14" cm="1">
        <f t="array" ref="T499">SUM(_xlfn.XLOOKUP(TablaSeleccionControladores[[#Headers],[M4-CGE04060-0]:[M4-XPM18000-0]],TablaControladores[[REFERENCIA]:[REFERENCIA]],TablaControladores[EA])*$AA499:$AJ499)</f>
        <v>0</v>
      </c>
      <c r="U499" s="14" cm="1">
        <f t="array" ref="U499">SUM(_xlfn.XLOOKUP(TablaSeleccionControladores[[#Headers],[M4-CGE04060-0]:[M4-XPM18000-0]],TablaControladores[[REFERENCIA]:[REFERENCIA]],TablaControladores[EU])*$AA499:$AJ499)</f>
        <v>21</v>
      </c>
      <c r="V499" s="14" cm="1">
        <f t="array" ref="V499">SUM(_xlfn.XLOOKUP(TablaSeleccionControladores[[#Headers],[M4-CGE04060-0]:[M4-XPM18000-0]],TablaControladores[[REFERENCIA]:[REFERENCIA]],TablaControladores[ED])*$AA499:$AJ499)</f>
        <v>60</v>
      </c>
      <c r="W499" s="14" cm="1">
        <f t="array" ref="W499">SUM(_xlfn.XLOOKUP(TablaSeleccionControladores[[#Headers],[M4-CGE04060-0]:[M4-XPM18000-0]],TablaControladores[[REFERENCIA]:[REFERENCIA]],TablaControladores[SA])*$AA499:$AJ499)</f>
        <v>6</v>
      </c>
      <c r="X499" s="14" cm="1">
        <f t="array" ref="X499">SUM(_xlfn.XLOOKUP(TablaSeleccionControladores[[#Headers],[M4-CGE04060-0]:[M4-XPM18000-0]],TablaControladores[[REFERENCIA]:[REFERENCIA]],TablaControladores[SC])*$AA499:$AJ499)</f>
        <v>12</v>
      </c>
      <c r="Y499" s="14" cm="1">
        <f t="array" ref="Y499">SUM(_xlfn.XLOOKUP(TablaSeleccionControladores[[#Headers],[M4-CGE04060-0]:[M4-XPM18000-0]],TablaControladores[[REFERENCIA]:[REFERENCIA]],TablaControladores[SD])*$AA499:$AJ499)</f>
        <v>9</v>
      </c>
      <c r="Z499" s="14">
        <f>SUM(TablaSeleccionControladores[[#This Row],[EA]:[SD]])</f>
        <v>108</v>
      </c>
      <c r="AG499" s="14">
        <v>1</v>
      </c>
      <c r="AH499" s="14">
        <v>0</v>
      </c>
      <c r="AI499" s="14">
        <v>2</v>
      </c>
      <c r="AJ499" s="14">
        <v>3</v>
      </c>
    </row>
    <row r="500" spans="17:36" x14ac:dyDescent="0.25">
      <c r="Q500">
        <f t="shared" si="10"/>
        <v>390</v>
      </c>
      <c r="R500" t="s">
        <v>832</v>
      </c>
      <c r="S500">
        <f>SUM(TablaSeleccionControladores[[#This Row],[M4-CGE04060-0]:[M4-CGM09090-0H]])</f>
        <v>1</v>
      </c>
      <c r="T500" s="14" cm="1">
        <f t="array" ref="T500">SUM(_xlfn.XLOOKUP(TablaSeleccionControladores[[#Headers],[M4-CGE04060-0]:[M4-XPM18000-0]],TablaControladores[[REFERENCIA]:[REFERENCIA]],TablaControladores[EA])*$AA500:$AJ500)</f>
        <v>0</v>
      </c>
      <c r="U500" s="14" cm="1">
        <f t="array" ref="U500">SUM(_xlfn.XLOOKUP(TablaSeleccionControladores[[#Headers],[M4-CGE04060-0]:[M4-XPM18000-0]],TablaControladores[[REFERENCIA]:[REFERENCIA]],TablaControladores[EU])*$AA500:$AJ500)</f>
        <v>21</v>
      </c>
      <c r="V500" s="14" cm="1">
        <f t="array" ref="V500">SUM(_xlfn.XLOOKUP(TablaSeleccionControladores[[#Headers],[M4-CGE04060-0]:[M4-XPM18000-0]],TablaControladores[[REFERENCIA]:[REFERENCIA]],TablaControladores[ED])*$AA500:$AJ500)</f>
        <v>78</v>
      </c>
      <c r="W500" s="14" cm="1">
        <f t="array" ref="W500">SUM(_xlfn.XLOOKUP(TablaSeleccionControladores[[#Headers],[M4-CGE04060-0]:[M4-XPM18000-0]],TablaControladores[[REFERENCIA]:[REFERENCIA]],TablaControladores[SA])*$AA500:$AJ500)</f>
        <v>6</v>
      </c>
      <c r="X500" s="14" cm="1">
        <f t="array" ref="X500">SUM(_xlfn.XLOOKUP(TablaSeleccionControladores[[#Headers],[M4-CGE04060-0]:[M4-XPM18000-0]],TablaControladores[[REFERENCIA]:[REFERENCIA]],TablaControladores[SC])*$AA500:$AJ500)</f>
        <v>12</v>
      </c>
      <c r="Y500" s="14" cm="1">
        <f t="array" ref="Y500">SUM(_xlfn.XLOOKUP(TablaSeleccionControladores[[#Headers],[M4-CGE04060-0]:[M4-XPM18000-0]],TablaControladores[[REFERENCIA]:[REFERENCIA]],TablaControladores[SD])*$AA500:$AJ500)</f>
        <v>9</v>
      </c>
      <c r="Z500" s="14">
        <f>SUM(TablaSeleccionControladores[[#This Row],[EA]:[SD]])</f>
        <v>126</v>
      </c>
      <c r="AG500" s="14">
        <v>1</v>
      </c>
      <c r="AH500" s="14">
        <v>0</v>
      </c>
      <c r="AI500" s="14">
        <v>2</v>
      </c>
      <c r="AJ500" s="14">
        <v>4</v>
      </c>
    </row>
    <row r="501" spans="17:36" x14ac:dyDescent="0.25">
      <c r="Q501">
        <f t="shared" si="10"/>
        <v>391</v>
      </c>
      <c r="R501" t="s">
        <v>832</v>
      </c>
      <c r="S501">
        <f>SUM(TablaSeleccionControladores[[#This Row],[M4-CGE04060-0]:[M4-CGM09090-0H]])</f>
        <v>1</v>
      </c>
      <c r="T501" s="14" cm="1">
        <f t="array" ref="T501">SUM(_xlfn.XLOOKUP(TablaSeleccionControladores[[#Headers],[M4-CGE04060-0]:[M4-XPM18000-0]],TablaControladores[[REFERENCIA]:[REFERENCIA]],TablaControladores[EA])*$AA501:$AJ501)</f>
        <v>0</v>
      </c>
      <c r="U501" s="14" cm="1">
        <f t="array" ref="U501">SUM(_xlfn.XLOOKUP(TablaSeleccionControladores[[#Headers],[M4-CGE04060-0]:[M4-XPM18000-0]],TablaControladores[[REFERENCIA]:[REFERENCIA]],TablaControladores[EU])*$AA501:$AJ501)</f>
        <v>28</v>
      </c>
      <c r="V501" s="14" cm="1">
        <f t="array" ref="V501">SUM(_xlfn.XLOOKUP(TablaSeleccionControladores[[#Headers],[M4-CGE04060-0]:[M4-XPM18000-0]],TablaControladores[[REFERENCIA]:[REFERENCIA]],TablaControladores[ED])*$AA501:$AJ501)</f>
        <v>8</v>
      </c>
      <c r="W501" s="14" cm="1">
        <f t="array" ref="W501">SUM(_xlfn.XLOOKUP(TablaSeleccionControladores[[#Headers],[M4-CGE04060-0]:[M4-XPM18000-0]],TablaControladores[[REFERENCIA]:[REFERENCIA]],TablaControladores[SA])*$AA501:$AJ501)</f>
        <v>8</v>
      </c>
      <c r="X501" s="14" cm="1">
        <f t="array" ref="X501">SUM(_xlfn.XLOOKUP(TablaSeleccionControladores[[#Headers],[M4-CGE04060-0]:[M4-XPM18000-0]],TablaControladores[[REFERENCIA]:[REFERENCIA]],TablaControladores[SC])*$AA501:$AJ501)</f>
        <v>16</v>
      </c>
      <c r="Y501" s="14" cm="1">
        <f t="array" ref="Y501">SUM(_xlfn.XLOOKUP(TablaSeleccionControladores[[#Headers],[M4-CGE04060-0]:[M4-XPM18000-0]],TablaControladores[[REFERENCIA]:[REFERENCIA]],TablaControladores[SD])*$AA501:$AJ501)</f>
        <v>12</v>
      </c>
      <c r="Z501" s="14">
        <f>SUM(TablaSeleccionControladores[[#This Row],[EA]:[SD]])</f>
        <v>72</v>
      </c>
      <c r="AG501" s="14">
        <v>1</v>
      </c>
      <c r="AH501" s="14">
        <v>0</v>
      </c>
      <c r="AI501" s="14">
        <v>3</v>
      </c>
      <c r="AJ501" s="14">
        <v>0</v>
      </c>
    </row>
    <row r="502" spans="17:36" x14ac:dyDescent="0.25">
      <c r="Q502">
        <f t="shared" si="10"/>
        <v>392</v>
      </c>
      <c r="R502" t="s">
        <v>832</v>
      </c>
      <c r="S502">
        <f>SUM(TablaSeleccionControladores[[#This Row],[M4-CGE04060-0]:[M4-CGM09090-0H]])</f>
        <v>1</v>
      </c>
      <c r="T502" s="14" cm="1">
        <f t="array" ref="T502">SUM(_xlfn.XLOOKUP(TablaSeleccionControladores[[#Headers],[M4-CGE04060-0]:[M4-XPM18000-0]],TablaControladores[[REFERENCIA]:[REFERENCIA]],TablaControladores[EA])*$AA502:$AJ502)</f>
        <v>0</v>
      </c>
      <c r="U502" s="14" cm="1">
        <f t="array" ref="U502">SUM(_xlfn.XLOOKUP(TablaSeleccionControladores[[#Headers],[M4-CGE04060-0]:[M4-XPM18000-0]],TablaControladores[[REFERENCIA]:[REFERENCIA]],TablaControladores[EU])*$AA502:$AJ502)</f>
        <v>28</v>
      </c>
      <c r="V502" s="14" cm="1">
        <f t="array" ref="V502">SUM(_xlfn.XLOOKUP(TablaSeleccionControladores[[#Headers],[M4-CGE04060-0]:[M4-XPM18000-0]],TablaControladores[[REFERENCIA]:[REFERENCIA]],TablaControladores[ED])*$AA502:$AJ502)</f>
        <v>26</v>
      </c>
      <c r="W502" s="14" cm="1">
        <f t="array" ref="W502">SUM(_xlfn.XLOOKUP(TablaSeleccionControladores[[#Headers],[M4-CGE04060-0]:[M4-XPM18000-0]],TablaControladores[[REFERENCIA]:[REFERENCIA]],TablaControladores[SA])*$AA502:$AJ502)</f>
        <v>8</v>
      </c>
      <c r="X502" s="14" cm="1">
        <f t="array" ref="X502">SUM(_xlfn.XLOOKUP(TablaSeleccionControladores[[#Headers],[M4-CGE04060-0]:[M4-XPM18000-0]],TablaControladores[[REFERENCIA]:[REFERENCIA]],TablaControladores[SC])*$AA502:$AJ502)</f>
        <v>16</v>
      </c>
      <c r="Y502" s="14" cm="1">
        <f t="array" ref="Y502">SUM(_xlfn.XLOOKUP(TablaSeleccionControladores[[#Headers],[M4-CGE04060-0]:[M4-XPM18000-0]],TablaControladores[[REFERENCIA]:[REFERENCIA]],TablaControladores[SD])*$AA502:$AJ502)</f>
        <v>12</v>
      </c>
      <c r="Z502" s="14">
        <f>SUM(TablaSeleccionControladores[[#This Row],[EA]:[SD]])</f>
        <v>90</v>
      </c>
      <c r="AG502" s="14">
        <v>1</v>
      </c>
      <c r="AH502" s="14">
        <v>0</v>
      </c>
      <c r="AI502" s="14">
        <v>3</v>
      </c>
      <c r="AJ502" s="14">
        <v>1</v>
      </c>
    </row>
    <row r="503" spans="17:36" x14ac:dyDescent="0.25">
      <c r="Q503">
        <f t="shared" si="10"/>
        <v>393</v>
      </c>
      <c r="R503" t="s">
        <v>832</v>
      </c>
      <c r="S503">
        <f>SUM(TablaSeleccionControladores[[#This Row],[M4-CGE04060-0]:[M4-CGM09090-0H]])</f>
        <v>1</v>
      </c>
      <c r="T503" s="14" cm="1">
        <f t="array" ref="T503">SUM(_xlfn.XLOOKUP(TablaSeleccionControladores[[#Headers],[M4-CGE04060-0]:[M4-XPM18000-0]],TablaControladores[[REFERENCIA]:[REFERENCIA]],TablaControladores[EA])*$AA503:$AJ503)</f>
        <v>0</v>
      </c>
      <c r="U503" s="14" cm="1">
        <f t="array" ref="U503">SUM(_xlfn.XLOOKUP(TablaSeleccionControladores[[#Headers],[M4-CGE04060-0]:[M4-XPM18000-0]],TablaControladores[[REFERENCIA]:[REFERENCIA]],TablaControladores[EU])*$AA503:$AJ503)</f>
        <v>28</v>
      </c>
      <c r="V503" s="14" cm="1">
        <f t="array" ref="V503">SUM(_xlfn.XLOOKUP(TablaSeleccionControladores[[#Headers],[M4-CGE04060-0]:[M4-XPM18000-0]],TablaControladores[[REFERENCIA]:[REFERENCIA]],TablaControladores[ED])*$AA503:$AJ503)</f>
        <v>44</v>
      </c>
      <c r="W503" s="14" cm="1">
        <f t="array" ref="W503">SUM(_xlfn.XLOOKUP(TablaSeleccionControladores[[#Headers],[M4-CGE04060-0]:[M4-XPM18000-0]],TablaControladores[[REFERENCIA]:[REFERENCIA]],TablaControladores[SA])*$AA503:$AJ503)</f>
        <v>8</v>
      </c>
      <c r="X503" s="14" cm="1">
        <f t="array" ref="X503">SUM(_xlfn.XLOOKUP(TablaSeleccionControladores[[#Headers],[M4-CGE04060-0]:[M4-XPM18000-0]],TablaControladores[[REFERENCIA]:[REFERENCIA]],TablaControladores[SC])*$AA503:$AJ503)</f>
        <v>16</v>
      </c>
      <c r="Y503" s="14" cm="1">
        <f t="array" ref="Y503">SUM(_xlfn.XLOOKUP(TablaSeleccionControladores[[#Headers],[M4-CGE04060-0]:[M4-XPM18000-0]],TablaControladores[[REFERENCIA]:[REFERENCIA]],TablaControladores[SD])*$AA503:$AJ503)</f>
        <v>12</v>
      </c>
      <c r="Z503" s="14">
        <f>SUM(TablaSeleccionControladores[[#This Row],[EA]:[SD]])</f>
        <v>108</v>
      </c>
      <c r="AG503" s="14">
        <v>1</v>
      </c>
      <c r="AH503" s="14">
        <v>0</v>
      </c>
      <c r="AI503" s="14">
        <v>3</v>
      </c>
      <c r="AJ503" s="14">
        <v>2</v>
      </c>
    </row>
    <row r="504" spans="17:36" x14ac:dyDescent="0.25">
      <c r="Q504">
        <f t="shared" si="10"/>
        <v>394</v>
      </c>
      <c r="R504" t="s">
        <v>832</v>
      </c>
      <c r="S504">
        <f>SUM(TablaSeleccionControladores[[#This Row],[M4-CGE04060-0]:[M4-CGM09090-0H]])</f>
        <v>1</v>
      </c>
      <c r="T504" s="14" cm="1">
        <f t="array" ref="T504">SUM(_xlfn.XLOOKUP(TablaSeleccionControladores[[#Headers],[M4-CGE04060-0]:[M4-XPM18000-0]],TablaControladores[[REFERENCIA]:[REFERENCIA]],TablaControladores[EA])*$AA504:$AJ504)</f>
        <v>0</v>
      </c>
      <c r="U504" s="14" cm="1">
        <f t="array" ref="U504">SUM(_xlfn.XLOOKUP(TablaSeleccionControladores[[#Headers],[M4-CGE04060-0]:[M4-XPM18000-0]],TablaControladores[[REFERENCIA]:[REFERENCIA]],TablaControladores[EU])*$AA504:$AJ504)</f>
        <v>28</v>
      </c>
      <c r="V504" s="14" cm="1">
        <f t="array" ref="V504">SUM(_xlfn.XLOOKUP(TablaSeleccionControladores[[#Headers],[M4-CGE04060-0]:[M4-XPM18000-0]],TablaControladores[[REFERENCIA]:[REFERENCIA]],TablaControladores[ED])*$AA504:$AJ504)</f>
        <v>62</v>
      </c>
      <c r="W504" s="14" cm="1">
        <f t="array" ref="W504">SUM(_xlfn.XLOOKUP(TablaSeleccionControladores[[#Headers],[M4-CGE04060-0]:[M4-XPM18000-0]],TablaControladores[[REFERENCIA]:[REFERENCIA]],TablaControladores[SA])*$AA504:$AJ504)</f>
        <v>8</v>
      </c>
      <c r="X504" s="14" cm="1">
        <f t="array" ref="X504">SUM(_xlfn.XLOOKUP(TablaSeleccionControladores[[#Headers],[M4-CGE04060-0]:[M4-XPM18000-0]],TablaControladores[[REFERENCIA]:[REFERENCIA]],TablaControladores[SC])*$AA504:$AJ504)</f>
        <v>16</v>
      </c>
      <c r="Y504" s="14" cm="1">
        <f t="array" ref="Y504">SUM(_xlfn.XLOOKUP(TablaSeleccionControladores[[#Headers],[M4-CGE04060-0]:[M4-XPM18000-0]],TablaControladores[[REFERENCIA]:[REFERENCIA]],TablaControladores[SD])*$AA504:$AJ504)</f>
        <v>12</v>
      </c>
      <c r="Z504" s="14">
        <f>SUM(TablaSeleccionControladores[[#This Row],[EA]:[SD]])</f>
        <v>126</v>
      </c>
      <c r="AG504" s="14">
        <v>1</v>
      </c>
      <c r="AH504" s="14">
        <v>0</v>
      </c>
      <c r="AI504" s="14">
        <v>3</v>
      </c>
      <c r="AJ504" s="14">
        <v>3</v>
      </c>
    </row>
    <row r="505" spans="17:36" x14ac:dyDescent="0.25">
      <c r="Q505">
        <f t="shared" si="10"/>
        <v>395</v>
      </c>
      <c r="R505" t="s">
        <v>832</v>
      </c>
      <c r="S505">
        <f>SUM(TablaSeleccionControladores[[#This Row],[M4-CGE04060-0]:[M4-CGM09090-0H]])</f>
        <v>1</v>
      </c>
      <c r="T505" s="14" cm="1">
        <f t="array" ref="T505">SUM(_xlfn.XLOOKUP(TablaSeleccionControladores[[#Headers],[M4-CGE04060-0]:[M4-XPM18000-0]],TablaControladores[[REFERENCIA]:[REFERENCIA]],TablaControladores[EA])*$AA505:$AJ505)</f>
        <v>0</v>
      </c>
      <c r="U505" s="14" cm="1">
        <f t="array" ref="U505">SUM(_xlfn.XLOOKUP(TablaSeleccionControladores[[#Headers],[M4-CGE04060-0]:[M4-XPM18000-0]],TablaControladores[[REFERENCIA]:[REFERENCIA]],TablaControladores[EU])*$AA505:$AJ505)</f>
        <v>35</v>
      </c>
      <c r="V505" s="14" cm="1">
        <f t="array" ref="V505">SUM(_xlfn.XLOOKUP(TablaSeleccionControladores[[#Headers],[M4-CGE04060-0]:[M4-XPM18000-0]],TablaControladores[[REFERENCIA]:[REFERENCIA]],TablaControladores[ED])*$AA505:$AJ505)</f>
        <v>10</v>
      </c>
      <c r="W505" s="14" cm="1">
        <f t="array" ref="W505">SUM(_xlfn.XLOOKUP(TablaSeleccionControladores[[#Headers],[M4-CGE04060-0]:[M4-XPM18000-0]],TablaControladores[[REFERENCIA]:[REFERENCIA]],TablaControladores[SA])*$AA505:$AJ505)</f>
        <v>10</v>
      </c>
      <c r="X505" s="14" cm="1">
        <f t="array" ref="X505">SUM(_xlfn.XLOOKUP(TablaSeleccionControladores[[#Headers],[M4-CGE04060-0]:[M4-XPM18000-0]],TablaControladores[[REFERENCIA]:[REFERENCIA]],TablaControladores[SC])*$AA505:$AJ505)</f>
        <v>20</v>
      </c>
      <c r="Y505" s="14" cm="1">
        <f t="array" ref="Y505">SUM(_xlfn.XLOOKUP(TablaSeleccionControladores[[#Headers],[M4-CGE04060-0]:[M4-XPM18000-0]],TablaControladores[[REFERENCIA]:[REFERENCIA]],TablaControladores[SD])*$AA505:$AJ505)</f>
        <v>15</v>
      </c>
      <c r="Z505" s="14">
        <f>SUM(TablaSeleccionControladores[[#This Row],[EA]:[SD]])</f>
        <v>90</v>
      </c>
      <c r="AG505" s="14">
        <v>1</v>
      </c>
      <c r="AH505" s="14">
        <v>0</v>
      </c>
      <c r="AI505" s="14">
        <v>4</v>
      </c>
      <c r="AJ505" s="14">
        <v>0</v>
      </c>
    </row>
    <row r="506" spans="17:36" x14ac:dyDescent="0.25">
      <c r="Q506">
        <f t="shared" si="10"/>
        <v>396</v>
      </c>
      <c r="R506" t="s">
        <v>832</v>
      </c>
      <c r="S506">
        <f>SUM(TablaSeleccionControladores[[#This Row],[M4-CGE04060-0]:[M4-CGM09090-0H]])</f>
        <v>1</v>
      </c>
      <c r="T506" s="14" cm="1">
        <f t="array" ref="T506">SUM(_xlfn.XLOOKUP(TablaSeleccionControladores[[#Headers],[M4-CGE04060-0]:[M4-XPM18000-0]],TablaControladores[[REFERENCIA]:[REFERENCIA]],TablaControladores[EA])*$AA506:$AJ506)</f>
        <v>0</v>
      </c>
      <c r="U506" s="14" cm="1">
        <f t="array" ref="U506">SUM(_xlfn.XLOOKUP(TablaSeleccionControladores[[#Headers],[M4-CGE04060-0]:[M4-XPM18000-0]],TablaControladores[[REFERENCIA]:[REFERENCIA]],TablaControladores[EU])*$AA506:$AJ506)</f>
        <v>35</v>
      </c>
      <c r="V506" s="14" cm="1">
        <f t="array" ref="V506">SUM(_xlfn.XLOOKUP(TablaSeleccionControladores[[#Headers],[M4-CGE04060-0]:[M4-XPM18000-0]],TablaControladores[[REFERENCIA]:[REFERENCIA]],TablaControladores[ED])*$AA506:$AJ506)</f>
        <v>28</v>
      </c>
      <c r="W506" s="14" cm="1">
        <f t="array" ref="W506">SUM(_xlfn.XLOOKUP(TablaSeleccionControladores[[#Headers],[M4-CGE04060-0]:[M4-XPM18000-0]],TablaControladores[[REFERENCIA]:[REFERENCIA]],TablaControladores[SA])*$AA506:$AJ506)</f>
        <v>10</v>
      </c>
      <c r="X506" s="14" cm="1">
        <f t="array" ref="X506">SUM(_xlfn.XLOOKUP(TablaSeleccionControladores[[#Headers],[M4-CGE04060-0]:[M4-XPM18000-0]],TablaControladores[[REFERENCIA]:[REFERENCIA]],TablaControladores[SC])*$AA506:$AJ506)</f>
        <v>20</v>
      </c>
      <c r="Y506" s="14" cm="1">
        <f t="array" ref="Y506">SUM(_xlfn.XLOOKUP(TablaSeleccionControladores[[#Headers],[M4-CGE04060-0]:[M4-XPM18000-0]],TablaControladores[[REFERENCIA]:[REFERENCIA]],TablaControladores[SD])*$AA506:$AJ506)</f>
        <v>15</v>
      </c>
      <c r="Z506" s="14">
        <f>SUM(TablaSeleccionControladores[[#This Row],[EA]:[SD]])</f>
        <v>108</v>
      </c>
      <c r="AG506" s="14">
        <v>1</v>
      </c>
      <c r="AH506" s="14">
        <v>0</v>
      </c>
      <c r="AI506" s="14">
        <v>4</v>
      </c>
      <c r="AJ506" s="14">
        <v>1</v>
      </c>
    </row>
    <row r="507" spans="17:36" x14ac:dyDescent="0.25">
      <c r="Q507">
        <f t="shared" si="10"/>
        <v>397</v>
      </c>
      <c r="R507" t="s">
        <v>832</v>
      </c>
      <c r="S507">
        <f>SUM(TablaSeleccionControladores[[#This Row],[M4-CGE04060-0]:[M4-CGM09090-0H]])</f>
        <v>1</v>
      </c>
      <c r="T507" s="14" cm="1">
        <f t="array" ref="T507">SUM(_xlfn.XLOOKUP(TablaSeleccionControladores[[#Headers],[M4-CGE04060-0]:[M4-XPM18000-0]],TablaControladores[[REFERENCIA]:[REFERENCIA]],TablaControladores[EA])*$AA507:$AJ507)</f>
        <v>0</v>
      </c>
      <c r="U507" s="14" cm="1">
        <f t="array" ref="U507">SUM(_xlfn.XLOOKUP(TablaSeleccionControladores[[#Headers],[M4-CGE04060-0]:[M4-XPM18000-0]],TablaControladores[[REFERENCIA]:[REFERENCIA]],TablaControladores[EU])*$AA507:$AJ507)</f>
        <v>35</v>
      </c>
      <c r="V507" s="14" cm="1">
        <f t="array" ref="V507">SUM(_xlfn.XLOOKUP(TablaSeleccionControladores[[#Headers],[M4-CGE04060-0]:[M4-XPM18000-0]],TablaControladores[[REFERENCIA]:[REFERENCIA]],TablaControladores[ED])*$AA507:$AJ507)</f>
        <v>46</v>
      </c>
      <c r="W507" s="14" cm="1">
        <f t="array" ref="W507">SUM(_xlfn.XLOOKUP(TablaSeleccionControladores[[#Headers],[M4-CGE04060-0]:[M4-XPM18000-0]],TablaControladores[[REFERENCIA]:[REFERENCIA]],TablaControladores[SA])*$AA507:$AJ507)</f>
        <v>10</v>
      </c>
      <c r="X507" s="14" cm="1">
        <f t="array" ref="X507">SUM(_xlfn.XLOOKUP(TablaSeleccionControladores[[#Headers],[M4-CGE04060-0]:[M4-XPM18000-0]],TablaControladores[[REFERENCIA]:[REFERENCIA]],TablaControladores[SC])*$AA507:$AJ507)</f>
        <v>20</v>
      </c>
      <c r="Y507" s="14" cm="1">
        <f t="array" ref="Y507">SUM(_xlfn.XLOOKUP(TablaSeleccionControladores[[#Headers],[M4-CGE04060-0]:[M4-XPM18000-0]],TablaControladores[[REFERENCIA]:[REFERENCIA]],TablaControladores[SD])*$AA507:$AJ507)</f>
        <v>15</v>
      </c>
      <c r="Z507" s="14">
        <f>SUM(TablaSeleccionControladores[[#This Row],[EA]:[SD]])</f>
        <v>126</v>
      </c>
      <c r="AG507" s="14">
        <v>1</v>
      </c>
      <c r="AH507" s="14">
        <v>0</v>
      </c>
      <c r="AI507" s="14">
        <v>4</v>
      </c>
      <c r="AJ507" s="14">
        <v>2</v>
      </c>
    </row>
    <row r="508" spans="17:36" x14ac:dyDescent="0.25">
      <c r="Q508">
        <f t="shared" si="10"/>
        <v>398</v>
      </c>
      <c r="R508" t="s">
        <v>832</v>
      </c>
      <c r="S508">
        <f>SUM(TablaSeleccionControladores[[#This Row],[M4-CGE04060-0]:[M4-CGM09090-0H]])</f>
        <v>1</v>
      </c>
      <c r="T508" s="14" cm="1">
        <f t="array" ref="T508">SUM(_xlfn.XLOOKUP(TablaSeleccionControladores[[#Headers],[M4-CGE04060-0]:[M4-XPM18000-0]],TablaControladores[[REFERENCIA]:[REFERENCIA]],TablaControladores[EA])*$AA508:$AJ508)</f>
        <v>0</v>
      </c>
      <c r="U508" s="14" cm="1">
        <f t="array" ref="U508">SUM(_xlfn.XLOOKUP(TablaSeleccionControladores[[#Headers],[M4-CGE04060-0]:[M4-XPM18000-0]],TablaControladores[[REFERENCIA]:[REFERENCIA]],TablaControladores[EU])*$AA508:$AJ508)</f>
        <v>42</v>
      </c>
      <c r="V508" s="14" cm="1">
        <f t="array" ref="V508">SUM(_xlfn.XLOOKUP(TablaSeleccionControladores[[#Headers],[M4-CGE04060-0]:[M4-XPM18000-0]],TablaControladores[[REFERENCIA]:[REFERENCIA]],TablaControladores[ED])*$AA508:$AJ508)</f>
        <v>12</v>
      </c>
      <c r="W508" s="14" cm="1">
        <f t="array" ref="W508">SUM(_xlfn.XLOOKUP(TablaSeleccionControladores[[#Headers],[M4-CGE04060-0]:[M4-XPM18000-0]],TablaControladores[[REFERENCIA]:[REFERENCIA]],TablaControladores[SA])*$AA508:$AJ508)</f>
        <v>12</v>
      </c>
      <c r="X508" s="14" cm="1">
        <f t="array" ref="X508">SUM(_xlfn.XLOOKUP(TablaSeleccionControladores[[#Headers],[M4-CGE04060-0]:[M4-XPM18000-0]],TablaControladores[[REFERENCIA]:[REFERENCIA]],TablaControladores[SC])*$AA508:$AJ508)</f>
        <v>24</v>
      </c>
      <c r="Y508" s="14" cm="1">
        <f t="array" ref="Y508">SUM(_xlfn.XLOOKUP(TablaSeleccionControladores[[#Headers],[M4-CGE04060-0]:[M4-XPM18000-0]],TablaControladores[[REFERENCIA]:[REFERENCIA]],TablaControladores[SD])*$AA508:$AJ508)</f>
        <v>18</v>
      </c>
      <c r="Z508" s="14">
        <f>SUM(TablaSeleccionControladores[[#This Row],[EA]:[SD]])</f>
        <v>108</v>
      </c>
      <c r="AG508" s="14">
        <v>1</v>
      </c>
      <c r="AH508" s="14">
        <v>0</v>
      </c>
      <c r="AI508" s="14">
        <v>5</v>
      </c>
      <c r="AJ508" s="14">
        <v>0</v>
      </c>
    </row>
    <row r="509" spans="17:36" x14ac:dyDescent="0.25">
      <c r="Q509">
        <f t="shared" si="10"/>
        <v>399</v>
      </c>
      <c r="R509" t="s">
        <v>832</v>
      </c>
      <c r="S509">
        <f>SUM(TablaSeleccionControladores[[#This Row],[M4-CGE04060-0]:[M4-CGM09090-0H]])</f>
        <v>1</v>
      </c>
      <c r="T509" s="14" cm="1">
        <f t="array" ref="T509">SUM(_xlfn.XLOOKUP(TablaSeleccionControladores[[#Headers],[M4-CGE04060-0]:[M4-XPM18000-0]],TablaControladores[[REFERENCIA]:[REFERENCIA]],TablaControladores[EA])*$AA509:$AJ509)</f>
        <v>0</v>
      </c>
      <c r="U509" s="14" cm="1">
        <f t="array" ref="U509">SUM(_xlfn.XLOOKUP(TablaSeleccionControladores[[#Headers],[M4-CGE04060-0]:[M4-XPM18000-0]],TablaControladores[[REFERENCIA]:[REFERENCIA]],TablaControladores[EU])*$AA509:$AJ509)</f>
        <v>42</v>
      </c>
      <c r="V509" s="14" cm="1">
        <f t="array" ref="V509">SUM(_xlfn.XLOOKUP(TablaSeleccionControladores[[#Headers],[M4-CGE04060-0]:[M4-XPM18000-0]],TablaControladores[[REFERENCIA]:[REFERENCIA]],TablaControladores[ED])*$AA509:$AJ509)</f>
        <v>30</v>
      </c>
      <c r="W509" s="14" cm="1">
        <f t="array" ref="W509">SUM(_xlfn.XLOOKUP(TablaSeleccionControladores[[#Headers],[M4-CGE04060-0]:[M4-XPM18000-0]],TablaControladores[[REFERENCIA]:[REFERENCIA]],TablaControladores[SA])*$AA509:$AJ509)</f>
        <v>12</v>
      </c>
      <c r="X509" s="14" cm="1">
        <f t="array" ref="X509">SUM(_xlfn.XLOOKUP(TablaSeleccionControladores[[#Headers],[M4-CGE04060-0]:[M4-XPM18000-0]],TablaControladores[[REFERENCIA]:[REFERENCIA]],TablaControladores[SC])*$AA509:$AJ509)</f>
        <v>24</v>
      </c>
      <c r="Y509" s="14" cm="1">
        <f t="array" ref="Y509">SUM(_xlfn.XLOOKUP(TablaSeleccionControladores[[#Headers],[M4-CGE04060-0]:[M4-XPM18000-0]],TablaControladores[[REFERENCIA]:[REFERENCIA]],TablaControladores[SD])*$AA509:$AJ509)</f>
        <v>18</v>
      </c>
      <c r="Z509" s="14">
        <f>SUM(TablaSeleccionControladores[[#This Row],[EA]:[SD]])</f>
        <v>126</v>
      </c>
      <c r="AG509" s="14">
        <v>1</v>
      </c>
      <c r="AH509" s="14">
        <v>0</v>
      </c>
      <c r="AI509" s="14">
        <v>5</v>
      </c>
      <c r="AJ509" s="14">
        <v>1</v>
      </c>
    </row>
    <row r="510" spans="17:36" x14ac:dyDescent="0.25">
      <c r="Q510">
        <f t="shared" si="10"/>
        <v>400</v>
      </c>
      <c r="R510" t="s">
        <v>832</v>
      </c>
      <c r="S510">
        <f>SUM(TablaSeleccionControladores[[#This Row],[M4-CGE04060-0]:[M4-CGM09090-0H]])</f>
        <v>1</v>
      </c>
      <c r="T510" s="14" cm="1">
        <f t="array" ref="T510">SUM(_xlfn.XLOOKUP(TablaSeleccionControladores[[#Headers],[M4-CGE04060-0]:[M4-XPM18000-0]],TablaControladores[[REFERENCIA]:[REFERENCIA]],TablaControladores[EA])*$AA510:$AJ510)</f>
        <v>0</v>
      </c>
      <c r="U510" s="14" cm="1">
        <f t="array" ref="U510">SUM(_xlfn.XLOOKUP(TablaSeleccionControladores[[#Headers],[M4-CGE04060-0]:[M4-XPM18000-0]],TablaControladores[[REFERENCIA]:[REFERENCIA]],TablaControladores[EU])*$AA510:$AJ510)</f>
        <v>49</v>
      </c>
      <c r="V510" s="14" cm="1">
        <f t="array" ref="V510">SUM(_xlfn.XLOOKUP(TablaSeleccionControladores[[#Headers],[M4-CGE04060-0]:[M4-XPM18000-0]],TablaControladores[[REFERENCIA]:[REFERENCIA]],TablaControladores[ED])*$AA510:$AJ510)</f>
        <v>14</v>
      </c>
      <c r="W510" s="14" cm="1">
        <f t="array" ref="W510">SUM(_xlfn.XLOOKUP(TablaSeleccionControladores[[#Headers],[M4-CGE04060-0]:[M4-XPM18000-0]],TablaControladores[[REFERENCIA]:[REFERENCIA]],TablaControladores[SA])*$AA510:$AJ510)</f>
        <v>14</v>
      </c>
      <c r="X510" s="14" cm="1">
        <f t="array" ref="X510">SUM(_xlfn.XLOOKUP(TablaSeleccionControladores[[#Headers],[M4-CGE04060-0]:[M4-XPM18000-0]],TablaControladores[[REFERENCIA]:[REFERENCIA]],TablaControladores[SC])*$AA510:$AJ510)</f>
        <v>28</v>
      </c>
      <c r="Y510" s="14" cm="1">
        <f t="array" ref="Y510">SUM(_xlfn.XLOOKUP(TablaSeleccionControladores[[#Headers],[M4-CGE04060-0]:[M4-XPM18000-0]],TablaControladores[[REFERENCIA]:[REFERENCIA]],TablaControladores[SD])*$AA510:$AJ510)</f>
        <v>21</v>
      </c>
      <c r="Z510" s="14">
        <f>SUM(TablaSeleccionControladores[[#This Row],[EA]:[SD]])</f>
        <v>126</v>
      </c>
      <c r="AG510" s="14">
        <v>1</v>
      </c>
      <c r="AH510" s="14">
        <v>0</v>
      </c>
      <c r="AI510" s="14">
        <v>6</v>
      </c>
      <c r="AJ510" s="14">
        <v>0</v>
      </c>
    </row>
    <row r="511" spans="17:36" x14ac:dyDescent="0.25">
      <c r="Q511">
        <f t="shared" si="10"/>
        <v>401</v>
      </c>
      <c r="R511" t="s">
        <v>832</v>
      </c>
      <c r="S511">
        <f>SUM(TablaSeleccionControladores[[#This Row],[M4-CGE04060-0]:[M4-CGM09090-0H]])</f>
        <v>1</v>
      </c>
      <c r="T511" s="14" cm="1">
        <f t="array" ref="T511">SUM(_xlfn.XLOOKUP(TablaSeleccionControladores[[#Headers],[M4-CGE04060-0]:[M4-XPM18000-0]],TablaControladores[[REFERENCIA]:[REFERENCIA]],TablaControladores[EA])*$AA511:$AJ511)</f>
        <v>0</v>
      </c>
      <c r="U511" s="14" cm="1">
        <f t="array" ref="U511">SUM(_xlfn.XLOOKUP(TablaSeleccionControladores[[#Headers],[M4-CGE04060-0]:[M4-XPM18000-0]],TablaControladores[[REFERENCIA]:[REFERENCIA]],TablaControladores[EU])*$AA511:$AJ511)</f>
        <v>10</v>
      </c>
      <c r="V511" s="14" cm="1">
        <f t="array" ref="V511">SUM(_xlfn.XLOOKUP(TablaSeleccionControladores[[#Headers],[M4-CGE04060-0]:[M4-XPM18000-0]],TablaControladores[[REFERENCIA]:[REFERENCIA]],TablaControladores[ED])*$AA511:$AJ511)</f>
        <v>3</v>
      </c>
      <c r="W511" s="14" cm="1">
        <f t="array" ref="W511">SUM(_xlfn.XLOOKUP(TablaSeleccionControladores[[#Headers],[M4-CGE04060-0]:[M4-XPM18000-0]],TablaControladores[[REFERENCIA]:[REFERENCIA]],TablaControladores[SA])*$AA511:$AJ511)</f>
        <v>4</v>
      </c>
      <c r="X511" s="14" cm="1">
        <f t="array" ref="X511">SUM(_xlfn.XLOOKUP(TablaSeleccionControladores[[#Headers],[M4-CGE04060-0]:[M4-XPM18000-0]],TablaControladores[[REFERENCIA]:[REFERENCIA]],TablaControladores[SC])*$AA511:$AJ511)</f>
        <v>8</v>
      </c>
      <c r="Y511" s="14" cm="1">
        <f t="array" ref="Y511">SUM(_xlfn.XLOOKUP(TablaSeleccionControladores[[#Headers],[M4-CGE04060-0]:[M4-XPM18000-0]],TablaControladores[[REFERENCIA]:[REFERENCIA]],TablaControladores[SD])*$AA511:$AJ511)</f>
        <v>6</v>
      </c>
      <c r="Z511" s="14">
        <f>SUM(TablaSeleccionControladores[[#This Row],[EA]:[SD]])</f>
        <v>31</v>
      </c>
      <c r="AG511" s="14">
        <v>1</v>
      </c>
      <c r="AH511" s="14">
        <v>1</v>
      </c>
      <c r="AI511" s="14">
        <v>0</v>
      </c>
      <c r="AJ511" s="14">
        <v>0</v>
      </c>
    </row>
    <row r="512" spans="17:36" x14ac:dyDescent="0.25">
      <c r="Q512">
        <f t="shared" si="10"/>
        <v>402</v>
      </c>
      <c r="R512" t="s">
        <v>832</v>
      </c>
      <c r="S512">
        <f>SUM(TablaSeleccionControladores[[#This Row],[M4-CGE04060-0]:[M4-CGM09090-0H]])</f>
        <v>1</v>
      </c>
      <c r="T512" s="14" cm="1">
        <f t="array" ref="T512">SUM(_xlfn.XLOOKUP(TablaSeleccionControladores[[#Headers],[M4-CGE04060-0]:[M4-XPM18000-0]],TablaControladores[[REFERENCIA]:[REFERENCIA]],TablaControladores[EA])*$AA512:$AJ512)</f>
        <v>0</v>
      </c>
      <c r="U512" s="14" cm="1">
        <f t="array" ref="U512">SUM(_xlfn.XLOOKUP(TablaSeleccionControladores[[#Headers],[M4-CGE04060-0]:[M4-XPM18000-0]],TablaControladores[[REFERENCIA]:[REFERENCIA]],TablaControladores[EU])*$AA512:$AJ512)</f>
        <v>10</v>
      </c>
      <c r="V512" s="14" cm="1">
        <f t="array" ref="V512">SUM(_xlfn.XLOOKUP(TablaSeleccionControladores[[#Headers],[M4-CGE04060-0]:[M4-XPM18000-0]],TablaControladores[[REFERENCIA]:[REFERENCIA]],TablaControladores[ED])*$AA512:$AJ512)</f>
        <v>21</v>
      </c>
      <c r="W512" s="14" cm="1">
        <f t="array" ref="W512">SUM(_xlfn.XLOOKUP(TablaSeleccionControladores[[#Headers],[M4-CGE04060-0]:[M4-XPM18000-0]],TablaControladores[[REFERENCIA]:[REFERENCIA]],TablaControladores[SA])*$AA512:$AJ512)</f>
        <v>4</v>
      </c>
      <c r="X512" s="14" cm="1">
        <f t="array" ref="X512">SUM(_xlfn.XLOOKUP(TablaSeleccionControladores[[#Headers],[M4-CGE04060-0]:[M4-XPM18000-0]],TablaControladores[[REFERENCIA]:[REFERENCIA]],TablaControladores[SC])*$AA512:$AJ512)</f>
        <v>8</v>
      </c>
      <c r="Y512" s="14" cm="1">
        <f t="array" ref="Y512">SUM(_xlfn.XLOOKUP(TablaSeleccionControladores[[#Headers],[M4-CGE04060-0]:[M4-XPM18000-0]],TablaControladores[[REFERENCIA]:[REFERENCIA]],TablaControladores[SD])*$AA512:$AJ512)</f>
        <v>6</v>
      </c>
      <c r="Z512" s="14">
        <f>SUM(TablaSeleccionControladores[[#This Row],[EA]:[SD]])</f>
        <v>49</v>
      </c>
      <c r="AG512" s="14">
        <v>1</v>
      </c>
      <c r="AH512" s="14">
        <v>1</v>
      </c>
      <c r="AI512" s="14">
        <v>0</v>
      </c>
      <c r="AJ512" s="14">
        <v>1</v>
      </c>
    </row>
    <row r="513" spans="17:36" x14ac:dyDescent="0.25">
      <c r="Q513">
        <f t="shared" si="10"/>
        <v>403</v>
      </c>
      <c r="R513" t="s">
        <v>832</v>
      </c>
      <c r="S513">
        <f>SUM(TablaSeleccionControladores[[#This Row],[M4-CGE04060-0]:[M4-CGM09090-0H]])</f>
        <v>1</v>
      </c>
      <c r="T513" s="14" cm="1">
        <f t="array" ref="T513">SUM(_xlfn.XLOOKUP(TablaSeleccionControladores[[#Headers],[M4-CGE04060-0]:[M4-XPM18000-0]],TablaControladores[[REFERENCIA]:[REFERENCIA]],TablaControladores[EA])*$AA513:$AJ513)</f>
        <v>0</v>
      </c>
      <c r="U513" s="14" cm="1">
        <f t="array" ref="U513">SUM(_xlfn.XLOOKUP(TablaSeleccionControladores[[#Headers],[M4-CGE04060-0]:[M4-XPM18000-0]],TablaControladores[[REFERENCIA]:[REFERENCIA]],TablaControladores[EU])*$AA513:$AJ513)</f>
        <v>10</v>
      </c>
      <c r="V513" s="14" cm="1">
        <f t="array" ref="V513">SUM(_xlfn.XLOOKUP(TablaSeleccionControladores[[#Headers],[M4-CGE04060-0]:[M4-XPM18000-0]],TablaControladores[[REFERENCIA]:[REFERENCIA]],TablaControladores[ED])*$AA513:$AJ513)</f>
        <v>39</v>
      </c>
      <c r="W513" s="14" cm="1">
        <f t="array" ref="W513">SUM(_xlfn.XLOOKUP(TablaSeleccionControladores[[#Headers],[M4-CGE04060-0]:[M4-XPM18000-0]],TablaControladores[[REFERENCIA]:[REFERENCIA]],TablaControladores[SA])*$AA513:$AJ513)</f>
        <v>4</v>
      </c>
      <c r="X513" s="14" cm="1">
        <f t="array" ref="X513">SUM(_xlfn.XLOOKUP(TablaSeleccionControladores[[#Headers],[M4-CGE04060-0]:[M4-XPM18000-0]],TablaControladores[[REFERENCIA]:[REFERENCIA]],TablaControladores[SC])*$AA513:$AJ513)</f>
        <v>8</v>
      </c>
      <c r="Y513" s="14" cm="1">
        <f t="array" ref="Y513">SUM(_xlfn.XLOOKUP(TablaSeleccionControladores[[#Headers],[M4-CGE04060-0]:[M4-XPM18000-0]],TablaControladores[[REFERENCIA]:[REFERENCIA]],TablaControladores[SD])*$AA513:$AJ513)</f>
        <v>6</v>
      </c>
      <c r="Z513" s="14">
        <f>SUM(TablaSeleccionControladores[[#This Row],[EA]:[SD]])</f>
        <v>67</v>
      </c>
      <c r="AG513" s="14">
        <v>1</v>
      </c>
      <c r="AH513" s="14">
        <v>1</v>
      </c>
      <c r="AI513" s="14">
        <v>0</v>
      </c>
      <c r="AJ513" s="14">
        <v>2</v>
      </c>
    </row>
    <row r="514" spans="17:36" x14ac:dyDescent="0.25">
      <c r="Q514">
        <f t="shared" si="10"/>
        <v>404</v>
      </c>
      <c r="R514" t="s">
        <v>832</v>
      </c>
      <c r="S514">
        <f>SUM(TablaSeleccionControladores[[#This Row],[M4-CGE04060-0]:[M4-CGM09090-0H]])</f>
        <v>1</v>
      </c>
      <c r="T514" s="14" cm="1">
        <f t="array" ref="T514">SUM(_xlfn.XLOOKUP(TablaSeleccionControladores[[#Headers],[M4-CGE04060-0]:[M4-XPM18000-0]],TablaControladores[[REFERENCIA]:[REFERENCIA]],TablaControladores[EA])*$AA514:$AJ514)</f>
        <v>0</v>
      </c>
      <c r="U514" s="14" cm="1">
        <f t="array" ref="U514">SUM(_xlfn.XLOOKUP(TablaSeleccionControladores[[#Headers],[M4-CGE04060-0]:[M4-XPM18000-0]],TablaControladores[[REFERENCIA]:[REFERENCIA]],TablaControladores[EU])*$AA514:$AJ514)</f>
        <v>10</v>
      </c>
      <c r="V514" s="14" cm="1">
        <f t="array" ref="V514">SUM(_xlfn.XLOOKUP(TablaSeleccionControladores[[#Headers],[M4-CGE04060-0]:[M4-XPM18000-0]],TablaControladores[[REFERENCIA]:[REFERENCIA]],TablaControladores[ED])*$AA514:$AJ514)</f>
        <v>57</v>
      </c>
      <c r="W514" s="14" cm="1">
        <f t="array" ref="W514">SUM(_xlfn.XLOOKUP(TablaSeleccionControladores[[#Headers],[M4-CGE04060-0]:[M4-XPM18000-0]],TablaControladores[[REFERENCIA]:[REFERENCIA]],TablaControladores[SA])*$AA514:$AJ514)</f>
        <v>4</v>
      </c>
      <c r="X514" s="14" cm="1">
        <f t="array" ref="X514">SUM(_xlfn.XLOOKUP(TablaSeleccionControladores[[#Headers],[M4-CGE04060-0]:[M4-XPM18000-0]],TablaControladores[[REFERENCIA]:[REFERENCIA]],TablaControladores[SC])*$AA514:$AJ514)</f>
        <v>8</v>
      </c>
      <c r="Y514" s="14" cm="1">
        <f t="array" ref="Y514">SUM(_xlfn.XLOOKUP(TablaSeleccionControladores[[#Headers],[M4-CGE04060-0]:[M4-XPM18000-0]],TablaControladores[[REFERENCIA]:[REFERENCIA]],TablaControladores[SD])*$AA514:$AJ514)</f>
        <v>6</v>
      </c>
      <c r="Z514" s="14">
        <f>SUM(TablaSeleccionControladores[[#This Row],[EA]:[SD]])</f>
        <v>85</v>
      </c>
      <c r="AG514" s="14">
        <v>1</v>
      </c>
      <c r="AH514" s="14">
        <v>1</v>
      </c>
      <c r="AI514" s="14">
        <v>0</v>
      </c>
      <c r="AJ514" s="14">
        <v>3</v>
      </c>
    </row>
    <row r="515" spans="17:36" x14ac:dyDescent="0.25">
      <c r="Q515">
        <f t="shared" si="10"/>
        <v>405</v>
      </c>
      <c r="R515" t="s">
        <v>832</v>
      </c>
      <c r="S515">
        <f>SUM(TablaSeleccionControladores[[#This Row],[M4-CGE04060-0]:[M4-CGM09090-0H]])</f>
        <v>1</v>
      </c>
      <c r="T515" s="14" cm="1">
        <f t="array" ref="T515">SUM(_xlfn.XLOOKUP(TablaSeleccionControladores[[#Headers],[M4-CGE04060-0]:[M4-XPM18000-0]],TablaControladores[[REFERENCIA]:[REFERENCIA]],TablaControladores[EA])*$AA515:$AJ515)</f>
        <v>0</v>
      </c>
      <c r="U515" s="14" cm="1">
        <f t="array" ref="U515">SUM(_xlfn.XLOOKUP(TablaSeleccionControladores[[#Headers],[M4-CGE04060-0]:[M4-XPM18000-0]],TablaControladores[[REFERENCIA]:[REFERENCIA]],TablaControladores[EU])*$AA515:$AJ515)</f>
        <v>10</v>
      </c>
      <c r="V515" s="14" cm="1">
        <f t="array" ref="V515">SUM(_xlfn.XLOOKUP(TablaSeleccionControladores[[#Headers],[M4-CGE04060-0]:[M4-XPM18000-0]],TablaControladores[[REFERENCIA]:[REFERENCIA]],TablaControladores[ED])*$AA515:$AJ515)</f>
        <v>75</v>
      </c>
      <c r="W515" s="14" cm="1">
        <f t="array" ref="W515">SUM(_xlfn.XLOOKUP(TablaSeleccionControladores[[#Headers],[M4-CGE04060-0]:[M4-XPM18000-0]],TablaControladores[[REFERENCIA]:[REFERENCIA]],TablaControladores[SA])*$AA515:$AJ515)</f>
        <v>4</v>
      </c>
      <c r="X515" s="14" cm="1">
        <f t="array" ref="X515">SUM(_xlfn.XLOOKUP(TablaSeleccionControladores[[#Headers],[M4-CGE04060-0]:[M4-XPM18000-0]],TablaControladores[[REFERENCIA]:[REFERENCIA]],TablaControladores[SC])*$AA515:$AJ515)</f>
        <v>8</v>
      </c>
      <c r="Y515" s="14" cm="1">
        <f t="array" ref="Y515">SUM(_xlfn.XLOOKUP(TablaSeleccionControladores[[#Headers],[M4-CGE04060-0]:[M4-XPM18000-0]],TablaControladores[[REFERENCIA]:[REFERENCIA]],TablaControladores[SD])*$AA515:$AJ515)</f>
        <v>6</v>
      </c>
      <c r="Z515" s="14">
        <f>SUM(TablaSeleccionControladores[[#This Row],[EA]:[SD]])</f>
        <v>103</v>
      </c>
      <c r="AG515" s="14">
        <v>1</v>
      </c>
      <c r="AH515" s="14">
        <v>1</v>
      </c>
      <c r="AI515" s="14">
        <v>0</v>
      </c>
      <c r="AJ515" s="14">
        <v>4</v>
      </c>
    </row>
    <row r="516" spans="17:36" x14ac:dyDescent="0.25">
      <c r="Q516">
        <f t="shared" si="10"/>
        <v>406</v>
      </c>
      <c r="R516" t="s">
        <v>832</v>
      </c>
      <c r="S516">
        <f>SUM(TablaSeleccionControladores[[#This Row],[M4-CGE04060-0]:[M4-CGM09090-0H]])</f>
        <v>1</v>
      </c>
      <c r="T516" s="14" cm="1">
        <f t="array" ref="T516">SUM(_xlfn.XLOOKUP(TablaSeleccionControladores[[#Headers],[M4-CGE04060-0]:[M4-XPM18000-0]],TablaControladores[[REFERENCIA]:[REFERENCIA]],TablaControladores[EA])*$AA516:$AJ516)</f>
        <v>0</v>
      </c>
      <c r="U516" s="14" cm="1">
        <f t="array" ref="U516">SUM(_xlfn.XLOOKUP(TablaSeleccionControladores[[#Headers],[M4-CGE04060-0]:[M4-XPM18000-0]],TablaControladores[[REFERENCIA]:[REFERENCIA]],TablaControladores[EU])*$AA516:$AJ516)</f>
        <v>10</v>
      </c>
      <c r="V516" s="14" cm="1">
        <f t="array" ref="V516">SUM(_xlfn.XLOOKUP(TablaSeleccionControladores[[#Headers],[M4-CGE04060-0]:[M4-XPM18000-0]],TablaControladores[[REFERENCIA]:[REFERENCIA]],TablaControladores[ED])*$AA516:$AJ516)</f>
        <v>93</v>
      </c>
      <c r="W516" s="14" cm="1">
        <f t="array" ref="W516">SUM(_xlfn.XLOOKUP(TablaSeleccionControladores[[#Headers],[M4-CGE04060-0]:[M4-XPM18000-0]],TablaControladores[[REFERENCIA]:[REFERENCIA]],TablaControladores[SA])*$AA516:$AJ516)</f>
        <v>4</v>
      </c>
      <c r="X516" s="14" cm="1">
        <f t="array" ref="X516">SUM(_xlfn.XLOOKUP(TablaSeleccionControladores[[#Headers],[M4-CGE04060-0]:[M4-XPM18000-0]],TablaControladores[[REFERENCIA]:[REFERENCIA]],TablaControladores[SC])*$AA516:$AJ516)</f>
        <v>8</v>
      </c>
      <c r="Y516" s="14" cm="1">
        <f t="array" ref="Y516">SUM(_xlfn.XLOOKUP(TablaSeleccionControladores[[#Headers],[M4-CGE04060-0]:[M4-XPM18000-0]],TablaControladores[[REFERENCIA]:[REFERENCIA]],TablaControladores[SD])*$AA516:$AJ516)</f>
        <v>6</v>
      </c>
      <c r="Z516" s="14">
        <f>SUM(TablaSeleccionControladores[[#This Row],[EA]:[SD]])</f>
        <v>121</v>
      </c>
      <c r="AG516" s="14">
        <v>1</v>
      </c>
      <c r="AH516" s="14">
        <v>1</v>
      </c>
      <c r="AI516" s="14">
        <v>0</v>
      </c>
      <c r="AJ516" s="14">
        <v>5</v>
      </c>
    </row>
    <row r="517" spans="17:36" x14ac:dyDescent="0.25">
      <c r="Q517">
        <f t="shared" si="10"/>
        <v>407</v>
      </c>
      <c r="R517" t="s">
        <v>832</v>
      </c>
      <c r="S517">
        <f>SUM(TablaSeleccionControladores[[#This Row],[M4-CGE04060-0]:[M4-CGM09090-0H]])</f>
        <v>1</v>
      </c>
      <c r="T517" s="14" cm="1">
        <f t="array" ref="T517">SUM(_xlfn.XLOOKUP(TablaSeleccionControladores[[#Headers],[M4-CGE04060-0]:[M4-XPM18000-0]],TablaControladores[[REFERENCIA]:[REFERENCIA]],TablaControladores[EA])*$AA517:$AJ517)</f>
        <v>0</v>
      </c>
      <c r="U517" s="14" cm="1">
        <f t="array" ref="U517">SUM(_xlfn.XLOOKUP(TablaSeleccionControladores[[#Headers],[M4-CGE04060-0]:[M4-XPM18000-0]],TablaControladores[[REFERENCIA]:[REFERENCIA]],TablaControladores[EU])*$AA517:$AJ517)</f>
        <v>17</v>
      </c>
      <c r="V517" s="14" cm="1">
        <f t="array" ref="V517">SUM(_xlfn.XLOOKUP(TablaSeleccionControladores[[#Headers],[M4-CGE04060-0]:[M4-XPM18000-0]],TablaControladores[[REFERENCIA]:[REFERENCIA]],TablaControladores[ED])*$AA517:$AJ517)</f>
        <v>5</v>
      </c>
      <c r="W517" s="14" cm="1">
        <f t="array" ref="W517">SUM(_xlfn.XLOOKUP(TablaSeleccionControladores[[#Headers],[M4-CGE04060-0]:[M4-XPM18000-0]],TablaControladores[[REFERENCIA]:[REFERENCIA]],TablaControladores[SA])*$AA517:$AJ517)</f>
        <v>6</v>
      </c>
      <c r="X517" s="14" cm="1">
        <f t="array" ref="X517">SUM(_xlfn.XLOOKUP(TablaSeleccionControladores[[#Headers],[M4-CGE04060-0]:[M4-XPM18000-0]],TablaControladores[[REFERENCIA]:[REFERENCIA]],TablaControladores[SC])*$AA517:$AJ517)</f>
        <v>12</v>
      </c>
      <c r="Y517" s="14" cm="1">
        <f t="array" ref="Y517">SUM(_xlfn.XLOOKUP(TablaSeleccionControladores[[#Headers],[M4-CGE04060-0]:[M4-XPM18000-0]],TablaControladores[[REFERENCIA]:[REFERENCIA]],TablaControladores[SD])*$AA517:$AJ517)</f>
        <v>9</v>
      </c>
      <c r="Z517" s="14">
        <f>SUM(TablaSeleccionControladores[[#This Row],[EA]:[SD]])</f>
        <v>49</v>
      </c>
      <c r="AG517" s="14">
        <v>1</v>
      </c>
      <c r="AH517" s="14">
        <v>1</v>
      </c>
      <c r="AI517" s="14">
        <v>1</v>
      </c>
      <c r="AJ517" s="14">
        <v>0</v>
      </c>
    </row>
    <row r="518" spans="17:36" x14ac:dyDescent="0.25">
      <c r="Q518">
        <f t="shared" si="10"/>
        <v>408</v>
      </c>
      <c r="R518" t="s">
        <v>832</v>
      </c>
      <c r="S518">
        <f>SUM(TablaSeleccionControladores[[#This Row],[M4-CGE04060-0]:[M4-CGM09090-0H]])</f>
        <v>1</v>
      </c>
      <c r="T518" s="14" cm="1">
        <f t="array" ref="T518">SUM(_xlfn.XLOOKUP(TablaSeleccionControladores[[#Headers],[M4-CGE04060-0]:[M4-XPM18000-0]],TablaControladores[[REFERENCIA]:[REFERENCIA]],TablaControladores[EA])*$AA518:$AJ518)</f>
        <v>0</v>
      </c>
      <c r="U518" s="14" cm="1">
        <f t="array" ref="U518">SUM(_xlfn.XLOOKUP(TablaSeleccionControladores[[#Headers],[M4-CGE04060-0]:[M4-XPM18000-0]],TablaControladores[[REFERENCIA]:[REFERENCIA]],TablaControladores[EU])*$AA518:$AJ518)</f>
        <v>17</v>
      </c>
      <c r="V518" s="14" cm="1">
        <f t="array" ref="V518">SUM(_xlfn.XLOOKUP(TablaSeleccionControladores[[#Headers],[M4-CGE04060-0]:[M4-XPM18000-0]],TablaControladores[[REFERENCIA]:[REFERENCIA]],TablaControladores[ED])*$AA518:$AJ518)</f>
        <v>23</v>
      </c>
      <c r="W518" s="14" cm="1">
        <f t="array" ref="W518">SUM(_xlfn.XLOOKUP(TablaSeleccionControladores[[#Headers],[M4-CGE04060-0]:[M4-XPM18000-0]],TablaControladores[[REFERENCIA]:[REFERENCIA]],TablaControladores[SA])*$AA518:$AJ518)</f>
        <v>6</v>
      </c>
      <c r="X518" s="14" cm="1">
        <f t="array" ref="X518">SUM(_xlfn.XLOOKUP(TablaSeleccionControladores[[#Headers],[M4-CGE04060-0]:[M4-XPM18000-0]],TablaControladores[[REFERENCIA]:[REFERENCIA]],TablaControladores[SC])*$AA518:$AJ518)</f>
        <v>12</v>
      </c>
      <c r="Y518" s="14" cm="1">
        <f t="array" ref="Y518">SUM(_xlfn.XLOOKUP(TablaSeleccionControladores[[#Headers],[M4-CGE04060-0]:[M4-XPM18000-0]],TablaControladores[[REFERENCIA]:[REFERENCIA]],TablaControladores[SD])*$AA518:$AJ518)</f>
        <v>9</v>
      </c>
      <c r="Z518" s="14">
        <f>SUM(TablaSeleccionControladores[[#This Row],[EA]:[SD]])</f>
        <v>67</v>
      </c>
      <c r="AG518" s="14">
        <v>1</v>
      </c>
      <c r="AH518" s="14">
        <v>1</v>
      </c>
      <c r="AI518" s="14">
        <v>1</v>
      </c>
      <c r="AJ518" s="14">
        <v>1</v>
      </c>
    </row>
    <row r="519" spans="17:36" x14ac:dyDescent="0.25">
      <c r="Q519">
        <f t="shared" si="10"/>
        <v>409</v>
      </c>
      <c r="R519" t="s">
        <v>832</v>
      </c>
      <c r="S519">
        <f>SUM(TablaSeleccionControladores[[#This Row],[M4-CGE04060-0]:[M4-CGM09090-0H]])</f>
        <v>1</v>
      </c>
      <c r="T519" s="14" cm="1">
        <f t="array" ref="T519">SUM(_xlfn.XLOOKUP(TablaSeleccionControladores[[#Headers],[M4-CGE04060-0]:[M4-XPM18000-0]],TablaControladores[[REFERENCIA]:[REFERENCIA]],TablaControladores[EA])*$AA519:$AJ519)</f>
        <v>0</v>
      </c>
      <c r="U519" s="14" cm="1">
        <f t="array" ref="U519">SUM(_xlfn.XLOOKUP(TablaSeleccionControladores[[#Headers],[M4-CGE04060-0]:[M4-XPM18000-0]],TablaControladores[[REFERENCIA]:[REFERENCIA]],TablaControladores[EU])*$AA519:$AJ519)</f>
        <v>17</v>
      </c>
      <c r="V519" s="14" cm="1">
        <f t="array" ref="V519">SUM(_xlfn.XLOOKUP(TablaSeleccionControladores[[#Headers],[M4-CGE04060-0]:[M4-XPM18000-0]],TablaControladores[[REFERENCIA]:[REFERENCIA]],TablaControladores[ED])*$AA519:$AJ519)</f>
        <v>41</v>
      </c>
      <c r="W519" s="14" cm="1">
        <f t="array" ref="W519">SUM(_xlfn.XLOOKUP(TablaSeleccionControladores[[#Headers],[M4-CGE04060-0]:[M4-XPM18000-0]],TablaControladores[[REFERENCIA]:[REFERENCIA]],TablaControladores[SA])*$AA519:$AJ519)</f>
        <v>6</v>
      </c>
      <c r="X519" s="14" cm="1">
        <f t="array" ref="X519">SUM(_xlfn.XLOOKUP(TablaSeleccionControladores[[#Headers],[M4-CGE04060-0]:[M4-XPM18000-0]],TablaControladores[[REFERENCIA]:[REFERENCIA]],TablaControladores[SC])*$AA519:$AJ519)</f>
        <v>12</v>
      </c>
      <c r="Y519" s="14" cm="1">
        <f t="array" ref="Y519">SUM(_xlfn.XLOOKUP(TablaSeleccionControladores[[#Headers],[M4-CGE04060-0]:[M4-XPM18000-0]],TablaControladores[[REFERENCIA]:[REFERENCIA]],TablaControladores[SD])*$AA519:$AJ519)</f>
        <v>9</v>
      </c>
      <c r="Z519" s="14">
        <f>SUM(TablaSeleccionControladores[[#This Row],[EA]:[SD]])</f>
        <v>85</v>
      </c>
      <c r="AG519" s="14">
        <v>1</v>
      </c>
      <c r="AH519" s="14">
        <v>1</v>
      </c>
      <c r="AI519" s="14">
        <v>1</v>
      </c>
      <c r="AJ519" s="14">
        <v>2</v>
      </c>
    </row>
    <row r="520" spans="17:36" x14ac:dyDescent="0.25">
      <c r="Q520">
        <f t="shared" si="10"/>
        <v>410</v>
      </c>
      <c r="R520" t="s">
        <v>832</v>
      </c>
      <c r="S520">
        <f>SUM(TablaSeleccionControladores[[#This Row],[M4-CGE04060-0]:[M4-CGM09090-0H]])</f>
        <v>1</v>
      </c>
      <c r="T520" s="14" cm="1">
        <f t="array" ref="T520">SUM(_xlfn.XLOOKUP(TablaSeleccionControladores[[#Headers],[M4-CGE04060-0]:[M4-XPM18000-0]],TablaControladores[[REFERENCIA]:[REFERENCIA]],TablaControladores[EA])*$AA520:$AJ520)</f>
        <v>0</v>
      </c>
      <c r="U520" s="14" cm="1">
        <f t="array" ref="U520">SUM(_xlfn.XLOOKUP(TablaSeleccionControladores[[#Headers],[M4-CGE04060-0]:[M4-XPM18000-0]],TablaControladores[[REFERENCIA]:[REFERENCIA]],TablaControladores[EU])*$AA520:$AJ520)</f>
        <v>17</v>
      </c>
      <c r="V520" s="14" cm="1">
        <f t="array" ref="V520">SUM(_xlfn.XLOOKUP(TablaSeleccionControladores[[#Headers],[M4-CGE04060-0]:[M4-XPM18000-0]],TablaControladores[[REFERENCIA]:[REFERENCIA]],TablaControladores[ED])*$AA520:$AJ520)</f>
        <v>59</v>
      </c>
      <c r="W520" s="14" cm="1">
        <f t="array" ref="W520">SUM(_xlfn.XLOOKUP(TablaSeleccionControladores[[#Headers],[M4-CGE04060-0]:[M4-XPM18000-0]],TablaControladores[[REFERENCIA]:[REFERENCIA]],TablaControladores[SA])*$AA520:$AJ520)</f>
        <v>6</v>
      </c>
      <c r="X520" s="14" cm="1">
        <f t="array" ref="X520">SUM(_xlfn.XLOOKUP(TablaSeleccionControladores[[#Headers],[M4-CGE04060-0]:[M4-XPM18000-0]],TablaControladores[[REFERENCIA]:[REFERENCIA]],TablaControladores[SC])*$AA520:$AJ520)</f>
        <v>12</v>
      </c>
      <c r="Y520" s="14" cm="1">
        <f t="array" ref="Y520">SUM(_xlfn.XLOOKUP(TablaSeleccionControladores[[#Headers],[M4-CGE04060-0]:[M4-XPM18000-0]],TablaControladores[[REFERENCIA]:[REFERENCIA]],TablaControladores[SD])*$AA520:$AJ520)</f>
        <v>9</v>
      </c>
      <c r="Z520" s="14">
        <f>SUM(TablaSeleccionControladores[[#This Row],[EA]:[SD]])</f>
        <v>103</v>
      </c>
      <c r="AG520" s="14">
        <v>1</v>
      </c>
      <c r="AH520" s="14">
        <v>1</v>
      </c>
      <c r="AI520" s="14">
        <v>1</v>
      </c>
      <c r="AJ520" s="14">
        <v>3</v>
      </c>
    </row>
    <row r="521" spans="17:36" x14ac:dyDescent="0.25">
      <c r="Q521">
        <f t="shared" si="10"/>
        <v>411</v>
      </c>
      <c r="R521" t="s">
        <v>832</v>
      </c>
      <c r="S521">
        <f>SUM(TablaSeleccionControladores[[#This Row],[M4-CGE04060-0]:[M4-CGM09090-0H]])</f>
        <v>1</v>
      </c>
      <c r="T521" s="14" cm="1">
        <f t="array" ref="T521">SUM(_xlfn.XLOOKUP(TablaSeleccionControladores[[#Headers],[M4-CGE04060-0]:[M4-XPM18000-0]],TablaControladores[[REFERENCIA]:[REFERENCIA]],TablaControladores[EA])*$AA521:$AJ521)</f>
        <v>0</v>
      </c>
      <c r="U521" s="14" cm="1">
        <f t="array" ref="U521">SUM(_xlfn.XLOOKUP(TablaSeleccionControladores[[#Headers],[M4-CGE04060-0]:[M4-XPM18000-0]],TablaControladores[[REFERENCIA]:[REFERENCIA]],TablaControladores[EU])*$AA521:$AJ521)</f>
        <v>17</v>
      </c>
      <c r="V521" s="14" cm="1">
        <f t="array" ref="V521">SUM(_xlfn.XLOOKUP(TablaSeleccionControladores[[#Headers],[M4-CGE04060-0]:[M4-XPM18000-0]],TablaControladores[[REFERENCIA]:[REFERENCIA]],TablaControladores[ED])*$AA521:$AJ521)</f>
        <v>77</v>
      </c>
      <c r="W521" s="14" cm="1">
        <f t="array" ref="W521">SUM(_xlfn.XLOOKUP(TablaSeleccionControladores[[#Headers],[M4-CGE04060-0]:[M4-XPM18000-0]],TablaControladores[[REFERENCIA]:[REFERENCIA]],TablaControladores[SA])*$AA521:$AJ521)</f>
        <v>6</v>
      </c>
      <c r="X521" s="14" cm="1">
        <f t="array" ref="X521">SUM(_xlfn.XLOOKUP(TablaSeleccionControladores[[#Headers],[M4-CGE04060-0]:[M4-XPM18000-0]],TablaControladores[[REFERENCIA]:[REFERENCIA]],TablaControladores[SC])*$AA521:$AJ521)</f>
        <v>12</v>
      </c>
      <c r="Y521" s="14" cm="1">
        <f t="array" ref="Y521">SUM(_xlfn.XLOOKUP(TablaSeleccionControladores[[#Headers],[M4-CGE04060-0]:[M4-XPM18000-0]],TablaControladores[[REFERENCIA]:[REFERENCIA]],TablaControladores[SD])*$AA521:$AJ521)</f>
        <v>9</v>
      </c>
      <c r="Z521" s="14">
        <f>SUM(TablaSeleccionControladores[[#This Row],[EA]:[SD]])</f>
        <v>121</v>
      </c>
      <c r="AG521" s="14">
        <v>1</v>
      </c>
      <c r="AH521" s="14">
        <v>1</v>
      </c>
      <c r="AI521" s="14">
        <v>1</v>
      </c>
      <c r="AJ521" s="14">
        <v>4</v>
      </c>
    </row>
    <row r="522" spans="17:36" x14ac:dyDescent="0.25">
      <c r="Q522">
        <f t="shared" si="10"/>
        <v>412</v>
      </c>
      <c r="R522" t="s">
        <v>832</v>
      </c>
      <c r="S522">
        <f>SUM(TablaSeleccionControladores[[#This Row],[M4-CGE04060-0]:[M4-CGM09090-0H]])</f>
        <v>1</v>
      </c>
      <c r="T522" s="14" cm="1">
        <f t="array" ref="T522">SUM(_xlfn.XLOOKUP(TablaSeleccionControladores[[#Headers],[M4-CGE04060-0]:[M4-XPM18000-0]],TablaControladores[[REFERENCIA]:[REFERENCIA]],TablaControladores[EA])*$AA522:$AJ522)</f>
        <v>0</v>
      </c>
      <c r="U522" s="14" cm="1">
        <f t="array" ref="U522">SUM(_xlfn.XLOOKUP(TablaSeleccionControladores[[#Headers],[M4-CGE04060-0]:[M4-XPM18000-0]],TablaControladores[[REFERENCIA]:[REFERENCIA]],TablaControladores[EU])*$AA522:$AJ522)</f>
        <v>24</v>
      </c>
      <c r="V522" s="14" cm="1">
        <f t="array" ref="V522">SUM(_xlfn.XLOOKUP(TablaSeleccionControladores[[#Headers],[M4-CGE04060-0]:[M4-XPM18000-0]],TablaControladores[[REFERENCIA]:[REFERENCIA]],TablaControladores[ED])*$AA522:$AJ522)</f>
        <v>7</v>
      </c>
      <c r="W522" s="14" cm="1">
        <f t="array" ref="W522">SUM(_xlfn.XLOOKUP(TablaSeleccionControladores[[#Headers],[M4-CGE04060-0]:[M4-XPM18000-0]],TablaControladores[[REFERENCIA]:[REFERENCIA]],TablaControladores[SA])*$AA522:$AJ522)</f>
        <v>8</v>
      </c>
      <c r="X522" s="14" cm="1">
        <f t="array" ref="X522">SUM(_xlfn.XLOOKUP(TablaSeleccionControladores[[#Headers],[M4-CGE04060-0]:[M4-XPM18000-0]],TablaControladores[[REFERENCIA]:[REFERENCIA]],TablaControladores[SC])*$AA522:$AJ522)</f>
        <v>16</v>
      </c>
      <c r="Y522" s="14" cm="1">
        <f t="array" ref="Y522">SUM(_xlfn.XLOOKUP(TablaSeleccionControladores[[#Headers],[M4-CGE04060-0]:[M4-XPM18000-0]],TablaControladores[[REFERENCIA]:[REFERENCIA]],TablaControladores[SD])*$AA522:$AJ522)</f>
        <v>12</v>
      </c>
      <c r="Z522" s="14">
        <f>SUM(TablaSeleccionControladores[[#This Row],[EA]:[SD]])</f>
        <v>67</v>
      </c>
      <c r="AG522" s="14">
        <v>1</v>
      </c>
      <c r="AH522" s="14">
        <v>1</v>
      </c>
      <c r="AI522" s="14">
        <v>2</v>
      </c>
      <c r="AJ522" s="14">
        <v>0</v>
      </c>
    </row>
    <row r="523" spans="17:36" x14ac:dyDescent="0.25">
      <c r="Q523">
        <f t="shared" si="10"/>
        <v>413</v>
      </c>
      <c r="R523" t="s">
        <v>832</v>
      </c>
      <c r="S523">
        <f>SUM(TablaSeleccionControladores[[#This Row],[M4-CGE04060-0]:[M4-CGM09090-0H]])</f>
        <v>1</v>
      </c>
      <c r="T523" s="14" cm="1">
        <f t="array" ref="T523">SUM(_xlfn.XLOOKUP(TablaSeleccionControladores[[#Headers],[M4-CGE04060-0]:[M4-XPM18000-0]],TablaControladores[[REFERENCIA]:[REFERENCIA]],TablaControladores[EA])*$AA523:$AJ523)</f>
        <v>0</v>
      </c>
      <c r="U523" s="14" cm="1">
        <f t="array" ref="U523">SUM(_xlfn.XLOOKUP(TablaSeleccionControladores[[#Headers],[M4-CGE04060-0]:[M4-XPM18000-0]],TablaControladores[[REFERENCIA]:[REFERENCIA]],TablaControladores[EU])*$AA523:$AJ523)</f>
        <v>24</v>
      </c>
      <c r="V523" s="14" cm="1">
        <f t="array" ref="V523">SUM(_xlfn.XLOOKUP(TablaSeleccionControladores[[#Headers],[M4-CGE04060-0]:[M4-XPM18000-0]],TablaControladores[[REFERENCIA]:[REFERENCIA]],TablaControladores[ED])*$AA523:$AJ523)</f>
        <v>25</v>
      </c>
      <c r="W523" s="14" cm="1">
        <f t="array" ref="W523">SUM(_xlfn.XLOOKUP(TablaSeleccionControladores[[#Headers],[M4-CGE04060-0]:[M4-XPM18000-0]],TablaControladores[[REFERENCIA]:[REFERENCIA]],TablaControladores[SA])*$AA523:$AJ523)</f>
        <v>8</v>
      </c>
      <c r="X523" s="14" cm="1">
        <f t="array" ref="X523">SUM(_xlfn.XLOOKUP(TablaSeleccionControladores[[#Headers],[M4-CGE04060-0]:[M4-XPM18000-0]],TablaControladores[[REFERENCIA]:[REFERENCIA]],TablaControladores[SC])*$AA523:$AJ523)</f>
        <v>16</v>
      </c>
      <c r="Y523" s="14" cm="1">
        <f t="array" ref="Y523">SUM(_xlfn.XLOOKUP(TablaSeleccionControladores[[#Headers],[M4-CGE04060-0]:[M4-XPM18000-0]],TablaControladores[[REFERENCIA]:[REFERENCIA]],TablaControladores[SD])*$AA523:$AJ523)</f>
        <v>12</v>
      </c>
      <c r="Z523" s="14">
        <f>SUM(TablaSeleccionControladores[[#This Row],[EA]:[SD]])</f>
        <v>85</v>
      </c>
      <c r="AG523" s="14">
        <v>1</v>
      </c>
      <c r="AH523" s="14">
        <v>1</v>
      </c>
      <c r="AI523" s="14">
        <v>2</v>
      </c>
      <c r="AJ523" s="14">
        <v>1</v>
      </c>
    </row>
    <row r="524" spans="17:36" x14ac:dyDescent="0.25">
      <c r="Q524">
        <f t="shared" si="10"/>
        <v>414</v>
      </c>
      <c r="R524" t="s">
        <v>832</v>
      </c>
      <c r="S524">
        <f>SUM(TablaSeleccionControladores[[#This Row],[M4-CGE04060-0]:[M4-CGM09090-0H]])</f>
        <v>1</v>
      </c>
      <c r="T524" s="14" cm="1">
        <f t="array" ref="T524">SUM(_xlfn.XLOOKUP(TablaSeleccionControladores[[#Headers],[M4-CGE04060-0]:[M4-XPM18000-0]],TablaControladores[[REFERENCIA]:[REFERENCIA]],TablaControladores[EA])*$AA524:$AJ524)</f>
        <v>0</v>
      </c>
      <c r="U524" s="14" cm="1">
        <f t="array" ref="U524">SUM(_xlfn.XLOOKUP(TablaSeleccionControladores[[#Headers],[M4-CGE04060-0]:[M4-XPM18000-0]],TablaControladores[[REFERENCIA]:[REFERENCIA]],TablaControladores[EU])*$AA524:$AJ524)</f>
        <v>24</v>
      </c>
      <c r="V524" s="14" cm="1">
        <f t="array" ref="V524">SUM(_xlfn.XLOOKUP(TablaSeleccionControladores[[#Headers],[M4-CGE04060-0]:[M4-XPM18000-0]],TablaControladores[[REFERENCIA]:[REFERENCIA]],TablaControladores[ED])*$AA524:$AJ524)</f>
        <v>43</v>
      </c>
      <c r="W524" s="14" cm="1">
        <f t="array" ref="W524">SUM(_xlfn.XLOOKUP(TablaSeleccionControladores[[#Headers],[M4-CGE04060-0]:[M4-XPM18000-0]],TablaControladores[[REFERENCIA]:[REFERENCIA]],TablaControladores[SA])*$AA524:$AJ524)</f>
        <v>8</v>
      </c>
      <c r="X524" s="14" cm="1">
        <f t="array" ref="X524">SUM(_xlfn.XLOOKUP(TablaSeleccionControladores[[#Headers],[M4-CGE04060-0]:[M4-XPM18000-0]],TablaControladores[[REFERENCIA]:[REFERENCIA]],TablaControladores[SC])*$AA524:$AJ524)</f>
        <v>16</v>
      </c>
      <c r="Y524" s="14" cm="1">
        <f t="array" ref="Y524">SUM(_xlfn.XLOOKUP(TablaSeleccionControladores[[#Headers],[M4-CGE04060-0]:[M4-XPM18000-0]],TablaControladores[[REFERENCIA]:[REFERENCIA]],TablaControladores[SD])*$AA524:$AJ524)</f>
        <v>12</v>
      </c>
      <c r="Z524" s="14">
        <f>SUM(TablaSeleccionControladores[[#This Row],[EA]:[SD]])</f>
        <v>103</v>
      </c>
      <c r="AG524" s="14">
        <v>1</v>
      </c>
      <c r="AH524" s="14">
        <v>1</v>
      </c>
      <c r="AI524" s="14">
        <v>2</v>
      </c>
      <c r="AJ524" s="14">
        <v>2</v>
      </c>
    </row>
    <row r="525" spans="17:36" x14ac:dyDescent="0.25">
      <c r="Q525">
        <f t="shared" si="10"/>
        <v>415</v>
      </c>
      <c r="R525" t="s">
        <v>832</v>
      </c>
      <c r="S525">
        <f>SUM(TablaSeleccionControladores[[#This Row],[M4-CGE04060-0]:[M4-CGM09090-0H]])</f>
        <v>1</v>
      </c>
      <c r="T525" s="14" cm="1">
        <f t="array" ref="T525">SUM(_xlfn.XLOOKUP(TablaSeleccionControladores[[#Headers],[M4-CGE04060-0]:[M4-XPM18000-0]],TablaControladores[[REFERENCIA]:[REFERENCIA]],TablaControladores[EA])*$AA525:$AJ525)</f>
        <v>0</v>
      </c>
      <c r="U525" s="14" cm="1">
        <f t="array" ref="U525">SUM(_xlfn.XLOOKUP(TablaSeleccionControladores[[#Headers],[M4-CGE04060-0]:[M4-XPM18000-0]],TablaControladores[[REFERENCIA]:[REFERENCIA]],TablaControladores[EU])*$AA525:$AJ525)</f>
        <v>24</v>
      </c>
      <c r="V525" s="14" cm="1">
        <f t="array" ref="V525">SUM(_xlfn.XLOOKUP(TablaSeleccionControladores[[#Headers],[M4-CGE04060-0]:[M4-XPM18000-0]],TablaControladores[[REFERENCIA]:[REFERENCIA]],TablaControladores[ED])*$AA525:$AJ525)</f>
        <v>61</v>
      </c>
      <c r="W525" s="14" cm="1">
        <f t="array" ref="W525">SUM(_xlfn.XLOOKUP(TablaSeleccionControladores[[#Headers],[M4-CGE04060-0]:[M4-XPM18000-0]],TablaControladores[[REFERENCIA]:[REFERENCIA]],TablaControladores[SA])*$AA525:$AJ525)</f>
        <v>8</v>
      </c>
      <c r="X525" s="14" cm="1">
        <f t="array" ref="X525">SUM(_xlfn.XLOOKUP(TablaSeleccionControladores[[#Headers],[M4-CGE04060-0]:[M4-XPM18000-0]],TablaControladores[[REFERENCIA]:[REFERENCIA]],TablaControladores[SC])*$AA525:$AJ525)</f>
        <v>16</v>
      </c>
      <c r="Y525" s="14" cm="1">
        <f t="array" ref="Y525">SUM(_xlfn.XLOOKUP(TablaSeleccionControladores[[#Headers],[M4-CGE04060-0]:[M4-XPM18000-0]],TablaControladores[[REFERENCIA]:[REFERENCIA]],TablaControladores[SD])*$AA525:$AJ525)</f>
        <v>12</v>
      </c>
      <c r="Z525" s="14">
        <f>SUM(TablaSeleccionControladores[[#This Row],[EA]:[SD]])</f>
        <v>121</v>
      </c>
      <c r="AG525" s="14">
        <v>1</v>
      </c>
      <c r="AH525" s="14">
        <v>1</v>
      </c>
      <c r="AI525" s="14">
        <v>2</v>
      </c>
      <c r="AJ525" s="14">
        <v>3</v>
      </c>
    </row>
    <row r="526" spans="17:36" x14ac:dyDescent="0.25">
      <c r="Q526">
        <f t="shared" si="10"/>
        <v>416</v>
      </c>
      <c r="R526" t="s">
        <v>832</v>
      </c>
      <c r="S526">
        <f>SUM(TablaSeleccionControladores[[#This Row],[M4-CGE04060-0]:[M4-CGM09090-0H]])</f>
        <v>1</v>
      </c>
      <c r="T526" s="14" cm="1">
        <f t="array" ref="T526">SUM(_xlfn.XLOOKUP(TablaSeleccionControladores[[#Headers],[M4-CGE04060-0]:[M4-XPM18000-0]],TablaControladores[[REFERENCIA]:[REFERENCIA]],TablaControladores[EA])*$AA526:$AJ526)</f>
        <v>0</v>
      </c>
      <c r="U526" s="14" cm="1">
        <f t="array" ref="U526">SUM(_xlfn.XLOOKUP(TablaSeleccionControladores[[#Headers],[M4-CGE04060-0]:[M4-XPM18000-0]],TablaControladores[[REFERENCIA]:[REFERENCIA]],TablaControladores[EU])*$AA526:$AJ526)</f>
        <v>31</v>
      </c>
      <c r="V526" s="14" cm="1">
        <f t="array" ref="V526">SUM(_xlfn.XLOOKUP(TablaSeleccionControladores[[#Headers],[M4-CGE04060-0]:[M4-XPM18000-0]],TablaControladores[[REFERENCIA]:[REFERENCIA]],TablaControladores[ED])*$AA526:$AJ526)</f>
        <v>9</v>
      </c>
      <c r="W526" s="14" cm="1">
        <f t="array" ref="W526">SUM(_xlfn.XLOOKUP(TablaSeleccionControladores[[#Headers],[M4-CGE04060-0]:[M4-XPM18000-0]],TablaControladores[[REFERENCIA]:[REFERENCIA]],TablaControladores[SA])*$AA526:$AJ526)</f>
        <v>10</v>
      </c>
      <c r="X526" s="14" cm="1">
        <f t="array" ref="X526">SUM(_xlfn.XLOOKUP(TablaSeleccionControladores[[#Headers],[M4-CGE04060-0]:[M4-XPM18000-0]],TablaControladores[[REFERENCIA]:[REFERENCIA]],TablaControladores[SC])*$AA526:$AJ526)</f>
        <v>20</v>
      </c>
      <c r="Y526" s="14" cm="1">
        <f t="array" ref="Y526">SUM(_xlfn.XLOOKUP(TablaSeleccionControladores[[#Headers],[M4-CGE04060-0]:[M4-XPM18000-0]],TablaControladores[[REFERENCIA]:[REFERENCIA]],TablaControladores[SD])*$AA526:$AJ526)</f>
        <v>15</v>
      </c>
      <c r="Z526" s="14">
        <f>SUM(TablaSeleccionControladores[[#This Row],[EA]:[SD]])</f>
        <v>85</v>
      </c>
      <c r="AG526" s="14">
        <v>1</v>
      </c>
      <c r="AH526" s="14">
        <v>1</v>
      </c>
      <c r="AI526" s="14">
        <v>3</v>
      </c>
      <c r="AJ526" s="14">
        <v>0</v>
      </c>
    </row>
    <row r="527" spans="17:36" x14ac:dyDescent="0.25">
      <c r="Q527">
        <f t="shared" si="10"/>
        <v>417</v>
      </c>
      <c r="R527" t="s">
        <v>832</v>
      </c>
      <c r="S527">
        <f>SUM(TablaSeleccionControladores[[#This Row],[M4-CGE04060-0]:[M4-CGM09090-0H]])</f>
        <v>1</v>
      </c>
      <c r="T527" s="14" cm="1">
        <f t="array" ref="T527">SUM(_xlfn.XLOOKUP(TablaSeleccionControladores[[#Headers],[M4-CGE04060-0]:[M4-XPM18000-0]],TablaControladores[[REFERENCIA]:[REFERENCIA]],TablaControladores[EA])*$AA527:$AJ527)</f>
        <v>0</v>
      </c>
      <c r="U527" s="14" cm="1">
        <f t="array" ref="U527">SUM(_xlfn.XLOOKUP(TablaSeleccionControladores[[#Headers],[M4-CGE04060-0]:[M4-XPM18000-0]],TablaControladores[[REFERENCIA]:[REFERENCIA]],TablaControladores[EU])*$AA527:$AJ527)</f>
        <v>31</v>
      </c>
      <c r="V527" s="14" cm="1">
        <f t="array" ref="V527">SUM(_xlfn.XLOOKUP(TablaSeleccionControladores[[#Headers],[M4-CGE04060-0]:[M4-XPM18000-0]],TablaControladores[[REFERENCIA]:[REFERENCIA]],TablaControladores[ED])*$AA527:$AJ527)</f>
        <v>27</v>
      </c>
      <c r="W527" s="14" cm="1">
        <f t="array" ref="W527">SUM(_xlfn.XLOOKUP(TablaSeleccionControladores[[#Headers],[M4-CGE04060-0]:[M4-XPM18000-0]],TablaControladores[[REFERENCIA]:[REFERENCIA]],TablaControladores[SA])*$AA527:$AJ527)</f>
        <v>10</v>
      </c>
      <c r="X527" s="14" cm="1">
        <f t="array" ref="X527">SUM(_xlfn.XLOOKUP(TablaSeleccionControladores[[#Headers],[M4-CGE04060-0]:[M4-XPM18000-0]],TablaControladores[[REFERENCIA]:[REFERENCIA]],TablaControladores[SC])*$AA527:$AJ527)</f>
        <v>20</v>
      </c>
      <c r="Y527" s="14" cm="1">
        <f t="array" ref="Y527">SUM(_xlfn.XLOOKUP(TablaSeleccionControladores[[#Headers],[M4-CGE04060-0]:[M4-XPM18000-0]],TablaControladores[[REFERENCIA]:[REFERENCIA]],TablaControladores[SD])*$AA527:$AJ527)</f>
        <v>15</v>
      </c>
      <c r="Z527" s="14">
        <f>SUM(TablaSeleccionControladores[[#This Row],[EA]:[SD]])</f>
        <v>103</v>
      </c>
      <c r="AG527" s="14">
        <v>1</v>
      </c>
      <c r="AH527" s="14">
        <v>1</v>
      </c>
      <c r="AI527" s="14">
        <v>3</v>
      </c>
      <c r="AJ527" s="14">
        <v>1</v>
      </c>
    </row>
    <row r="528" spans="17:36" x14ac:dyDescent="0.25">
      <c r="Q528">
        <f t="shared" si="10"/>
        <v>418</v>
      </c>
      <c r="R528" t="s">
        <v>832</v>
      </c>
      <c r="S528">
        <f>SUM(TablaSeleccionControladores[[#This Row],[M4-CGE04060-0]:[M4-CGM09090-0H]])</f>
        <v>1</v>
      </c>
      <c r="T528" s="14" cm="1">
        <f t="array" ref="T528">SUM(_xlfn.XLOOKUP(TablaSeleccionControladores[[#Headers],[M4-CGE04060-0]:[M4-XPM18000-0]],TablaControladores[[REFERENCIA]:[REFERENCIA]],TablaControladores[EA])*$AA528:$AJ528)</f>
        <v>0</v>
      </c>
      <c r="U528" s="14" cm="1">
        <f t="array" ref="U528">SUM(_xlfn.XLOOKUP(TablaSeleccionControladores[[#Headers],[M4-CGE04060-0]:[M4-XPM18000-0]],TablaControladores[[REFERENCIA]:[REFERENCIA]],TablaControladores[EU])*$AA528:$AJ528)</f>
        <v>31</v>
      </c>
      <c r="V528" s="14" cm="1">
        <f t="array" ref="V528">SUM(_xlfn.XLOOKUP(TablaSeleccionControladores[[#Headers],[M4-CGE04060-0]:[M4-XPM18000-0]],TablaControladores[[REFERENCIA]:[REFERENCIA]],TablaControladores[ED])*$AA528:$AJ528)</f>
        <v>45</v>
      </c>
      <c r="W528" s="14" cm="1">
        <f t="array" ref="W528">SUM(_xlfn.XLOOKUP(TablaSeleccionControladores[[#Headers],[M4-CGE04060-0]:[M4-XPM18000-0]],TablaControladores[[REFERENCIA]:[REFERENCIA]],TablaControladores[SA])*$AA528:$AJ528)</f>
        <v>10</v>
      </c>
      <c r="X528" s="14" cm="1">
        <f t="array" ref="X528">SUM(_xlfn.XLOOKUP(TablaSeleccionControladores[[#Headers],[M4-CGE04060-0]:[M4-XPM18000-0]],TablaControladores[[REFERENCIA]:[REFERENCIA]],TablaControladores[SC])*$AA528:$AJ528)</f>
        <v>20</v>
      </c>
      <c r="Y528" s="14" cm="1">
        <f t="array" ref="Y528">SUM(_xlfn.XLOOKUP(TablaSeleccionControladores[[#Headers],[M4-CGE04060-0]:[M4-XPM18000-0]],TablaControladores[[REFERENCIA]:[REFERENCIA]],TablaControladores[SD])*$AA528:$AJ528)</f>
        <v>15</v>
      </c>
      <c r="Z528" s="14">
        <f>SUM(TablaSeleccionControladores[[#This Row],[EA]:[SD]])</f>
        <v>121</v>
      </c>
      <c r="AG528" s="14">
        <v>1</v>
      </c>
      <c r="AH528" s="14">
        <v>1</v>
      </c>
      <c r="AI528" s="14">
        <v>3</v>
      </c>
      <c r="AJ528" s="14">
        <v>2</v>
      </c>
    </row>
    <row r="529" spans="17:36" x14ac:dyDescent="0.25">
      <c r="Q529">
        <f t="shared" si="10"/>
        <v>419</v>
      </c>
      <c r="R529" t="s">
        <v>832</v>
      </c>
      <c r="S529">
        <f>SUM(TablaSeleccionControladores[[#This Row],[M4-CGE04060-0]:[M4-CGM09090-0H]])</f>
        <v>1</v>
      </c>
      <c r="T529" s="14" cm="1">
        <f t="array" ref="T529">SUM(_xlfn.XLOOKUP(TablaSeleccionControladores[[#Headers],[M4-CGE04060-0]:[M4-XPM18000-0]],TablaControladores[[REFERENCIA]:[REFERENCIA]],TablaControladores[EA])*$AA529:$AJ529)</f>
        <v>0</v>
      </c>
      <c r="U529" s="14" cm="1">
        <f t="array" ref="U529">SUM(_xlfn.XLOOKUP(TablaSeleccionControladores[[#Headers],[M4-CGE04060-0]:[M4-XPM18000-0]],TablaControladores[[REFERENCIA]:[REFERENCIA]],TablaControladores[EU])*$AA529:$AJ529)</f>
        <v>38</v>
      </c>
      <c r="V529" s="14" cm="1">
        <f t="array" ref="V529">SUM(_xlfn.XLOOKUP(TablaSeleccionControladores[[#Headers],[M4-CGE04060-0]:[M4-XPM18000-0]],TablaControladores[[REFERENCIA]:[REFERENCIA]],TablaControladores[ED])*$AA529:$AJ529)</f>
        <v>11</v>
      </c>
      <c r="W529" s="14" cm="1">
        <f t="array" ref="W529">SUM(_xlfn.XLOOKUP(TablaSeleccionControladores[[#Headers],[M4-CGE04060-0]:[M4-XPM18000-0]],TablaControladores[[REFERENCIA]:[REFERENCIA]],TablaControladores[SA])*$AA529:$AJ529)</f>
        <v>12</v>
      </c>
      <c r="X529" s="14" cm="1">
        <f t="array" ref="X529">SUM(_xlfn.XLOOKUP(TablaSeleccionControladores[[#Headers],[M4-CGE04060-0]:[M4-XPM18000-0]],TablaControladores[[REFERENCIA]:[REFERENCIA]],TablaControladores[SC])*$AA529:$AJ529)</f>
        <v>24</v>
      </c>
      <c r="Y529" s="14" cm="1">
        <f t="array" ref="Y529">SUM(_xlfn.XLOOKUP(TablaSeleccionControladores[[#Headers],[M4-CGE04060-0]:[M4-XPM18000-0]],TablaControladores[[REFERENCIA]:[REFERENCIA]],TablaControladores[SD])*$AA529:$AJ529)</f>
        <v>18</v>
      </c>
      <c r="Z529" s="14">
        <f>SUM(TablaSeleccionControladores[[#This Row],[EA]:[SD]])</f>
        <v>103</v>
      </c>
      <c r="AG529" s="14">
        <v>1</v>
      </c>
      <c r="AH529" s="14">
        <v>1</v>
      </c>
      <c r="AI529" s="14">
        <v>4</v>
      </c>
      <c r="AJ529" s="14">
        <v>0</v>
      </c>
    </row>
    <row r="530" spans="17:36" x14ac:dyDescent="0.25">
      <c r="Q530">
        <f t="shared" si="10"/>
        <v>420</v>
      </c>
      <c r="R530" t="s">
        <v>832</v>
      </c>
      <c r="S530">
        <f>SUM(TablaSeleccionControladores[[#This Row],[M4-CGE04060-0]:[M4-CGM09090-0H]])</f>
        <v>1</v>
      </c>
      <c r="T530" s="14" cm="1">
        <f t="array" ref="T530">SUM(_xlfn.XLOOKUP(TablaSeleccionControladores[[#Headers],[M4-CGE04060-0]:[M4-XPM18000-0]],TablaControladores[[REFERENCIA]:[REFERENCIA]],TablaControladores[EA])*$AA530:$AJ530)</f>
        <v>0</v>
      </c>
      <c r="U530" s="14" cm="1">
        <f t="array" ref="U530">SUM(_xlfn.XLOOKUP(TablaSeleccionControladores[[#Headers],[M4-CGE04060-0]:[M4-XPM18000-0]],TablaControladores[[REFERENCIA]:[REFERENCIA]],TablaControladores[EU])*$AA530:$AJ530)</f>
        <v>38</v>
      </c>
      <c r="V530" s="14" cm="1">
        <f t="array" ref="V530">SUM(_xlfn.XLOOKUP(TablaSeleccionControladores[[#Headers],[M4-CGE04060-0]:[M4-XPM18000-0]],TablaControladores[[REFERENCIA]:[REFERENCIA]],TablaControladores[ED])*$AA530:$AJ530)</f>
        <v>29</v>
      </c>
      <c r="W530" s="14" cm="1">
        <f t="array" ref="W530">SUM(_xlfn.XLOOKUP(TablaSeleccionControladores[[#Headers],[M4-CGE04060-0]:[M4-XPM18000-0]],TablaControladores[[REFERENCIA]:[REFERENCIA]],TablaControladores[SA])*$AA530:$AJ530)</f>
        <v>12</v>
      </c>
      <c r="X530" s="14" cm="1">
        <f t="array" ref="X530">SUM(_xlfn.XLOOKUP(TablaSeleccionControladores[[#Headers],[M4-CGE04060-0]:[M4-XPM18000-0]],TablaControladores[[REFERENCIA]:[REFERENCIA]],TablaControladores[SC])*$AA530:$AJ530)</f>
        <v>24</v>
      </c>
      <c r="Y530" s="14" cm="1">
        <f t="array" ref="Y530">SUM(_xlfn.XLOOKUP(TablaSeleccionControladores[[#Headers],[M4-CGE04060-0]:[M4-XPM18000-0]],TablaControladores[[REFERENCIA]:[REFERENCIA]],TablaControladores[SD])*$AA530:$AJ530)</f>
        <v>18</v>
      </c>
      <c r="Z530" s="14">
        <f>SUM(TablaSeleccionControladores[[#This Row],[EA]:[SD]])</f>
        <v>121</v>
      </c>
      <c r="AG530" s="14">
        <v>1</v>
      </c>
      <c r="AH530" s="14">
        <v>1</v>
      </c>
      <c r="AI530" s="14">
        <v>4</v>
      </c>
      <c r="AJ530" s="14">
        <v>1</v>
      </c>
    </row>
    <row r="531" spans="17:36" x14ac:dyDescent="0.25">
      <c r="Q531">
        <f t="shared" si="10"/>
        <v>421</v>
      </c>
      <c r="R531" t="s">
        <v>832</v>
      </c>
      <c r="S531">
        <f>SUM(TablaSeleccionControladores[[#This Row],[M4-CGE04060-0]:[M4-CGM09090-0H]])</f>
        <v>1</v>
      </c>
      <c r="T531" s="14" cm="1">
        <f t="array" ref="T531">SUM(_xlfn.XLOOKUP(TablaSeleccionControladores[[#Headers],[M4-CGE04060-0]:[M4-XPM18000-0]],TablaControladores[[REFERENCIA]:[REFERENCIA]],TablaControladores[EA])*$AA531:$AJ531)</f>
        <v>0</v>
      </c>
      <c r="U531" s="14" cm="1">
        <f t="array" ref="U531">SUM(_xlfn.XLOOKUP(TablaSeleccionControladores[[#Headers],[M4-CGE04060-0]:[M4-XPM18000-0]],TablaControladores[[REFERENCIA]:[REFERENCIA]],TablaControladores[EU])*$AA531:$AJ531)</f>
        <v>13</v>
      </c>
      <c r="V531" s="14" cm="1">
        <f t="array" ref="V531">SUM(_xlfn.XLOOKUP(TablaSeleccionControladores[[#Headers],[M4-CGE04060-0]:[M4-XPM18000-0]],TablaControladores[[REFERENCIA]:[REFERENCIA]],TablaControladores[ED])*$AA531:$AJ531)</f>
        <v>4</v>
      </c>
      <c r="W531" s="14" cm="1">
        <f t="array" ref="W531">SUM(_xlfn.XLOOKUP(TablaSeleccionControladores[[#Headers],[M4-CGE04060-0]:[M4-XPM18000-0]],TablaControladores[[REFERENCIA]:[REFERENCIA]],TablaControladores[SA])*$AA531:$AJ531)</f>
        <v>6</v>
      </c>
      <c r="X531" s="14" cm="1">
        <f t="array" ref="X531">SUM(_xlfn.XLOOKUP(TablaSeleccionControladores[[#Headers],[M4-CGE04060-0]:[M4-XPM18000-0]],TablaControladores[[REFERENCIA]:[REFERENCIA]],TablaControladores[SC])*$AA531:$AJ531)</f>
        <v>12</v>
      </c>
      <c r="Y531" s="14" cm="1">
        <f t="array" ref="Y531">SUM(_xlfn.XLOOKUP(TablaSeleccionControladores[[#Headers],[M4-CGE04060-0]:[M4-XPM18000-0]],TablaControladores[[REFERENCIA]:[REFERENCIA]],TablaControladores[SD])*$AA531:$AJ531)</f>
        <v>9</v>
      </c>
      <c r="Z531" s="14">
        <f>SUM(TablaSeleccionControladores[[#This Row],[EA]:[SD]])</f>
        <v>44</v>
      </c>
      <c r="AG531" s="14">
        <v>1</v>
      </c>
      <c r="AH531" s="14">
        <v>2</v>
      </c>
      <c r="AI531" s="14">
        <v>0</v>
      </c>
      <c r="AJ531" s="14">
        <v>0</v>
      </c>
    </row>
    <row r="532" spans="17:36" x14ac:dyDescent="0.25">
      <c r="Q532">
        <f t="shared" si="10"/>
        <v>422</v>
      </c>
      <c r="R532" t="s">
        <v>832</v>
      </c>
      <c r="S532">
        <f>SUM(TablaSeleccionControladores[[#This Row],[M4-CGE04060-0]:[M4-CGM09090-0H]])</f>
        <v>1</v>
      </c>
      <c r="T532" s="14" cm="1">
        <f t="array" ref="T532">SUM(_xlfn.XLOOKUP(TablaSeleccionControladores[[#Headers],[M4-CGE04060-0]:[M4-XPM18000-0]],TablaControladores[[REFERENCIA]:[REFERENCIA]],TablaControladores[EA])*$AA532:$AJ532)</f>
        <v>0</v>
      </c>
      <c r="U532" s="14" cm="1">
        <f t="array" ref="U532">SUM(_xlfn.XLOOKUP(TablaSeleccionControladores[[#Headers],[M4-CGE04060-0]:[M4-XPM18000-0]],TablaControladores[[REFERENCIA]:[REFERENCIA]],TablaControladores[EU])*$AA532:$AJ532)</f>
        <v>13</v>
      </c>
      <c r="V532" s="14" cm="1">
        <f t="array" ref="V532">SUM(_xlfn.XLOOKUP(TablaSeleccionControladores[[#Headers],[M4-CGE04060-0]:[M4-XPM18000-0]],TablaControladores[[REFERENCIA]:[REFERENCIA]],TablaControladores[ED])*$AA532:$AJ532)</f>
        <v>22</v>
      </c>
      <c r="W532" s="14" cm="1">
        <f t="array" ref="W532">SUM(_xlfn.XLOOKUP(TablaSeleccionControladores[[#Headers],[M4-CGE04060-0]:[M4-XPM18000-0]],TablaControladores[[REFERENCIA]:[REFERENCIA]],TablaControladores[SA])*$AA532:$AJ532)</f>
        <v>6</v>
      </c>
      <c r="X532" s="14" cm="1">
        <f t="array" ref="X532">SUM(_xlfn.XLOOKUP(TablaSeleccionControladores[[#Headers],[M4-CGE04060-0]:[M4-XPM18000-0]],TablaControladores[[REFERENCIA]:[REFERENCIA]],TablaControladores[SC])*$AA532:$AJ532)</f>
        <v>12</v>
      </c>
      <c r="Y532" s="14" cm="1">
        <f t="array" ref="Y532">SUM(_xlfn.XLOOKUP(TablaSeleccionControladores[[#Headers],[M4-CGE04060-0]:[M4-XPM18000-0]],TablaControladores[[REFERENCIA]:[REFERENCIA]],TablaControladores[SD])*$AA532:$AJ532)</f>
        <v>9</v>
      </c>
      <c r="Z532" s="14">
        <f>SUM(TablaSeleccionControladores[[#This Row],[EA]:[SD]])</f>
        <v>62</v>
      </c>
      <c r="AG532" s="14">
        <v>1</v>
      </c>
      <c r="AH532" s="14">
        <v>2</v>
      </c>
      <c r="AI532" s="14">
        <v>0</v>
      </c>
      <c r="AJ532" s="14">
        <v>1</v>
      </c>
    </row>
    <row r="533" spans="17:36" x14ac:dyDescent="0.25">
      <c r="Q533">
        <f t="shared" si="10"/>
        <v>423</v>
      </c>
      <c r="R533" t="s">
        <v>832</v>
      </c>
      <c r="S533">
        <f>SUM(TablaSeleccionControladores[[#This Row],[M4-CGE04060-0]:[M4-CGM09090-0H]])</f>
        <v>1</v>
      </c>
      <c r="T533" s="14" cm="1">
        <f t="array" ref="T533">SUM(_xlfn.XLOOKUP(TablaSeleccionControladores[[#Headers],[M4-CGE04060-0]:[M4-XPM18000-0]],TablaControladores[[REFERENCIA]:[REFERENCIA]],TablaControladores[EA])*$AA533:$AJ533)</f>
        <v>0</v>
      </c>
      <c r="U533" s="14" cm="1">
        <f t="array" ref="U533">SUM(_xlfn.XLOOKUP(TablaSeleccionControladores[[#Headers],[M4-CGE04060-0]:[M4-XPM18000-0]],TablaControladores[[REFERENCIA]:[REFERENCIA]],TablaControladores[EU])*$AA533:$AJ533)</f>
        <v>13</v>
      </c>
      <c r="V533" s="14" cm="1">
        <f t="array" ref="V533">SUM(_xlfn.XLOOKUP(TablaSeleccionControladores[[#Headers],[M4-CGE04060-0]:[M4-XPM18000-0]],TablaControladores[[REFERENCIA]:[REFERENCIA]],TablaControladores[ED])*$AA533:$AJ533)</f>
        <v>40</v>
      </c>
      <c r="W533" s="14" cm="1">
        <f t="array" ref="W533">SUM(_xlfn.XLOOKUP(TablaSeleccionControladores[[#Headers],[M4-CGE04060-0]:[M4-XPM18000-0]],TablaControladores[[REFERENCIA]:[REFERENCIA]],TablaControladores[SA])*$AA533:$AJ533)</f>
        <v>6</v>
      </c>
      <c r="X533" s="14" cm="1">
        <f t="array" ref="X533">SUM(_xlfn.XLOOKUP(TablaSeleccionControladores[[#Headers],[M4-CGE04060-0]:[M4-XPM18000-0]],TablaControladores[[REFERENCIA]:[REFERENCIA]],TablaControladores[SC])*$AA533:$AJ533)</f>
        <v>12</v>
      </c>
      <c r="Y533" s="14" cm="1">
        <f t="array" ref="Y533">SUM(_xlfn.XLOOKUP(TablaSeleccionControladores[[#Headers],[M4-CGE04060-0]:[M4-XPM18000-0]],TablaControladores[[REFERENCIA]:[REFERENCIA]],TablaControladores[SD])*$AA533:$AJ533)</f>
        <v>9</v>
      </c>
      <c r="Z533" s="14">
        <f>SUM(TablaSeleccionControladores[[#This Row],[EA]:[SD]])</f>
        <v>80</v>
      </c>
      <c r="AG533" s="14">
        <v>1</v>
      </c>
      <c r="AH533" s="14">
        <v>2</v>
      </c>
      <c r="AI533" s="14">
        <v>0</v>
      </c>
      <c r="AJ533" s="14">
        <v>2</v>
      </c>
    </row>
    <row r="534" spans="17:36" x14ac:dyDescent="0.25">
      <c r="Q534">
        <f t="shared" si="10"/>
        <v>424</v>
      </c>
      <c r="R534" t="s">
        <v>832</v>
      </c>
      <c r="S534">
        <f>SUM(TablaSeleccionControladores[[#This Row],[M4-CGE04060-0]:[M4-CGM09090-0H]])</f>
        <v>1</v>
      </c>
      <c r="T534" s="14" cm="1">
        <f t="array" ref="T534">SUM(_xlfn.XLOOKUP(TablaSeleccionControladores[[#Headers],[M4-CGE04060-0]:[M4-XPM18000-0]],TablaControladores[[REFERENCIA]:[REFERENCIA]],TablaControladores[EA])*$AA534:$AJ534)</f>
        <v>0</v>
      </c>
      <c r="U534" s="14" cm="1">
        <f t="array" ref="U534">SUM(_xlfn.XLOOKUP(TablaSeleccionControladores[[#Headers],[M4-CGE04060-0]:[M4-XPM18000-0]],TablaControladores[[REFERENCIA]:[REFERENCIA]],TablaControladores[EU])*$AA534:$AJ534)</f>
        <v>13</v>
      </c>
      <c r="V534" s="14" cm="1">
        <f t="array" ref="V534">SUM(_xlfn.XLOOKUP(TablaSeleccionControladores[[#Headers],[M4-CGE04060-0]:[M4-XPM18000-0]],TablaControladores[[REFERENCIA]:[REFERENCIA]],TablaControladores[ED])*$AA534:$AJ534)</f>
        <v>58</v>
      </c>
      <c r="W534" s="14" cm="1">
        <f t="array" ref="W534">SUM(_xlfn.XLOOKUP(TablaSeleccionControladores[[#Headers],[M4-CGE04060-0]:[M4-XPM18000-0]],TablaControladores[[REFERENCIA]:[REFERENCIA]],TablaControladores[SA])*$AA534:$AJ534)</f>
        <v>6</v>
      </c>
      <c r="X534" s="14" cm="1">
        <f t="array" ref="X534">SUM(_xlfn.XLOOKUP(TablaSeleccionControladores[[#Headers],[M4-CGE04060-0]:[M4-XPM18000-0]],TablaControladores[[REFERENCIA]:[REFERENCIA]],TablaControladores[SC])*$AA534:$AJ534)</f>
        <v>12</v>
      </c>
      <c r="Y534" s="14" cm="1">
        <f t="array" ref="Y534">SUM(_xlfn.XLOOKUP(TablaSeleccionControladores[[#Headers],[M4-CGE04060-0]:[M4-XPM18000-0]],TablaControladores[[REFERENCIA]:[REFERENCIA]],TablaControladores[SD])*$AA534:$AJ534)</f>
        <v>9</v>
      </c>
      <c r="Z534" s="14">
        <f>SUM(TablaSeleccionControladores[[#This Row],[EA]:[SD]])</f>
        <v>98</v>
      </c>
      <c r="AG534" s="14">
        <v>1</v>
      </c>
      <c r="AH534" s="14">
        <v>2</v>
      </c>
      <c r="AI534" s="14">
        <v>0</v>
      </c>
      <c r="AJ534" s="14">
        <v>3</v>
      </c>
    </row>
    <row r="535" spans="17:36" x14ac:dyDescent="0.25">
      <c r="Q535">
        <f t="shared" si="10"/>
        <v>425</v>
      </c>
      <c r="R535" t="s">
        <v>832</v>
      </c>
      <c r="S535">
        <f>SUM(TablaSeleccionControladores[[#This Row],[M4-CGE04060-0]:[M4-CGM09090-0H]])</f>
        <v>1</v>
      </c>
      <c r="T535" s="14" cm="1">
        <f t="array" ref="T535">SUM(_xlfn.XLOOKUP(TablaSeleccionControladores[[#Headers],[M4-CGE04060-0]:[M4-XPM18000-0]],TablaControladores[[REFERENCIA]:[REFERENCIA]],TablaControladores[EA])*$AA535:$AJ535)</f>
        <v>0</v>
      </c>
      <c r="U535" s="14" cm="1">
        <f t="array" ref="U535">SUM(_xlfn.XLOOKUP(TablaSeleccionControladores[[#Headers],[M4-CGE04060-0]:[M4-XPM18000-0]],TablaControladores[[REFERENCIA]:[REFERENCIA]],TablaControladores[EU])*$AA535:$AJ535)</f>
        <v>13</v>
      </c>
      <c r="V535" s="14" cm="1">
        <f t="array" ref="V535">SUM(_xlfn.XLOOKUP(TablaSeleccionControladores[[#Headers],[M4-CGE04060-0]:[M4-XPM18000-0]],TablaControladores[[REFERENCIA]:[REFERENCIA]],TablaControladores[ED])*$AA535:$AJ535)</f>
        <v>76</v>
      </c>
      <c r="W535" s="14" cm="1">
        <f t="array" ref="W535">SUM(_xlfn.XLOOKUP(TablaSeleccionControladores[[#Headers],[M4-CGE04060-0]:[M4-XPM18000-0]],TablaControladores[[REFERENCIA]:[REFERENCIA]],TablaControladores[SA])*$AA535:$AJ535)</f>
        <v>6</v>
      </c>
      <c r="X535" s="14" cm="1">
        <f t="array" ref="X535">SUM(_xlfn.XLOOKUP(TablaSeleccionControladores[[#Headers],[M4-CGE04060-0]:[M4-XPM18000-0]],TablaControladores[[REFERENCIA]:[REFERENCIA]],TablaControladores[SC])*$AA535:$AJ535)</f>
        <v>12</v>
      </c>
      <c r="Y535" s="14" cm="1">
        <f t="array" ref="Y535">SUM(_xlfn.XLOOKUP(TablaSeleccionControladores[[#Headers],[M4-CGE04060-0]:[M4-XPM18000-0]],TablaControladores[[REFERENCIA]:[REFERENCIA]],TablaControladores[SD])*$AA535:$AJ535)</f>
        <v>9</v>
      </c>
      <c r="Z535" s="14">
        <f>SUM(TablaSeleccionControladores[[#This Row],[EA]:[SD]])</f>
        <v>116</v>
      </c>
      <c r="AG535" s="14">
        <v>1</v>
      </c>
      <c r="AH535" s="14">
        <v>2</v>
      </c>
      <c r="AI535" s="14">
        <v>0</v>
      </c>
      <c r="AJ535" s="14">
        <v>4</v>
      </c>
    </row>
    <row r="536" spans="17:36" x14ac:dyDescent="0.25">
      <c r="Q536">
        <f t="shared" si="10"/>
        <v>426</v>
      </c>
      <c r="R536" t="s">
        <v>832</v>
      </c>
      <c r="S536">
        <f>SUM(TablaSeleccionControladores[[#This Row],[M4-CGE04060-0]:[M4-CGM09090-0H]])</f>
        <v>1</v>
      </c>
      <c r="T536" s="14" cm="1">
        <f t="array" ref="T536">SUM(_xlfn.XLOOKUP(TablaSeleccionControladores[[#Headers],[M4-CGE04060-0]:[M4-XPM18000-0]],TablaControladores[[REFERENCIA]:[REFERENCIA]],TablaControladores[EA])*$AA536:$AJ536)</f>
        <v>0</v>
      </c>
      <c r="U536" s="14" cm="1">
        <f t="array" ref="U536">SUM(_xlfn.XLOOKUP(TablaSeleccionControladores[[#Headers],[M4-CGE04060-0]:[M4-XPM18000-0]],TablaControladores[[REFERENCIA]:[REFERENCIA]],TablaControladores[EU])*$AA536:$AJ536)</f>
        <v>20</v>
      </c>
      <c r="V536" s="14" cm="1">
        <f t="array" ref="V536">SUM(_xlfn.XLOOKUP(TablaSeleccionControladores[[#Headers],[M4-CGE04060-0]:[M4-XPM18000-0]],TablaControladores[[REFERENCIA]:[REFERENCIA]],TablaControladores[ED])*$AA536:$AJ536)</f>
        <v>6</v>
      </c>
      <c r="W536" s="14" cm="1">
        <f t="array" ref="W536">SUM(_xlfn.XLOOKUP(TablaSeleccionControladores[[#Headers],[M4-CGE04060-0]:[M4-XPM18000-0]],TablaControladores[[REFERENCIA]:[REFERENCIA]],TablaControladores[SA])*$AA536:$AJ536)</f>
        <v>8</v>
      </c>
      <c r="X536" s="14" cm="1">
        <f t="array" ref="X536">SUM(_xlfn.XLOOKUP(TablaSeleccionControladores[[#Headers],[M4-CGE04060-0]:[M4-XPM18000-0]],TablaControladores[[REFERENCIA]:[REFERENCIA]],TablaControladores[SC])*$AA536:$AJ536)</f>
        <v>16</v>
      </c>
      <c r="Y536" s="14" cm="1">
        <f t="array" ref="Y536">SUM(_xlfn.XLOOKUP(TablaSeleccionControladores[[#Headers],[M4-CGE04060-0]:[M4-XPM18000-0]],TablaControladores[[REFERENCIA]:[REFERENCIA]],TablaControladores[SD])*$AA536:$AJ536)</f>
        <v>12</v>
      </c>
      <c r="Z536" s="14">
        <f>SUM(TablaSeleccionControladores[[#This Row],[EA]:[SD]])</f>
        <v>62</v>
      </c>
      <c r="AG536" s="14">
        <v>1</v>
      </c>
      <c r="AH536" s="14">
        <v>2</v>
      </c>
      <c r="AI536" s="14">
        <v>1</v>
      </c>
      <c r="AJ536" s="14">
        <v>0</v>
      </c>
    </row>
    <row r="537" spans="17:36" x14ac:dyDescent="0.25">
      <c r="Q537">
        <f t="shared" si="10"/>
        <v>427</v>
      </c>
      <c r="R537" t="s">
        <v>832</v>
      </c>
      <c r="S537">
        <f>SUM(TablaSeleccionControladores[[#This Row],[M4-CGE04060-0]:[M4-CGM09090-0H]])</f>
        <v>1</v>
      </c>
      <c r="T537" s="14" cm="1">
        <f t="array" ref="T537">SUM(_xlfn.XLOOKUP(TablaSeleccionControladores[[#Headers],[M4-CGE04060-0]:[M4-XPM18000-0]],TablaControladores[[REFERENCIA]:[REFERENCIA]],TablaControladores[EA])*$AA537:$AJ537)</f>
        <v>0</v>
      </c>
      <c r="U537" s="14" cm="1">
        <f t="array" ref="U537">SUM(_xlfn.XLOOKUP(TablaSeleccionControladores[[#Headers],[M4-CGE04060-0]:[M4-XPM18000-0]],TablaControladores[[REFERENCIA]:[REFERENCIA]],TablaControladores[EU])*$AA537:$AJ537)</f>
        <v>20</v>
      </c>
      <c r="V537" s="14" cm="1">
        <f t="array" ref="V537">SUM(_xlfn.XLOOKUP(TablaSeleccionControladores[[#Headers],[M4-CGE04060-0]:[M4-XPM18000-0]],TablaControladores[[REFERENCIA]:[REFERENCIA]],TablaControladores[ED])*$AA537:$AJ537)</f>
        <v>24</v>
      </c>
      <c r="W537" s="14" cm="1">
        <f t="array" ref="W537">SUM(_xlfn.XLOOKUP(TablaSeleccionControladores[[#Headers],[M4-CGE04060-0]:[M4-XPM18000-0]],TablaControladores[[REFERENCIA]:[REFERENCIA]],TablaControladores[SA])*$AA537:$AJ537)</f>
        <v>8</v>
      </c>
      <c r="X537" s="14" cm="1">
        <f t="array" ref="X537">SUM(_xlfn.XLOOKUP(TablaSeleccionControladores[[#Headers],[M4-CGE04060-0]:[M4-XPM18000-0]],TablaControladores[[REFERENCIA]:[REFERENCIA]],TablaControladores[SC])*$AA537:$AJ537)</f>
        <v>16</v>
      </c>
      <c r="Y537" s="14" cm="1">
        <f t="array" ref="Y537">SUM(_xlfn.XLOOKUP(TablaSeleccionControladores[[#Headers],[M4-CGE04060-0]:[M4-XPM18000-0]],TablaControladores[[REFERENCIA]:[REFERENCIA]],TablaControladores[SD])*$AA537:$AJ537)</f>
        <v>12</v>
      </c>
      <c r="Z537" s="14">
        <f>SUM(TablaSeleccionControladores[[#This Row],[EA]:[SD]])</f>
        <v>80</v>
      </c>
      <c r="AG537" s="14">
        <v>1</v>
      </c>
      <c r="AH537" s="14">
        <v>2</v>
      </c>
      <c r="AI537" s="14">
        <v>1</v>
      </c>
      <c r="AJ537" s="14">
        <v>1</v>
      </c>
    </row>
    <row r="538" spans="17:36" x14ac:dyDescent="0.25">
      <c r="Q538">
        <f t="shared" si="10"/>
        <v>428</v>
      </c>
      <c r="R538" t="s">
        <v>832</v>
      </c>
      <c r="S538">
        <f>SUM(TablaSeleccionControladores[[#This Row],[M4-CGE04060-0]:[M4-CGM09090-0H]])</f>
        <v>1</v>
      </c>
      <c r="T538" s="14" cm="1">
        <f t="array" ref="T538">SUM(_xlfn.XLOOKUP(TablaSeleccionControladores[[#Headers],[M4-CGE04060-0]:[M4-XPM18000-0]],TablaControladores[[REFERENCIA]:[REFERENCIA]],TablaControladores[EA])*$AA538:$AJ538)</f>
        <v>0</v>
      </c>
      <c r="U538" s="14" cm="1">
        <f t="array" ref="U538">SUM(_xlfn.XLOOKUP(TablaSeleccionControladores[[#Headers],[M4-CGE04060-0]:[M4-XPM18000-0]],TablaControladores[[REFERENCIA]:[REFERENCIA]],TablaControladores[EU])*$AA538:$AJ538)</f>
        <v>20</v>
      </c>
      <c r="V538" s="14" cm="1">
        <f t="array" ref="V538">SUM(_xlfn.XLOOKUP(TablaSeleccionControladores[[#Headers],[M4-CGE04060-0]:[M4-XPM18000-0]],TablaControladores[[REFERENCIA]:[REFERENCIA]],TablaControladores[ED])*$AA538:$AJ538)</f>
        <v>42</v>
      </c>
      <c r="W538" s="14" cm="1">
        <f t="array" ref="W538">SUM(_xlfn.XLOOKUP(TablaSeleccionControladores[[#Headers],[M4-CGE04060-0]:[M4-XPM18000-0]],TablaControladores[[REFERENCIA]:[REFERENCIA]],TablaControladores[SA])*$AA538:$AJ538)</f>
        <v>8</v>
      </c>
      <c r="X538" s="14" cm="1">
        <f t="array" ref="X538">SUM(_xlfn.XLOOKUP(TablaSeleccionControladores[[#Headers],[M4-CGE04060-0]:[M4-XPM18000-0]],TablaControladores[[REFERENCIA]:[REFERENCIA]],TablaControladores[SC])*$AA538:$AJ538)</f>
        <v>16</v>
      </c>
      <c r="Y538" s="14" cm="1">
        <f t="array" ref="Y538">SUM(_xlfn.XLOOKUP(TablaSeleccionControladores[[#Headers],[M4-CGE04060-0]:[M4-XPM18000-0]],TablaControladores[[REFERENCIA]:[REFERENCIA]],TablaControladores[SD])*$AA538:$AJ538)</f>
        <v>12</v>
      </c>
      <c r="Z538" s="14">
        <f>SUM(TablaSeleccionControladores[[#This Row],[EA]:[SD]])</f>
        <v>98</v>
      </c>
      <c r="AG538" s="14">
        <v>1</v>
      </c>
      <c r="AH538" s="14">
        <v>2</v>
      </c>
      <c r="AI538" s="14">
        <v>1</v>
      </c>
      <c r="AJ538" s="14">
        <v>2</v>
      </c>
    </row>
    <row r="539" spans="17:36" x14ac:dyDescent="0.25">
      <c r="Q539">
        <f t="shared" si="10"/>
        <v>429</v>
      </c>
      <c r="R539" t="s">
        <v>832</v>
      </c>
      <c r="S539">
        <f>SUM(TablaSeleccionControladores[[#This Row],[M4-CGE04060-0]:[M4-CGM09090-0H]])</f>
        <v>1</v>
      </c>
      <c r="T539" s="14" cm="1">
        <f t="array" ref="T539">SUM(_xlfn.XLOOKUP(TablaSeleccionControladores[[#Headers],[M4-CGE04060-0]:[M4-XPM18000-0]],TablaControladores[[REFERENCIA]:[REFERENCIA]],TablaControladores[EA])*$AA539:$AJ539)</f>
        <v>0</v>
      </c>
      <c r="U539" s="14" cm="1">
        <f t="array" ref="U539">SUM(_xlfn.XLOOKUP(TablaSeleccionControladores[[#Headers],[M4-CGE04060-0]:[M4-XPM18000-0]],TablaControladores[[REFERENCIA]:[REFERENCIA]],TablaControladores[EU])*$AA539:$AJ539)</f>
        <v>20</v>
      </c>
      <c r="V539" s="14" cm="1">
        <f t="array" ref="V539">SUM(_xlfn.XLOOKUP(TablaSeleccionControladores[[#Headers],[M4-CGE04060-0]:[M4-XPM18000-0]],TablaControladores[[REFERENCIA]:[REFERENCIA]],TablaControladores[ED])*$AA539:$AJ539)</f>
        <v>60</v>
      </c>
      <c r="W539" s="14" cm="1">
        <f t="array" ref="W539">SUM(_xlfn.XLOOKUP(TablaSeleccionControladores[[#Headers],[M4-CGE04060-0]:[M4-XPM18000-0]],TablaControladores[[REFERENCIA]:[REFERENCIA]],TablaControladores[SA])*$AA539:$AJ539)</f>
        <v>8</v>
      </c>
      <c r="X539" s="14" cm="1">
        <f t="array" ref="X539">SUM(_xlfn.XLOOKUP(TablaSeleccionControladores[[#Headers],[M4-CGE04060-0]:[M4-XPM18000-0]],TablaControladores[[REFERENCIA]:[REFERENCIA]],TablaControladores[SC])*$AA539:$AJ539)</f>
        <v>16</v>
      </c>
      <c r="Y539" s="14" cm="1">
        <f t="array" ref="Y539">SUM(_xlfn.XLOOKUP(TablaSeleccionControladores[[#Headers],[M4-CGE04060-0]:[M4-XPM18000-0]],TablaControladores[[REFERENCIA]:[REFERENCIA]],TablaControladores[SD])*$AA539:$AJ539)</f>
        <v>12</v>
      </c>
      <c r="Z539" s="14">
        <f>SUM(TablaSeleccionControladores[[#This Row],[EA]:[SD]])</f>
        <v>116</v>
      </c>
      <c r="AG539" s="14">
        <v>1</v>
      </c>
      <c r="AH539" s="14">
        <v>2</v>
      </c>
      <c r="AI539" s="14">
        <v>1</v>
      </c>
      <c r="AJ539" s="14">
        <v>3</v>
      </c>
    </row>
    <row r="540" spans="17:36" x14ac:dyDescent="0.25">
      <c r="Q540">
        <f t="shared" si="10"/>
        <v>430</v>
      </c>
      <c r="R540" t="s">
        <v>832</v>
      </c>
      <c r="S540">
        <f>SUM(TablaSeleccionControladores[[#This Row],[M4-CGE04060-0]:[M4-CGM09090-0H]])</f>
        <v>1</v>
      </c>
      <c r="T540" s="14" cm="1">
        <f t="array" ref="T540">SUM(_xlfn.XLOOKUP(TablaSeleccionControladores[[#Headers],[M4-CGE04060-0]:[M4-XPM18000-0]],TablaControladores[[REFERENCIA]:[REFERENCIA]],TablaControladores[EA])*$AA540:$AJ540)</f>
        <v>0</v>
      </c>
      <c r="U540" s="14" cm="1">
        <f t="array" ref="U540">SUM(_xlfn.XLOOKUP(TablaSeleccionControladores[[#Headers],[M4-CGE04060-0]:[M4-XPM18000-0]],TablaControladores[[REFERENCIA]:[REFERENCIA]],TablaControladores[EU])*$AA540:$AJ540)</f>
        <v>27</v>
      </c>
      <c r="V540" s="14" cm="1">
        <f t="array" ref="V540">SUM(_xlfn.XLOOKUP(TablaSeleccionControladores[[#Headers],[M4-CGE04060-0]:[M4-XPM18000-0]],TablaControladores[[REFERENCIA]:[REFERENCIA]],TablaControladores[ED])*$AA540:$AJ540)</f>
        <v>8</v>
      </c>
      <c r="W540" s="14" cm="1">
        <f t="array" ref="W540">SUM(_xlfn.XLOOKUP(TablaSeleccionControladores[[#Headers],[M4-CGE04060-0]:[M4-XPM18000-0]],TablaControladores[[REFERENCIA]:[REFERENCIA]],TablaControladores[SA])*$AA540:$AJ540)</f>
        <v>10</v>
      </c>
      <c r="X540" s="14" cm="1">
        <f t="array" ref="X540">SUM(_xlfn.XLOOKUP(TablaSeleccionControladores[[#Headers],[M4-CGE04060-0]:[M4-XPM18000-0]],TablaControladores[[REFERENCIA]:[REFERENCIA]],TablaControladores[SC])*$AA540:$AJ540)</f>
        <v>20</v>
      </c>
      <c r="Y540" s="14" cm="1">
        <f t="array" ref="Y540">SUM(_xlfn.XLOOKUP(TablaSeleccionControladores[[#Headers],[M4-CGE04060-0]:[M4-XPM18000-0]],TablaControladores[[REFERENCIA]:[REFERENCIA]],TablaControladores[SD])*$AA540:$AJ540)</f>
        <v>15</v>
      </c>
      <c r="Z540" s="14">
        <f>SUM(TablaSeleccionControladores[[#This Row],[EA]:[SD]])</f>
        <v>80</v>
      </c>
      <c r="AG540" s="14">
        <v>1</v>
      </c>
      <c r="AH540" s="14">
        <v>2</v>
      </c>
      <c r="AI540" s="14">
        <v>2</v>
      </c>
      <c r="AJ540" s="14">
        <v>0</v>
      </c>
    </row>
    <row r="541" spans="17:36" x14ac:dyDescent="0.25">
      <c r="Q541">
        <f t="shared" si="10"/>
        <v>431</v>
      </c>
      <c r="R541" t="s">
        <v>832</v>
      </c>
      <c r="S541">
        <f>SUM(TablaSeleccionControladores[[#This Row],[M4-CGE04060-0]:[M4-CGM09090-0H]])</f>
        <v>1</v>
      </c>
      <c r="T541" s="14" cm="1">
        <f t="array" ref="T541">SUM(_xlfn.XLOOKUP(TablaSeleccionControladores[[#Headers],[M4-CGE04060-0]:[M4-XPM18000-0]],TablaControladores[[REFERENCIA]:[REFERENCIA]],TablaControladores[EA])*$AA541:$AJ541)</f>
        <v>0</v>
      </c>
      <c r="U541" s="14" cm="1">
        <f t="array" ref="U541">SUM(_xlfn.XLOOKUP(TablaSeleccionControladores[[#Headers],[M4-CGE04060-0]:[M4-XPM18000-0]],TablaControladores[[REFERENCIA]:[REFERENCIA]],TablaControladores[EU])*$AA541:$AJ541)</f>
        <v>27</v>
      </c>
      <c r="V541" s="14" cm="1">
        <f t="array" ref="V541">SUM(_xlfn.XLOOKUP(TablaSeleccionControladores[[#Headers],[M4-CGE04060-0]:[M4-XPM18000-0]],TablaControladores[[REFERENCIA]:[REFERENCIA]],TablaControladores[ED])*$AA541:$AJ541)</f>
        <v>26</v>
      </c>
      <c r="W541" s="14" cm="1">
        <f t="array" ref="W541">SUM(_xlfn.XLOOKUP(TablaSeleccionControladores[[#Headers],[M4-CGE04060-0]:[M4-XPM18000-0]],TablaControladores[[REFERENCIA]:[REFERENCIA]],TablaControladores[SA])*$AA541:$AJ541)</f>
        <v>10</v>
      </c>
      <c r="X541" s="14" cm="1">
        <f t="array" ref="X541">SUM(_xlfn.XLOOKUP(TablaSeleccionControladores[[#Headers],[M4-CGE04060-0]:[M4-XPM18000-0]],TablaControladores[[REFERENCIA]:[REFERENCIA]],TablaControladores[SC])*$AA541:$AJ541)</f>
        <v>20</v>
      </c>
      <c r="Y541" s="14" cm="1">
        <f t="array" ref="Y541">SUM(_xlfn.XLOOKUP(TablaSeleccionControladores[[#Headers],[M4-CGE04060-0]:[M4-XPM18000-0]],TablaControladores[[REFERENCIA]:[REFERENCIA]],TablaControladores[SD])*$AA541:$AJ541)</f>
        <v>15</v>
      </c>
      <c r="Z541" s="14">
        <f>SUM(TablaSeleccionControladores[[#This Row],[EA]:[SD]])</f>
        <v>98</v>
      </c>
      <c r="AG541" s="14">
        <v>1</v>
      </c>
      <c r="AH541" s="14">
        <v>2</v>
      </c>
      <c r="AI541" s="14">
        <v>2</v>
      </c>
      <c r="AJ541" s="14">
        <v>1</v>
      </c>
    </row>
    <row r="542" spans="17:36" x14ac:dyDescent="0.25">
      <c r="Q542">
        <f t="shared" si="10"/>
        <v>432</v>
      </c>
      <c r="R542" t="s">
        <v>832</v>
      </c>
      <c r="S542">
        <f>SUM(TablaSeleccionControladores[[#This Row],[M4-CGE04060-0]:[M4-CGM09090-0H]])</f>
        <v>1</v>
      </c>
      <c r="T542" s="14" cm="1">
        <f t="array" ref="T542">SUM(_xlfn.XLOOKUP(TablaSeleccionControladores[[#Headers],[M4-CGE04060-0]:[M4-XPM18000-0]],TablaControladores[[REFERENCIA]:[REFERENCIA]],TablaControladores[EA])*$AA542:$AJ542)</f>
        <v>0</v>
      </c>
      <c r="U542" s="14" cm="1">
        <f t="array" ref="U542">SUM(_xlfn.XLOOKUP(TablaSeleccionControladores[[#Headers],[M4-CGE04060-0]:[M4-XPM18000-0]],TablaControladores[[REFERENCIA]:[REFERENCIA]],TablaControladores[EU])*$AA542:$AJ542)</f>
        <v>27</v>
      </c>
      <c r="V542" s="14" cm="1">
        <f t="array" ref="V542">SUM(_xlfn.XLOOKUP(TablaSeleccionControladores[[#Headers],[M4-CGE04060-0]:[M4-XPM18000-0]],TablaControladores[[REFERENCIA]:[REFERENCIA]],TablaControladores[ED])*$AA542:$AJ542)</f>
        <v>44</v>
      </c>
      <c r="W542" s="14" cm="1">
        <f t="array" ref="W542">SUM(_xlfn.XLOOKUP(TablaSeleccionControladores[[#Headers],[M4-CGE04060-0]:[M4-XPM18000-0]],TablaControladores[[REFERENCIA]:[REFERENCIA]],TablaControladores[SA])*$AA542:$AJ542)</f>
        <v>10</v>
      </c>
      <c r="X542" s="14" cm="1">
        <f t="array" ref="X542">SUM(_xlfn.XLOOKUP(TablaSeleccionControladores[[#Headers],[M4-CGE04060-0]:[M4-XPM18000-0]],TablaControladores[[REFERENCIA]:[REFERENCIA]],TablaControladores[SC])*$AA542:$AJ542)</f>
        <v>20</v>
      </c>
      <c r="Y542" s="14" cm="1">
        <f t="array" ref="Y542">SUM(_xlfn.XLOOKUP(TablaSeleccionControladores[[#Headers],[M4-CGE04060-0]:[M4-XPM18000-0]],TablaControladores[[REFERENCIA]:[REFERENCIA]],TablaControladores[SD])*$AA542:$AJ542)</f>
        <v>15</v>
      </c>
      <c r="Z542" s="14">
        <f>SUM(TablaSeleccionControladores[[#This Row],[EA]:[SD]])</f>
        <v>116</v>
      </c>
      <c r="AG542" s="14">
        <v>1</v>
      </c>
      <c r="AH542" s="14">
        <v>2</v>
      </c>
      <c r="AI542" s="14">
        <v>2</v>
      </c>
      <c r="AJ542" s="14">
        <v>2</v>
      </c>
    </row>
    <row r="543" spans="17:36" x14ac:dyDescent="0.25">
      <c r="Q543">
        <f t="shared" si="10"/>
        <v>433</v>
      </c>
      <c r="R543" t="s">
        <v>832</v>
      </c>
      <c r="S543">
        <f>SUM(TablaSeleccionControladores[[#This Row],[M4-CGE04060-0]:[M4-CGM09090-0H]])</f>
        <v>1</v>
      </c>
      <c r="T543" s="14" cm="1">
        <f t="array" ref="T543">SUM(_xlfn.XLOOKUP(TablaSeleccionControladores[[#Headers],[M4-CGE04060-0]:[M4-XPM18000-0]],TablaControladores[[REFERENCIA]:[REFERENCIA]],TablaControladores[EA])*$AA543:$AJ543)</f>
        <v>0</v>
      </c>
      <c r="U543" s="14" cm="1">
        <f t="array" ref="U543">SUM(_xlfn.XLOOKUP(TablaSeleccionControladores[[#Headers],[M4-CGE04060-0]:[M4-XPM18000-0]],TablaControladores[[REFERENCIA]:[REFERENCIA]],TablaControladores[EU])*$AA543:$AJ543)</f>
        <v>34</v>
      </c>
      <c r="V543" s="14" cm="1">
        <f t="array" ref="V543">SUM(_xlfn.XLOOKUP(TablaSeleccionControladores[[#Headers],[M4-CGE04060-0]:[M4-XPM18000-0]],TablaControladores[[REFERENCIA]:[REFERENCIA]],TablaControladores[ED])*$AA543:$AJ543)</f>
        <v>10</v>
      </c>
      <c r="W543" s="14" cm="1">
        <f t="array" ref="W543">SUM(_xlfn.XLOOKUP(TablaSeleccionControladores[[#Headers],[M4-CGE04060-0]:[M4-XPM18000-0]],TablaControladores[[REFERENCIA]:[REFERENCIA]],TablaControladores[SA])*$AA543:$AJ543)</f>
        <v>12</v>
      </c>
      <c r="X543" s="14" cm="1">
        <f t="array" ref="X543">SUM(_xlfn.XLOOKUP(TablaSeleccionControladores[[#Headers],[M4-CGE04060-0]:[M4-XPM18000-0]],TablaControladores[[REFERENCIA]:[REFERENCIA]],TablaControladores[SC])*$AA543:$AJ543)</f>
        <v>24</v>
      </c>
      <c r="Y543" s="14" cm="1">
        <f t="array" ref="Y543">SUM(_xlfn.XLOOKUP(TablaSeleccionControladores[[#Headers],[M4-CGE04060-0]:[M4-XPM18000-0]],TablaControladores[[REFERENCIA]:[REFERENCIA]],TablaControladores[SD])*$AA543:$AJ543)</f>
        <v>18</v>
      </c>
      <c r="Z543" s="14">
        <f>SUM(TablaSeleccionControladores[[#This Row],[EA]:[SD]])</f>
        <v>98</v>
      </c>
      <c r="AG543" s="14">
        <v>1</v>
      </c>
      <c r="AH543" s="14">
        <v>2</v>
      </c>
      <c r="AI543" s="14">
        <v>3</v>
      </c>
      <c r="AJ543" s="14">
        <v>0</v>
      </c>
    </row>
    <row r="544" spans="17:36" x14ac:dyDescent="0.25">
      <c r="Q544">
        <f t="shared" si="10"/>
        <v>434</v>
      </c>
      <c r="R544" t="s">
        <v>832</v>
      </c>
      <c r="S544">
        <f>SUM(TablaSeleccionControladores[[#This Row],[M4-CGE04060-0]:[M4-CGM09090-0H]])</f>
        <v>1</v>
      </c>
      <c r="T544" s="14" cm="1">
        <f t="array" ref="T544">SUM(_xlfn.XLOOKUP(TablaSeleccionControladores[[#Headers],[M4-CGE04060-0]:[M4-XPM18000-0]],TablaControladores[[REFERENCIA]:[REFERENCIA]],TablaControladores[EA])*$AA544:$AJ544)</f>
        <v>0</v>
      </c>
      <c r="U544" s="14" cm="1">
        <f t="array" ref="U544">SUM(_xlfn.XLOOKUP(TablaSeleccionControladores[[#Headers],[M4-CGE04060-0]:[M4-XPM18000-0]],TablaControladores[[REFERENCIA]:[REFERENCIA]],TablaControladores[EU])*$AA544:$AJ544)</f>
        <v>34</v>
      </c>
      <c r="V544" s="14" cm="1">
        <f t="array" ref="V544">SUM(_xlfn.XLOOKUP(TablaSeleccionControladores[[#Headers],[M4-CGE04060-0]:[M4-XPM18000-0]],TablaControladores[[REFERENCIA]:[REFERENCIA]],TablaControladores[ED])*$AA544:$AJ544)</f>
        <v>28</v>
      </c>
      <c r="W544" s="14" cm="1">
        <f t="array" ref="W544">SUM(_xlfn.XLOOKUP(TablaSeleccionControladores[[#Headers],[M4-CGE04060-0]:[M4-XPM18000-0]],TablaControladores[[REFERENCIA]:[REFERENCIA]],TablaControladores[SA])*$AA544:$AJ544)</f>
        <v>12</v>
      </c>
      <c r="X544" s="14" cm="1">
        <f t="array" ref="X544">SUM(_xlfn.XLOOKUP(TablaSeleccionControladores[[#Headers],[M4-CGE04060-0]:[M4-XPM18000-0]],TablaControladores[[REFERENCIA]:[REFERENCIA]],TablaControladores[SC])*$AA544:$AJ544)</f>
        <v>24</v>
      </c>
      <c r="Y544" s="14" cm="1">
        <f t="array" ref="Y544">SUM(_xlfn.XLOOKUP(TablaSeleccionControladores[[#Headers],[M4-CGE04060-0]:[M4-XPM18000-0]],TablaControladores[[REFERENCIA]:[REFERENCIA]],TablaControladores[SD])*$AA544:$AJ544)</f>
        <v>18</v>
      </c>
      <c r="Z544" s="14">
        <f>SUM(TablaSeleccionControladores[[#This Row],[EA]:[SD]])</f>
        <v>116</v>
      </c>
      <c r="AG544" s="14">
        <v>1</v>
      </c>
      <c r="AH544" s="14">
        <v>2</v>
      </c>
      <c r="AI544" s="14">
        <v>3</v>
      </c>
      <c r="AJ544" s="14">
        <v>1</v>
      </c>
    </row>
    <row r="545" spans="17:36" x14ac:dyDescent="0.25">
      <c r="Q545">
        <f t="shared" si="10"/>
        <v>435</v>
      </c>
      <c r="R545" t="s">
        <v>828</v>
      </c>
      <c r="S545">
        <f>SUM(TablaSeleccionControladores[[#This Row],[M4-CGE04060-0]:[M4-CGM09090-0H]])</f>
        <v>2</v>
      </c>
      <c r="T545" s="14" cm="1">
        <f t="array" ref="T545">SUM(_xlfn.XLOOKUP(TablaSeleccionControladores[[#Headers],[M4-CGE04060-0]:[M4-XPM18000-0]],TablaControladores[[REFERENCIA]:[REFERENCIA]],TablaControladores[EA])*$AA545:$AJ545)</f>
        <v>0</v>
      </c>
      <c r="U545" s="14" cm="1">
        <f t="array" ref="U545">SUM(_xlfn.XLOOKUP(TablaSeleccionControladores[[#Headers],[M4-CGE04060-0]:[M4-XPM18000-0]],TablaControladores[[REFERENCIA]:[REFERENCIA]],TablaControladores[EU])*$AA545:$AJ545)</f>
        <v>56</v>
      </c>
      <c r="V545" s="14" cm="1">
        <f t="array" ref="V545">SUM(_xlfn.XLOOKUP(TablaSeleccionControladores[[#Headers],[M4-CGE04060-0]:[M4-XPM18000-0]],TablaControladores[[REFERENCIA]:[REFERENCIA]],TablaControladores[ED])*$AA545:$AJ545)</f>
        <v>16</v>
      </c>
      <c r="W545" s="14" cm="1">
        <f t="array" ref="W545">SUM(_xlfn.XLOOKUP(TablaSeleccionControladores[[#Headers],[M4-CGE04060-0]:[M4-XPM18000-0]],TablaControladores[[REFERENCIA]:[REFERENCIA]],TablaControladores[SA])*$AA545:$AJ545)</f>
        <v>16</v>
      </c>
      <c r="X545" s="14" cm="1">
        <f t="array" ref="X545">SUM(_xlfn.XLOOKUP(TablaSeleccionControladores[[#Headers],[M4-CGE04060-0]:[M4-XPM18000-0]],TablaControladores[[REFERENCIA]:[REFERENCIA]],TablaControladores[SC])*$AA545:$AJ545)</f>
        <v>32</v>
      </c>
      <c r="Y545" s="14" cm="1">
        <f t="array" ref="Y545">SUM(_xlfn.XLOOKUP(TablaSeleccionControladores[[#Headers],[M4-CGE04060-0]:[M4-XPM18000-0]],TablaControladores[[REFERENCIA]:[REFERENCIA]],TablaControladores[SD])*$AA545:$AJ545)</f>
        <v>24</v>
      </c>
      <c r="Z545" s="14">
        <f>SUM(TablaSeleccionControladores[[#This Row],[EA]:[SD]])</f>
        <v>144</v>
      </c>
      <c r="AB545" s="14">
        <v>2</v>
      </c>
      <c r="AH545" s="14">
        <v>0</v>
      </c>
      <c r="AI545" s="14">
        <v>6</v>
      </c>
      <c r="AJ545" s="14">
        <v>0</v>
      </c>
    </row>
    <row r="546" spans="17:36" x14ac:dyDescent="0.25">
      <c r="Q546">
        <f t="shared" si="10"/>
        <v>436</v>
      </c>
      <c r="R546" t="s">
        <v>828</v>
      </c>
      <c r="S546">
        <f>SUM(TablaSeleccionControladores[[#This Row],[M4-CGE04060-0]:[M4-CGM09090-0H]])</f>
        <v>2</v>
      </c>
      <c r="T546" s="14" cm="1">
        <f t="array" ref="T546">SUM(_xlfn.XLOOKUP(TablaSeleccionControladores[[#Headers],[M4-CGE04060-0]:[M4-XPM18000-0]],TablaControladores[[REFERENCIA]:[REFERENCIA]],TablaControladores[EA])*$AA546:$AJ546)</f>
        <v>0</v>
      </c>
      <c r="U546" s="14" cm="1">
        <f t="array" ref="U546">SUM(_xlfn.XLOOKUP(TablaSeleccionControladores[[#Headers],[M4-CGE04060-0]:[M4-XPM18000-0]],TablaControladores[[REFERENCIA]:[REFERENCIA]],TablaControladores[EU])*$AA546:$AJ546)</f>
        <v>63</v>
      </c>
      <c r="V546" s="14" cm="1">
        <f t="array" ref="V546">SUM(_xlfn.XLOOKUP(TablaSeleccionControladores[[#Headers],[M4-CGE04060-0]:[M4-XPM18000-0]],TablaControladores[[REFERENCIA]:[REFERENCIA]],TablaControladores[ED])*$AA546:$AJ546)</f>
        <v>18</v>
      </c>
      <c r="W546" s="14" cm="1">
        <f t="array" ref="W546">SUM(_xlfn.XLOOKUP(TablaSeleccionControladores[[#Headers],[M4-CGE04060-0]:[M4-XPM18000-0]],TablaControladores[[REFERENCIA]:[REFERENCIA]],TablaControladores[SA])*$AA546:$AJ546)</f>
        <v>18</v>
      </c>
      <c r="X546" s="14" cm="1">
        <f t="array" ref="X546">SUM(_xlfn.XLOOKUP(TablaSeleccionControladores[[#Headers],[M4-CGE04060-0]:[M4-XPM18000-0]],TablaControladores[[REFERENCIA]:[REFERENCIA]],TablaControladores[SC])*$AA546:$AJ546)</f>
        <v>36</v>
      </c>
      <c r="Y546" s="14" cm="1">
        <f t="array" ref="Y546">SUM(_xlfn.XLOOKUP(TablaSeleccionControladores[[#Headers],[M4-CGE04060-0]:[M4-XPM18000-0]],TablaControladores[[REFERENCIA]:[REFERENCIA]],TablaControladores[SD])*$AA546:$AJ546)</f>
        <v>27</v>
      </c>
      <c r="Z546" s="14">
        <f>SUM(TablaSeleccionControladores[[#This Row],[EA]:[SD]])</f>
        <v>162</v>
      </c>
      <c r="AB546" s="14">
        <v>2</v>
      </c>
      <c r="AH546" s="14">
        <v>0</v>
      </c>
      <c r="AI546" s="14">
        <v>7</v>
      </c>
      <c r="AJ546" s="14">
        <v>0</v>
      </c>
    </row>
    <row r="547" spans="17:36" x14ac:dyDescent="0.25">
      <c r="Q547">
        <f t="shared" si="10"/>
        <v>437</v>
      </c>
      <c r="R547" t="s">
        <v>828</v>
      </c>
      <c r="S547">
        <f>SUM(TablaSeleccionControladores[[#This Row],[M4-CGE04060-0]:[M4-CGM09090-0H]])</f>
        <v>2</v>
      </c>
      <c r="T547" s="14" cm="1">
        <f t="array" ref="T547">SUM(_xlfn.XLOOKUP(TablaSeleccionControladores[[#Headers],[M4-CGE04060-0]:[M4-XPM18000-0]],TablaControladores[[REFERENCIA]:[REFERENCIA]],TablaControladores[EA])*$AA547:$AJ547)</f>
        <v>0</v>
      </c>
      <c r="U547" s="14" cm="1">
        <f t="array" ref="U547">SUM(_xlfn.XLOOKUP(TablaSeleccionControladores[[#Headers],[M4-CGE04060-0]:[M4-XPM18000-0]],TablaControladores[[REFERENCIA]:[REFERENCIA]],TablaControladores[EU])*$AA547:$AJ547)</f>
        <v>70</v>
      </c>
      <c r="V547" s="14" cm="1">
        <f t="array" ref="V547">SUM(_xlfn.XLOOKUP(TablaSeleccionControladores[[#Headers],[M4-CGE04060-0]:[M4-XPM18000-0]],TablaControladores[[REFERENCIA]:[REFERENCIA]],TablaControladores[ED])*$AA547:$AJ547)</f>
        <v>20</v>
      </c>
      <c r="W547" s="14" cm="1">
        <f t="array" ref="W547">SUM(_xlfn.XLOOKUP(TablaSeleccionControladores[[#Headers],[M4-CGE04060-0]:[M4-XPM18000-0]],TablaControladores[[REFERENCIA]:[REFERENCIA]],TablaControladores[SA])*$AA547:$AJ547)</f>
        <v>20</v>
      </c>
      <c r="X547" s="14" cm="1">
        <f t="array" ref="X547">SUM(_xlfn.XLOOKUP(TablaSeleccionControladores[[#Headers],[M4-CGE04060-0]:[M4-XPM18000-0]],TablaControladores[[REFERENCIA]:[REFERENCIA]],TablaControladores[SC])*$AA547:$AJ547)</f>
        <v>40</v>
      </c>
      <c r="Y547" s="14" cm="1">
        <f t="array" ref="Y547">SUM(_xlfn.XLOOKUP(TablaSeleccionControladores[[#Headers],[M4-CGE04060-0]:[M4-XPM18000-0]],TablaControladores[[REFERENCIA]:[REFERENCIA]],TablaControladores[SD])*$AA547:$AJ547)</f>
        <v>30</v>
      </c>
      <c r="Z547" s="14">
        <f>SUM(TablaSeleccionControladores[[#This Row],[EA]:[SD]])</f>
        <v>180</v>
      </c>
      <c r="AB547" s="14">
        <v>2</v>
      </c>
      <c r="AH547" s="14">
        <v>0</v>
      </c>
      <c r="AI547" s="14">
        <v>8</v>
      </c>
      <c r="AJ547" s="14">
        <v>0</v>
      </c>
    </row>
    <row r="548" spans="17:36" x14ac:dyDescent="0.25">
      <c r="Q548">
        <f t="shared" si="10"/>
        <v>438</v>
      </c>
      <c r="R548" t="s">
        <v>828</v>
      </c>
      <c r="S548">
        <f>SUM(TablaSeleccionControladores[[#This Row],[M4-CGE04060-0]:[M4-CGM09090-0H]])</f>
        <v>2</v>
      </c>
      <c r="T548" s="14" cm="1">
        <f t="array" ref="T548">SUM(_xlfn.XLOOKUP(TablaSeleccionControladores[[#Headers],[M4-CGE04060-0]:[M4-XPM18000-0]],TablaControladores[[REFERENCIA]:[REFERENCIA]],TablaControladores[EA])*$AA548:$AJ548)</f>
        <v>0</v>
      </c>
      <c r="U548" s="14" cm="1">
        <f t="array" ref="U548">SUM(_xlfn.XLOOKUP(TablaSeleccionControladores[[#Headers],[M4-CGE04060-0]:[M4-XPM18000-0]],TablaControladores[[REFERENCIA]:[REFERENCIA]],TablaControladores[EU])*$AA548:$AJ548)</f>
        <v>77</v>
      </c>
      <c r="V548" s="14" cm="1">
        <f t="array" ref="V548">SUM(_xlfn.XLOOKUP(TablaSeleccionControladores[[#Headers],[M4-CGE04060-0]:[M4-XPM18000-0]],TablaControladores[[REFERENCIA]:[REFERENCIA]],TablaControladores[ED])*$AA548:$AJ548)</f>
        <v>22</v>
      </c>
      <c r="W548" s="14" cm="1">
        <f t="array" ref="W548">SUM(_xlfn.XLOOKUP(TablaSeleccionControladores[[#Headers],[M4-CGE04060-0]:[M4-XPM18000-0]],TablaControladores[[REFERENCIA]:[REFERENCIA]],TablaControladores[SA])*$AA548:$AJ548)</f>
        <v>22</v>
      </c>
      <c r="X548" s="14" cm="1">
        <f t="array" ref="X548">SUM(_xlfn.XLOOKUP(TablaSeleccionControladores[[#Headers],[M4-CGE04060-0]:[M4-XPM18000-0]],TablaControladores[[REFERENCIA]:[REFERENCIA]],TablaControladores[SC])*$AA548:$AJ548)</f>
        <v>44</v>
      </c>
      <c r="Y548" s="14" cm="1">
        <f t="array" ref="Y548">SUM(_xlfn.XLOOKUP(TablaSeleccionControladores[[#Headers],[M4-CGE04060-0]:[M4-XPM18000-0]],TablaControladores[[REFERENCIA]:[REFERENCIA]],TablaControladores[SD])*$AA548:$AJ548)</f>
        <v>33</v>
      </c>
      <c r="Z548" s="14">
        <f>SUM(TablaSeleccionControladores[[#This Row],[EA]:[SD]])</f>
        <v>198</v>
      </c>
      <c r="AB548" s="14">
        <v>2</v>
      </c>
      <c r="AH548" s="14">
        <v>0</v>
      </c>
      <c r="AI548" s="14">
        <v>9</v>
      </c>
      <c r="AJ548" s="14">
        <v>0</v>
      </c>
    </row>
    <row r="549" spans="17:36" x14ac:dyDescent="0.25">
      <c r="Q549">
        <f t="shared" si="10"/>
        <v>439</v>
      </c>
      <c r="R549" t="s">
        <v>828</v>
      </c>
      <c r="S549">
        <f>SUM(TablaSeleccionControladores[[#This Row],[M4-CGE04060-0]:[M4-CGM09090-0H]])</f>
        <v>2</v>
      </c>
      <c r="T549" s="14" cm="1">
        <f t="array" ref="T549">SUM(_xlfn.XLOOKUP(TablaSeleccionControladores[[#Headers],[M4-CGE04060-0]:[M4-XPM18000-0]],TablaControladores[[REFERENCIA]:[REFERENCIA]],TablaControladores[EA])*$AA549:$AJ549)</f>
        <v>0</v>
      </c>
      <c r="U549" s="14" cm="1">
        <f t="array" ref="U549">SUM(_xlfn.XLOOKUP(TablaSeleccionControladores[[#Headers],[M4-CGE04060-0]:[M4-XPM18000-0]],TablaControladores[[REFERENCIA]:[REFERENCIA]],TablaControladores[EU])*$AA549:$AJ549)</f>
        <v>84</v>
      </c>
      <c r="V549" s="14" cm="1">
        <f t="array" ref="V549">SUM(_xlfn.XLOOKUP(TablaSeleccionControladores[[#Headers],[M4-CGE04060-0]:[M4-XPM18000-0]],TablaControladores[[REFERENCIA]:[REFERENCIA]],TablaControladores[ED])*$AA549:$AJ549)</f>
        <v>24</v>
      </c>
      <c r="W549" s="14" cm="1">
        <f t="array" ref="W549">SUM(_xlfn.XLOOKUP(TablaSeleccionControladores[[#Headers],[M4-CGE04060-0]:[M4-XPM18000-0]],TablaControladores[[REFERENCIA]:[REFERENCIA]],TablaControladores[SA])*$AA549:$AJ549)</f>
        <v>24</v>
      </c>
      <c r="X549" s="14" cm="1">
        <f t="array" ref="X549">SUM(_xlfn.XLOOKUP(TablaSeleccionControladores[[#Headers],[M4-CGE04060-0]:[M4-XPM18000-0]],TablaControladores[[REFERENCIA]:[REFERENCIA]],TablaControladores[SC])*$AA549:$AJ549)</f>
        <v>48</v>
      </c>
      <c r="Y549" s="14" cm="1">
        <f t="array" ref="Y549">SUM(_xlfn.XLOOKUP(TablaSeleccionControladores[[#Headers],[M4-CGE04060-0]:[M4-XPM18000-0]],TablaControladores[[REFERENCIA]:[REFERENCIA]],TablaControladores[SD])*$AA549:$AJ549)</f>
        <v>36</v>
      </c>
      <c r="Z549" s="14">
        <f>SUM(TablaSeleccionControladores[[#This Row],[EA]:[SD]])</f>
        <v>216</v>
      </c>
      <c r="AB549" s="14">
        <v>2</v>
      </c>
      <c r="AH549" s="14">
        <v>0</v>
      </c>
      <c r="AI549" s="14">
        <v>10</v>
      </c>
      <c r="AJ549" s="14">
        <v>0</v>
      </c>
    </row>
    <row r="550" spans="17:36" x14ac:dyDescent="0.25">
      <c r="Q550">
        <f t="shared" si="10"/>
        <v>440</v>
      </c>
      <c r="R550" t="s">
        <v>828</v>
      </c>
      <c r="S550">
        <f>SUM(TablaSeleccionControladores[[#This Row],[M4-CGE04060-0]:[M4-CGM09090-0H]])</f>
        <v>2</v>
      </c>
      <c r="T550" s="14" cm="1">
        <f t="array" ref="T550">SUM(_xlfn.XLOOKUP(TablaSeleccionControladores[[#Headers],[M4-CGE04060-0]:[M4-XPM18000-0]],TablaControladores[[REFERENCIA]:[REFERENCIA]],TablaControladores[EA])*$AA550:$AJ550)</f>
        <v>0</v>
      </c>
      <c r="U550" s="14" cm="1">
        <f t="array" ref="U550">SUM(_xlfn.XLOOKUP(TablaSeleccionControladores[[#Headers],[M4-CGE04060-0]:[M4-XPM18000-0]],TablaControladores[[REFERENCIA]:[REFERENCIA]],TablaControladores[EU])*$AA550:$AJ550)</f>
        <v>91</v>
      </c>
      <c r="V550" s="14" cm="1">
        <f t="array" ref="V550">SUM(_xlfn.XLOOKUP(TablaSeleccionControladores[[#Headers],[M4-CGE04060-0]:[M4-XPM18000-0]],TablaControladores[[REFERENCIA]:[REFERENCIA]],TablaControladores[ED])*$AA550:$AJ550)</f>
        <v>26</v>
      </c>
      <c r="W550" s="14" cm="1">
        <f t="array" ref="W550">SUM(_xlfn.XLOOKUP(TablaSeleccionControladores[[#Headers],[M4-CGE04060-0]:[M4-XPM18000-0]],TablaControladores[[REFERENCIA]:[REFERENCIA]],TablaControladores[SA])*$AA550:$AJ550)</f>
        <v>26</v>
      </c>
      <c r="X550" s="14" cm="1">
        <f t="array" ref="X550">SUM(_xlfn.XLOOKUP(TablaSeleccionControladores[[#Headers],[M4-CGE04060-0]:[M4-XPM18000-0]],TablaControladores[[REFERENCIA]:[REFERENCIA]],TablaControladores[SC])*$AA550:$AJ550)</f>
        <v>52</v>
      </c>
      <c r="Y550" s="14" cm="1">
        <f t="array" ref="Y550">SUM(_xlfn.XLOOKUP(TablaSeleccionControladores[[#Headers],[M4-CGE04060-0]:[M4-XPM18000-0]],TablaControladores[[REFERENCIA]:[REFERENCIA]],TablaControladores[SD])*$AA550:$AJ550)</f>
        <v>39</v>
      </c>
      <c r="Z550" s="14">
        <f>SUM(TablaSeleccionControladores[[#This Row],[EA]:[SD]])</f>
        <v>234</v>
      </c>
      <c r="AB550" s="14">
        <v>2</v>
      </c>
      <c r="AH550" s="14">
        <v>0</v>
      </c>
      <c r="AI550" s="14">
        <v>11</v>
      </c>
      <c r="AJ550" s="14">
        <v>0</v>
      </c>
    </row>
    <row r="551" spans="17:36" x14ac:dyDescent="0.25">
      <c r="Q551">
        <f t="shared" si="10"/>
        <v>441</v>
      </c>
      <c r="R551" t="s">
        <v>828</v>
      </c>
      <c r="S551">
        <f>SUM(TablaSeleccionControladores[[#This Row],[M4-CGE04060-0]:[M4-CGM09090-0H]])</f>
        <v>2</v>
      </c>
      <c r="T551" s="14" cm="1">
        <f t="array" ref="T551">SUM(_xlfn.XLOOKUP(TablaSeleccionControladores[[#Headers],[M4-CGE04060-0]:[M4-XPM18000-0]],TablaControladores[[REFERENCIA]:[REFERENCIA]],TablaControladores[EA])*$AA551:$AJ551)</f>
        <v>0</v>
      </c>
      <c r="U551" s="14" cm="1">
        <f t="array" ref="U551">SUM(_xlfn.XLOOKUP(TablaSeleccionControladores[[#Headers],[M4-CGE04060-0]:[M4-XPM18000-0]],TablaControladores[[REFERENCIA]:[REFERENCIA]],TablaControladores[EU])*$AA551:$AJ551)</f>
        <v>98</v>
      </c>
      <c r="V551" s="14" cm="1">
        <f t="array" ref="V551">SUM(_xlfn.XLOOKUP(TablaSeleccionControladores[[#Headers],[M4-CGE04060-0]:[M4-XPM18000-0]],TablaControladores[[REFERENCIA]:[REFERENCIA]],TablaControladores[ED])*$AA551:$AJ551)</f>
        <v>28</v>
      </c>
      <c r="W551" s="14" cm="1">
        <f t="array" ref="W551">SUM(_xlfn.XLOOKUP(TablaSeleccionControladores[[#Headers],[M4-CGE04060-0]:[M4-XPM18000-0]],TablaControladores[[REFERENCIA]:[REFERENCIA]],TablaControladores[SA])*$AA551:$AJ551)</f>
        <v>28</v>
      </c>
      <c r="X551" s="14" cm="1">
        <f t="array" ref="X551">SUM(_xlfn.XLOOKUP(TablaSeleccionControladores[[#Headers],[M4-CGE04060-0]:[M4-XPM18000-0]],TablaControladores[[REFERENCIA]:[REFERENCIA]],TablaControladores[SC])*$AA551:$AJ551)</f>
        <v>56</v>
      </c>
      <c r="Y551" s="14" cm="1">
        <f t="array" ref="Y551">SUM(_xlfn.XLOOKUP(TablaSeleccionControladores[[#Headers],[M4-CGE04060-0]:[M4-XPM18000-0]],TablaControladores[[REFERENCIA]:[REFERENCIA]],TablaControladores[SD])*$AA551:$AJ551)</f>
        <v>42</v>
      </c>
      <c r="Z551" s="14">
        <f>SUM(TablaSeleccionControladores[[#This Row],[EA]:[SD]])</f>
        <v>252</v>
      </c>
      <c r="AB551" s="14">
        <v>2</v>
      </c>
      <c r="AH551" s="14">
        <v>0</v>
      </c>
      <c r="AI551" s="14">
        <v>12</v>
      </c>
      <c r="AJ551" s="14">
        <v>0</v>
      </c>
    </row>
    <row r="552" spans="17:36" x14ac:dyDescent="0.25">
      <c r="Q552">
        <f t="shared" si="10"/>
        <v>442</v>
      </c>
      <c r="R552" t="s">
        <v>831</v>
      </c>
      <c r="S552">
        <f>SUM(TablaSeleccionControladores[[#This Row],[M4-CGE04060-0]:[M4-CGM09090-0H]])</f>
        <v>2</v>
      </c>
      <c r="T552" s="14" cm="1">
        <f t="array" ref="T552">SUM(_xlfn.XLOOKUP(TablaSeleccionControladores[[#Headers],[M4-CGE04060-0]:[M4-XPM18000-0]],TablaControladores[[REFERENCIA]:[REFERENCIA]],TablaControladores[EA])*$AA552:$AJ552)</f>
        <v>0</v>
      </c>
      <c r="U552" s="14" cm="1">
        <f t="array" ref="U552">SUM(_xlfn.XLOOKUP(TablaSeleccionControladores[[#Headers],[M4-CGE04060-0]:[M4-XPM18000-0]],TablaControladores[[REFERENCIA]:[REFERENCIA]],TablaControladores[EU])*$AA552:$AJ552)</f>
        <v>56</v>
      </c>
      <c r="V552" s="14" cm="1">
        <f t="array" ref="V552">SUM(_xlfn.XLOOKUP(TablaSeleccionControladores[[#Headers],[M4-CGE04060-0]:[M4-XPM18000-0]],TablaControladores[[REFERENCIA]:[REFERENCIA]],TablaControladores[ED])*$AA552:$AJ552)</f>
        <v>16</v>
      </c>
      <c r="W552" s="14" cm="1">
        <f t="array" ref="W552">SUM(_xlfn.XLOOKUP(TablaSeleccionControladores[[#Headers],[M4-CGE04060-0]:[M4-XPM18000-0]],TablaControladores[[REFERENCIA]:[REFERENCIA]],TablaControladores[SA])*$AA552:$AJ552)</f>
        <v>16</v>
      </c>
      <c r="X552" s="14" cm="1">
        <f t="array" ref="X552">SUM(_xlfn.XLOOKUP(TablaSeleccionControladores[[#Headers],[M4-CGE04060-0]:[M4-XPM18000-0]],TablaControladores[[REFERENCIA]:[REFERENCIA]],TablaControladores[SC])*$AA552:$AJ552)</f>
        <v>32</v>
      </c>
      <c r="Y552" s="14" cm="1">
        <f t="array" ref="Y552">SUM(_xlfn.XLOOKUP(TablaSeleccionControladores[[#Headers],[M4-CGE04060-0]:[M4-XPM18000-0]],TablaControladores[[REFERENCIA]:[REFERENCIA]],TablaControladores[SD])*$AA552:$AJ552)</f>
        <v>24</v>
      </c>
      <c r="Z552" s="14">
        <f>SUM(TablaSeleccionControladores[[#This Row],[EA]:[SD]])</f>
        <v>144</v>
      </c>
      <c r="AC552" s="14">
        <v>2</v>
      </c>
      <c r="AH552" s="14">
        <v>0</v>
      </c>
      <c r="AI552" s="14">
        <v>6</v>
      </c>
      <c r="AJ552" s="14">
        <v>0</v>
      </c>
    </row>
    <row r="553" spans="17:36" x14ac:dyDescent="0.25">
      <c r="Q553">
        <f t="shared" si="10"/>
        <v>443</v>
      </c>
      <c r="R553" t="s">
        <v>831</v>
      </c>
      <c r="S553">
        <f>SUM(TablaSeleccionControladores[[#This Row],[M4-CGE04060-0]:[M4-CGM09090-0H]])</f>
        <v>2</v>
      </c>
      <c r="T553" s="14" cm="1">
        <f t="array" ref="T553">SUM(_xlfn.XLOOKUP(TablaSeleccionControladores[[#Headers],[M4-CGE04060-0]:[M4-XPM18000-0]],TablaControladores[[REFERENCIA]:[REFERENCIA]],TablaControladores[EA])*$AA553:$AJ553)</f>
        <v>0</v>
      </c>
      <c r="U553" s="14" cm="1">
        <f t="array" ref="U553">SUM(_xlfn.XLOOKUP(TablaSeleccionControladores[[#Headers],[M4-CGE04060-0]:[M4-XPM18000-0]],TablaControladores[[REFERENCIA]:[REFERENCIA]],TablaControladores[EU])*$AA553:$AJ553)</f>
        <v>63</v>
      </c>
      <c r="V553" s="14" cm="1">
        <f t="array" ref="V553">SUM(_xlfn.XLOOKUP(TablaSeleccionControladores[[#Headers],[M4-CGE04060-0]:[M4-XPM18000-0]],TablaControladores[[REFERENCIA]:[REFERENCIA]],TablaControladores[ED])*$AA553:$AJ553)</f>
        <v>18</v>
      </c>
      <c r="W553" s="14" cm="1">
        <f t="array" ref="W553">SUM(_xlfn.XLOOKUP(TablaSeleccionControladores[[#Headers],[M4-CGE04060-0]:[M4-XPM18000-0]],TablaControladores[[REFERENCIA]:[REFERENCIA]],TablaControladores[SA])*$AA553:$AJ553)</f>
        <v>18</v>
      </c>
      <c r="X553" s="14" cm="1">
        <f t="array" ref="X553">SUM(_xlfn.XLOOKUP(TablaSeleccionControladores[[#Headers],[M4-CGE04060-0]:[M4-XPM18000-0]],TablaControladores[[REFERENCIA]:[REFERENCIA]],TablaControladores[SC])*$AA553:$AJ553)</f>
        <v>36</v>
      </c>
      <c r="Y553" s="14" cm="1">
        <f t="array" ref="Y553">SUM(_xlfn.XLOOKUP(TablaSeleccionControladores[[#Headers],[M4-CGE04060-0]:[M4-XPM18000-0]],TablaControladores[[REFERENCIA]:[REFERENCIA]],TablaControladores[SD])*$AA553:$AJ553)</f>
        <v>27</v>
      </c>
      <c r="Z553" s="14">
        <f>SUM(TablaSeleccionControladores[[#This Row],[EA]:[SD]])</f>
        <v>162</v>
      </c>
      <c r="AC553" s="14">
        <v>2</v>
      </c>
      <c r="AH553" s="14">
        <v>0</v>
      </c>
      <c r="AI553" s="14">
        <v>7</v>
      </c>
      <c r="AJ553" s="14">
        <v>0</v>
      </c>
    </row>
    <row r="554" spans="17:36" x14ac:dyDescent="0.25">
      <c r="Q554">
        <f t="shared" si="10"/>
        <v>444</v>
      </c>
      <c r="R554" t="s">
        <v>831</v>
      </c>
      <c r="S554">
        <f>SUM(TablaSeleccionControladores[[#This Row],[M4-CGE04060-0]:[M4-CGM09090-0H]])</f>
        <v>2</v>
      </c>
      <c r="T554" s="14" cm="1">
        <f t="array" ref="T554">SUM(_xlfn.XLOOKUP(TablaSeleccionControladores[[#Headers],[M4-CGE04060-0]:[M4-XPM18000-0]],TablaControladores[[REFERENCIA]:[REFERENCIA]],TablaControladores[EA])*$AA554:$AJ554)</f>
        <v>0</v>
      </c>
      <c r="U554" s="14" cm="1">
        <f t="array" ref="U554">SUM(_xlfn.XLOOKUP(TablaSeleccionControladores[[#Headers],[M4-CGE04060-0]:[M4-XPM18000-0]],TablaControladores[[REFERENCIA]:[REFERENCIA]],TablaControladores[EU])*$AA554:$AJ554)</f>
        <v>70</v>
      </c>
      <c r="V554" s="14" cm="1">
        <f t="array" ref="V554">SUM(_xlfn.XLOOKUP(TablaSeleccionControladores[[#Headers],[M4-CGE04060-0]:[M4-XPM18000-0]],TablaControladores[[REFERENCIA]:[REFERENCIA]],TablaControladores[ED])*$AA554:$AJ554)</f>
        <v>20</v>
      </c>
      <c r="W554" s="14" cm="1">
        <f t="array" ref="W554">SUM(_xlfn.XLOOKUP(TablaSeleccionControladores[[#Headers],[M4-CGE04060-0]:[M4-XPM18000-0]],TablaControladores[[REFERENCIA]:[REFERENCIA]],TablaControladores[SA])*$AA554:$AJ554)</f>
        <v>20</v>
      </c>
      <c r="X554" s="14" cm="1">
        <f t="array" ref="X554">SUM(_xlfn.XLOOKUP(TablaSeleccionControladores[[#Headers],[M4-CGE04060-0]:[M4-XPM18000-0]],TablaControladores[[REFERENCIA]:[REFERENCIA]],TablaControladores[SC])*$AA554:$AJ554)</f>
        <v>40</v>
      </c>
      <c r="Y554" s="14" cm="1">
        <f t="array" ref="Y554">SUM(_xlfn.XLOOKUP(TablaSeleccionControladores[[#Headers],[M4-CGE04060-0]:[M4-XPM18000-0]],TablaControladores[[REFERENCIA]:[REFERENCIA]],TablaControladores[SD])*$AA554:$AJ554)</f>
        <v>30</v>
      </c>
      <c r="Z554" s="14">
        <f>SUM(TablaSeleccionControladores[[#This Row],[EA]:[SD]])</f>
        <v>180</v>
      </c>
      <c r="AC554" s="14">
        <v>2</v>
      </c>
      <c r="AH554" s="14">
        <v>0</v>
      </c>
      <c r="AI554" s="14">
        <v>8</v>
      </c>
      <c r="AJ554" s="14">
        <v>0</v>
      </c>
    </row>
    <row r="555" spans="17:36" x14ac:dyDescent="0.25">
      <c r="Q555">
        <f t="shared" si="10"/>
        <v>445</v>
      </c>
      <c r="R555" t="s">
        <v>831</v>
      </c>
      <c r="S555">
        <f>SUM(TablaSeleccionControladores[[#This Row],[M4-CGE04060-0]:[M4-CGM09090-0H]])</f>
        <v>2</v>
      </c>
      <c r="T555" s="14" cm="1">
        <f t="array" ref="T555">SUM(_xlfn.XLOOKUP(TablaSeleccionControladores[[#Headers],[M4-CGE04060-0]:[M4-XPM18000-0]],TablaControladores[[REFERENCIA]:[REFERENCIA]],TablaControladores[EA])*$AA555:$AJ555)</f>
        <v>0</v>
      </c>
      <c r="U555" s="14" cm="1">
        <f t="array" ref="U555">SUM(_xlfn.XLOOKUP(TablaSeleccionControladores[[#Headers],[M4-CGE04060-0]:[M4-XPM18000-0]],TablaControladores[[REFERENCIA]:[REFERENCIA]],TablaControladores[EU])*$AA555:$AJ555)</f>
        <v>77</v>
      </c>
      <c r="V555" s="14" cm="1">
        <f t="array" ref="V555">SUM(_xlfn.XLOOKUP(TablaSeleccionControladores[[#Headers],[M4-CGE04060-0]:[M4-XPM18000-0]],TablaControladores[[REFERENCIA]:[REFERENCIA]],TablaControladores[ED])*$AA555:$AJ555)</f>
        <v>22</v>
      </c>
      <c r="W555" s="14" cm="1">
        <f t="array" ref="W555">SUM(_xlfn.XLOOKUP(TablaSeleccionControladores[[#Headers],[M4-CGE04060-0]:[M4-XPM18000-0]],TablaControladores[[REFERENCIA]:[REFERENCIA]],TablaControladores[SA])*$AA555:$AJ555)</f>
        <v>22</v>
      </c>
      <c r="X555" s="14" cm="1">
        <f t="array" ref="X555">SUM(_xlfn.XLOOKUP(TablaSeleccionControladores[[#Headers],[M4-CGE04060-0]:[M4-XPM18000-0]],TablaControladores[[REFERENCIA]:[REFERENCIA]],TablaControladores[SC])*$AA555:$AJ555)</f>
        <v>44</v>
      </c>
      <c r="Y555" s="14" cm="1">
        <f t="array" ref="Y555">SUM(_xlfn.XLOOKUP(TablaSeleccionControladores[[#Headers],[M4-CGE04060-0]:[M4-XPM18000-0]],TablaControladores[[REFERENCIA]:[REFERENCIA]],TablaControladores[SD])*$AA555:$AJ555)</f>
        <v>33</v>
      </c>
      <c r="Z555" s="14">
        <f>SUM(TablaSeleccionControladores[[#This Row],[EA]:[SD]])</f>
        <v>198</v>
      </c>
      <c r="AC555" s="14">
        <v>2</v>
      </c>
      <c r="AH555" s="14">
        <v>0</v>
      </c>
      <c r="AI555" s="14">
        <v>9</v>
      </c>
      <c r="AJ555" s="14">
        <v>0</v>
      </c>
    </row>
    <row r="556" spans="17:36" x14ac:dyDescent="0.25">
      <c r="Q556">
        <f t="shared" si="10"/>
        <v>446</v>
      </c>
      <c r="R556" t="s">
        <v>831</v>
      </c>
      <c r="S556">
        <f>SUM(TablaSeleccionControladores[[#This Row],[M4-CGE04060-0]:[M4-CGM09090-0H]])</f>
        <v>2</v>
      </c>
      <c r="T556" s="14" cm="1">
        <f t="array" ref="T556">SUM(_xlfn.XLOOKUP(TablaSeleccionControladores[[#Headers],[M4-CGE04060-0]:[M4-XPM18000-0]],TablaControladores[[REFERENCIA]:[REFERENCIA]],TablaControladores[EA])*$AA556:$AJ556)</f>
        <v>0</v>
      </c>
      <c r="U556" s="14" cm="1">
        <f t="array" ref="U556">SUM(_xlfn.XLOOKUP(TablaSeleccionControladores[[#Headers],[M4-CGE04060-0]:[M4-XPM18000-0]],TablaControladores[[REFERENCIA]:[REFERENCIA]],TablaControladores[EU])*$AA556:$AJ556)</f>
        <v>84</v>
      </c>
      <c r="V556" s="14" cm="1">
        <f t="array" ref="V556">SUM(_xlfn.XLOOKUP(TablaSeleccionControladores[[#Headers],[M4-CGE04060-0]:[M4-XPM18000-0]],TablaControladores[[REFERENCIA]:[REFERENCIA]],TablaControladores[ED])*$AA556:$AJ556)</f>
        <v>24</v>
      </c>
      <c r="W556" s="14" cm="1">
        <f t="array" ref="W556">SUM(_xlfn.XLOOKUP(TablaSeleccionControladores[[#Headers],[M4-CGE04060-0]:[M4-XPM18000-0]],TablaControladores[[REFERENCIA]:[REFERENCIA]],TablaControladores[SA])*$AA556:$AJ556)</f>
        <v>24</v>
      </c>
      <c r="X556" s="14" cm="1">
        <f t="array" ref="X556">SUM(_xlfn.XLOOKUP(TablaSeleccionControladores[[#Headers],[M4-CGE04060-0]:[M4-XPM18000-0]],TablaControladores[[REFERENCIA]:[REFERENCIA]],TablaControladores[SC])*$AA556:$AJ556)</f>
        <v>48</v>
      </c>
      <c r="Y556" s="14" cm="1">
        <f t="array" ref="Y556">SUM(_xlfn.XLOOKUP(TablaSeleccionControladores[[#Headers],[M4-CGE04060-0]:[M4-XPM18000-0]],TablaControladores[[REFERENCIA]:[REFERENCIA]],TablaControladores[SD])*$AA556:$AJ556)</f>
        <v>36</v>
      </c>
      <c r="Z556" s="14">
        <f>SUM(TablaSeleccionControladores[[#This Row],[EA]:[SD]])</f>
        <v>216</v>
      </c>
      <c r="AC556" s="14">
        <v>2</v>
      </c>
      <c r="AH556" s="14">
        <v>0</v>
      </c>
      <c r="AI556" s="14">
        <v>10</v>
      </c>
      <c r="AJ556" s="14">
        <v>0</v>
      </c>
    </row>
    <row r="557" spans="17:36" x14ac:dyDescent="0.25">
      <c r="Q557">
        <f t="shared" si="10"/>
        <v>447</v>
      </c>
      <c r="R557" t="s">
        <v>831</v>
      </c>
      <c r="S557">
        <f>SUM(TablaSeleccionControladores[[#This Row],[M4-CGE04060-0]:[M4-CGM09090-0H]])</f>
        <v>2</v>
      </c>
      <c r="T557" s="14" cm="1">
        <f t="array" ref="T557">SUM(_xlfn.XLOOKUP(TablaSeleccionControladores[[#Headers],[M4-CGE04060-0]:[M4-XPM18000-0]],TablaControladores[[REFERENCIA]:[REFERENCIA]],TablaControladores[EA])*$AA557:$AJ557)</f>
        <v>0</v>
      </c>
      <c r="U557" s="14" cm="1">
        <f t="array" ref="U557">SUM(_xlfn.XLOOKUP(TablaSeleccionControladores[[#Headers],[M4-CGE04060-0]:[M4-XPM18000-0]],TablaControladores[[REFERENCIA]:[REFERENCIA]],TablaControladores[EU])*$AA557:$AJ557)</f>
        <v>91</v>
      </c>
      <c r="V557" s="14" cm="1">
        <f t="array" ref="V557">SUM(_xlfn.XLOOKUP(TablaSeleccionControladores[[#Headers],[M4-CGE04060-0]:[M4-XPM18000-0]],TablaControladores[[REFERENCIA]:[REFERENCIA]],TablaControladores[ED])*$AA557:$AJ557)</f>
        <v>26</v>
      </c>
      <c r="W557" s="14" cm="1">
        <f t="array" ref="W557">SUM(_xlfn.XLOOKUP(TablaSeleccionControladores[[#Headers],[M4-CGE04060-0]:[M4-XPM18000-0]],TablaControladores[[REFERENCIA]:[REFERENCIA]],TablaControladores[SA])*$AA557:$AJ557)</f>
        <v>26</v>
      </c>
      <c r="X557" s="14" cm="1">
        <f t="array" ref="X557">SUM(_xlfn.XLOOKUP(TablaSeleccionControladores[[#Headers],[M4-CGE04060-0]:[M4-XPM18000-0]],TablaControladores[[REFERENCIA]:[REFERENCIA]],TablaControladores[SC])*$AA557:$AJ557)</f>
        <v>52</v>
      </c>
      <c r="Y557" s="14" cm="1">
        <f t="array" ref="Y557">SUM(_xlfn.XLOOKUP(TablaSeleccionControladores[[#Headers],[M4-CGE04060-0]:[M4-XPM18000-0]],TablaControladores[[REFERENCIA]:[REFERENCIA]],TablaControladores[SD])*$AA557:$AJ557)</f>
        <v>39</v>
      </c>
      <c r="Z557" s="14">
        <f>SUM(TablaSeleccionControladores[[#This Row],[EA]:[SD]])</f>
        <v>234</v>
      </c>
      <c r="AC557" s="14">
        <v>2</v>
      </c>
      <c r="AH557" s="14">
        <v>0</v>
      </c>
      <c r="AI557" s="14">
        <v>11</v>
      </c>
      <c r="AJ557" s="14">
        <v>0</v>
      </c>
    </row>
    <row r="558" spans="17:36" x14ac:dyDescent="0.25">
      <c r="Q558">
        <f t="shared" si="10"/>
        <v>448</v>
      </c>
      <c r="R558" t="s">
        <v>831</v>
      </c>
      <c r="S558">
        <f>SUM(TablaSeleccionControladores[[#This Row],[M4-CGE04060-0]:[M4-CGM09090-0H]])</f>
        <v>2</v>
      </c>
      <c r="T558" s="14" cm="1">
        <f t="array" ref="T558">SUM(_xlfn.XLOOKUP(TablaSeleccionControladores[[#Headers],[M4-CGE04060-0]:[M4-XPM18000-0]],TablaControladores[[REFERENCIA]:[REFERENCIA]],TablaControladores[EA])*$AA558:$AJ558)</f>
        <v>0</v>
      </c>
      <c r="U558" s="14" cm="1">
        <f t="array" ref="U558">SUM(_xlfn.XLOOKUP(TablaSeleccionControladores[[#Headers],[M4-CGE04060-0]:[M4-XPM18000-0]],TablaControladores[[REFERENCIA]:[REFERENCIA]],TablaControladores[EU])*$AA558:$AJ558)</f>
        <v>98</v>
      </c>
      <c r="V558" s="14" cm="1">
        <f t="array" ref="V558">SUM(_xlfn.XLOOKUP(TablaSeleccionControladores[[#Headers],[M4-CGE04060-0]:[M4-XPM18000-0]],TablaControladores[[REFERENCIA]:[REFERENCIA]],TablaControladores[ED])*$AA558:$AJ558)</f>
        <v>28</v>
      </c>
      <c r="W558" s="14" cm="1">
        <f t="array" ref="W558">SUM(_xlfn.XLOOKUP(TablaSeleccionControladores[[#Headers],[M4-CGE04060-0]:[M4-XPM18000-0]],TablaControladores[[REFERENCIA]:[REFERENCIA]],TablaControladores[SA])*$AA558:$AJ558)</f>
        <v>28</v>
      </c>
      <c r="X558" s="14" cm="1">
        <f t="array" ref="X558">SUM(_xlfn.XLOOKUP(TablaSeleccionControladores[[#Headers],[M4-CGE04060-0]:[M4-XPM18000-0]],TablaControladores[[REFERENCIA]:[REFERENCIA]],TablaControladores[SC])*$AA558:$AJ558)</f>
        <v>56</v>
      </c>
      <c r="Y558" s="14" cm="1">
        <f t="array" ref="Y558">SUM(_xlfn.XLOOKUP(TablaSeleccionControladores[[#Headers],[M4-CGE04060-0]:[M4-XPM18000-0]],TablaControladores[[REFERENCIA]:[REFERENCIA]],TablaControladores[SD])*$AA558:$AJ558)</f>
        <v>42</v>
      </c>
      <c r="Z558" s="14">
        <f>SUM(TablaSeleccionControladores[[#This Row],[EA]:[SD]])</f>
        <v>252</v>
      </c>
      <c r="AC558" s="14">
        <v>2</v>
      </c>
      <c r="AH558" s="14">
        <v>0</v>
      </c>
      <c r="AI558" s="14">
        <v>12</v>
      </c>
      <c r="AJ558" s="14">
        <v>0</v>
      </c>
    </row>
    <row r="559" spans="17:36" x14ac:dyDescent="0.25">
      <c r="Q559">
        <f t="shared" ref="Q559:Q579" si="11">ROW()-110</f>
        <v>449</v>
      </c>
      <c r="R559" t="s">
        <v>829</v>
      </c>
      <c r="S559">
        <f>SUM(TablaSeleccionControladores[[#This Row],[M4-CGE04060-0]:[M4-CGM09090-0H]])</f>
        <v>2</v>
      </c>
      <c r="T559" s="14" cm="1">
        <f t="array" ref="T559">SUM(_xlfn.XLOOKUP(TablaSeleccionControladores[[#Headers],[M4-CGE04060-0]:[M4-XPM18000-0]],TablaControladores[[REFERENCIA]:[REFERENCIA]],TablaControladores[EA])*$AA559:$AJ559)</f>
        <v>0</v>
      </c>
      <c r="U559" s="14" cm="1">
        <f t="array" ref="U559">SUM(_xlfn.XLOOKUP(TablaSeleccionControladores[[#Headers],[M4-CGE04060-0]:[M4-XPM18000-0]],TablaControladores[[REFERENCIA]:[REFERENCIA]],TablaControladores[EU])*$AA559:$AJ559)</f>
        <v>50</v>
      </c>
      <c r="V559" s="14" cm="1">
        <f t="array" ref="V559">SUM(_xlfn.XLOOKUP(TablaSeleccionControladores[[#Headers],[M4-CGE04060-0]:[M4-XPM18000-0]],TablaControladores[[REFERENCIA]:[REFERENCIA]],TablaControladores[ED])*$AA559:$AJ559)</f>
        <v>16</v>
      </c>
      <c r="W559" s="14" cm="1">
        <f t="array" ref="W559">SUM(_xlfn.XLOOKUP(TablaSeleccionControladores[[#Headers],[M4-CGE04060-0]:[M4-XPM18000-0]],TablaControladores[[REFERENCIA]:[REFERENCIA]],TablaControladores[SA])*$AA559:$AJ559)</f>
        <v>12</v>
      </c>
      <c r="X559" s="14" cm="1">
        <f t="array" ref="X559">SUM(_xlfn.XLOOKUP(TablaSeleccionControladores[[#Headers],[M4-CGE04060-0]:[M4-XPM18000-0]],TablaControladores[[REFERENCIA]:[REFERENCIA]],TablaControladores[SC])*$AA559:$AJ559)</f>
        <v>30</v>
      </c>
      <c r="Y559" s="14" cm="1">
        <f t="array" ref="Y559">SUM(_xlfn.XLOOKUP(TablaSeleccionControladores[[#Headers],[M4-CGE04060-0]:[M4-XPM18000-0]],TablaControladores[[REFERENCIA]:[REFERENCIA]],TablaControladores[SD])*$AA559:$AJ559)</f>
        <v>30</v>
      </c>
      <c r="Z559" s="14">
        <f>SUM(TablaSeleccionControladores[[#This Row],[EA]:[SD]])</f>
        <v>138</v>
      </c>
      <c r="AD559" s="14">
        <v>2</v>
      </c>
      <c r="AH559" s="14">
        <v>0</v>
      </c>
      <c r="AI559" s="14">
        <v>6</v>
      </c>
      <c r="AJ559" s="14">
        <v>0</v>
      </c>
    </row>
    <row r="560" spans="17:36" x14ac:dyDescent="0.25">
      <c r="Q560">
        <f t="shared" si="11"/>
        <v>450</v>
      </c>
      <c r="R560" t="s">
        <v>829</v>
      </c>
      <c r="S560">
        <f>SUM(TablaSeleccionControladores[[#This Row],[M4-CGE04060-0]:[M4-CGM09090-0H]])</f>
        <v>2</v>
      </c>
      <c r="T560" s="14" cm="1">
        <f t="array" ref="T560">SUM(_xlfn.XLOOKUP(TablaSeleccionControladores[[#Headers],[M4-CGE04060-0]:[M4-XPM18000-0]],TablaControladores[[REFERENCIA]:[REFERENCIA]],TablaControladores[EA])*$AA560:$AJ560)</f>
        <v>0</v>
      </c>
      <c r="U560" s="14" cm="1">
        <f t="array" ref="U560">SUM(_xlfn.XLOOKUP(TablaSeleccionControladores[[#Headers],[M4-CGE04060-0]:[M4-XPM18000-0]],TablaControladores[[REFERENCIA]:[REFERENCIA]],TablaControladores[EU])*$AA560:$AJ560)</f>
        <v>57</v>
      </c>
      <c r="V560" s="14" cm="1">
        <f t="array" ref="V560">SUM(_xlfn.XLOOKUP(TablaSeleccionControladores[[#Headers],[M4-CGE04060-0]:[M4-XPM18000-0]],TablaControladores[[REFERENCIA]:[REFERENCIA]],TablaControladores[ED])*$AA560:$AJ560)</f>
        <v>18</v>
      </c>
      <c r="W560" s="14" cm="1">
        <f t="array" ref="W560">SUM(_xlfn.XLOOKUP(TablaSeleccionControladores[[#Headers],[M4-CGE04060-0]:[M4-XPM18000-0]],TablaControladores[[REFERENCIA]:[REFERENCIA]],TablaControladores[SA])*$AA560:$AJ560)</f>
        <v>14</v>
      </c>
      <c r="X560" s="14" cm="1">
        <f t="array" ref="X560">SUM(_xlfn.XLOOKUP(TablaSeleccionControladores[[#Headers],[M4-CGE04060-0]:[M4-XPM18000-0]],TablaControladores[[REFERENCIA]:[REFERENCIA]],TablaControladores[SC])*$AA560:$AJ560)</f>
        <v>34</v>
      </c>
      <c r="Y560" s="14" cm="1">
        <f t="array" ref="Y560">SUM(_xlfn.XLOOKUP(TablaSeleccionControladores[[#Headers],[M4-CGE04060-0]:[M4-XPM18000-0]],TablaControladores[[REFERENCIA]:[REFERENCIA]],TablaControladores[SD])*$AA560:$AJ560)</f>
        <v>33</v>
      </c>
      <c r="Z560" s="14">
        <f>SUM(TablaSeleccionControladores[[#This Row],[EA]:[SD]])</f>
        <v>156</v>
      </c>
      <c r="AD560" s="14">
        <v>2</v>
      </c>
      <c r="AH560" s="14">
        <v>0</v>
      </c>
      <c r="AI560" s="14">
        <v>7</v>
      </c>
      <c r="AJ560" s="14">
        <v>0</v>
      </c>
    </row>
    <row r="561" spans="17:36" x14ac:dyDescent="0.25">
      <c r="Q561">
        <f t="shared" si="11"/>
        <v>451</v>
      </c>
      <c r="R561" t="s">
        <v>829</v>
      </c>
      <c r="S561">
        <f>SUM(TablaSeleccionControladores[[#This Row],[M4-CGE04060-0]:[M4-CGM09090-0H]])</f>
        <v>2</v>
      </c>
      <c r="T561" s="14" cm="1">
        <f t="array" ref="T561">SUM(_xlfn.XLOOKUP(TablaSeleccionControladores[[#Headers],[M4-CGE04060-0]:[M4-XPM18000-0]],TablaControladores[[REFERENCIA]:[REFERENCIA]],TablaControladores[EA])*$AA561:$AJ561)</f>
        <v>0</v>
      </c>
      <c r="U561" s="14" cm="1">
        <f t="array" ref="U561">SUM(_xlfn.XLOOKUP(TablaSeleccionControladores[[#Headers],[M4-CGE04060-0]:[M4-XPM18000-0]],TablaControladores[[REFERENCIA]:[REFERENCIA]],TablaControladores[EU])*$AA561:$AJ561)</f>
        <v>64</v>
      </c>
      <c r="V561" s="14" cm="1">
        <f t="array" ref="V561">SUM(_xlfn.XLOOKUP(TablaSeleccionControladores[[#Headers],[M4-CGE04060-0]:[M4-XPM18000-0]],TablaControladores[[REFERENCIA]:[REFERENCIA]],TablaControladores[ED])*$AA561:$AJ561)</f>
        <v>20</v>
      </c>
      <c r="W561" s="14" cm="1">
        <f t="array" ref="W561">SUM(_xlfn.XLOOKUP(TablaSeleccionControladores[[#Headers],[M4-CGE04060-0]:[M4-XPM18000-0]],TablaControladores[[REFERENCIA]:[REFERENCIA]],TablaControladores[SA])*$AA561:$AJ561)</f>
        <v>16</v>
      </c>
      <c r="X561" s="14" cm="1">
        <f t="array" ref="X561">SUM(_xlfn.XLOOKUP(TablaSeleccionControladores[[#Headers],[M4-CGE04060-0]:[M4-XPM18000-0]],TablaControladores[[REFERENCIA]:[REFERENCIA]],TablaControladores[SC])*$AA561:$AJ561)</f>
        <v>38</v>
      </c>
      <c r="Y561" s="14" cm="1">
        <f t="array" ref="Y561">SUM(_xlfn.XLOOKUP(TablaSeleccionControladores[[#Headers],[M4-CGE04060-0]:[M4-XPM18000-0]],TablaControladores[[REFERENCIA]:[REFERENCIA]],TablaControladores[SD])*$AA561:$AJ561)</f>
        <v>36</v>
      </c>
      <c r="Z561" s="14">
        <f>SUM(TablaSeleccionControladores[[#This Row],[EA]:[SD]])</f>
        <v>174</v>
      </c>
      <c r="AD561" s="14">
        <v>2</v>
      </c>
      <c r="AH561" s="14">
        <v>0</v>
      </c>
      <c r="AI561" s="14">
        <v>8</v>
      </c>
      <c r="AJ561" s="14">
        <v>0</v>
      </c>
    </row>
    <row r="562" spans="17:36" x14ac:dyDescent="0.25">
      <c r="Q562">
        <f t="shared" si="11"/>
        <v>452</v>
      </c>
      <c r="R562" t="s">
        <v>829</v>
      </c>
      <c r="S562">
        <f>SUM(TablaSeleccionControladores[[#This Row],[M4-CGE04060-0]:[M4-CGM09090-0H]])</f>
        <v>2</v>
      </c>
      <c r="T562" s="14" cm="1">
        <f t="array" ref="T562">SUM(_xlfn.XLOOKUP(TablaSeleccionControladores[[#Headers],[M4-CGE04060-0]:[M4-XPM18000-0]],TablaControladores[[REFERENCIA]:[REFERENCIA]],TablaControladores[EA])*$AA562:$AJ562)</f>
        <v>0</v>
      </c>
      <c r="U562" s="14" cm="1">
        <f t="array" ref="U562">SUM(_xlfn.XLOOKUP(TablaSeleccionControladores[[#Headers],[M4-CGE04060-0]:[M4-XPM18000-0]],TablaControladores[[REFERENCIA]:[REFERENCIA]],TablaControladores[EU])*$AA562:$AJ562)</f>
        <v>71</v>
      </c>
      <c r="V562" s="14" cm="1">
        <f t="array" ref="V562">SUM(_xlfn.XLOOKUP(TablaSeleccionControladores[[#Headers],[M4-CGE04060-0]:[M4-XPM18000-0]],TablaControladores[[REFERENCIA]:[REFERENCIA]],TablaControladores[ED])*$AA562:$AJ562)</f>
        <v>22</v>
      </c>
      <c r="W562" s="14" cm="1">
        <f t="array" ref="W562">SUM(_xlfn.XLOOKUP(TablaSeleccionControladores[[#Headers],[M4-CGE04060-0]:[M4-XPM18000-0]],TablaControladores[[REFERENCIA]:[REFERENCIA]],TablaControladores[SA])*$AA562:$AJ562)</f>
        <v>18</v>
      </c>
      <c r="X562" s="14" cm="1">
        <f t="array" ref="X562">SUM(_xlfn.XLOOKUP(TablaSeleccionControladores[[#Headers],[M4-CGE04060-0]:[M4-XPM18000-0]],TablaControladores[[REFERENCIA]:[REFERENCIA]],TablaControladores[SC])*$AA562:$AJ562)</f>
        <v>42</v>
      </c>
      <c r="Y562" s="14" cm="1">
        <f t="array" ref="Y562">SUM(_xlfn.XLOOKUP(TablaSeleccionControladores[[#Headers],[M4-CGE04060-0]:[M4-XPM18000-0]],TablaControladores[[REFERENCIA]:[REFERENCIA]],TablaControladores[SD])*$AA562:$AJ562)</f>
        <v>39</v>
      </c>
      <c r="Z562" s="14">
        <f>SUM(TablaSeleccionControladores[[#This Row],[EA]:[SD]])</f>
        <v>192</v>
      </c>
      <c r="AD562" s="14">
        <v>2</v>
      </c>
      <c r="AH562" s="14">
        <v>0</v>
      </c>
      <c r="AI562" s="14">
        <v>9</v>
      </c>
      <c r="AJ562" s="14">
        <v>0</v>
      </c>
    </row>
    <row r="563" spans="17:36" x14ac:dyDescent="0.25">
      <c r="Q563">
        <f t="shared" si="11"/>
        <v>453</v>
      </c>
      <c r="R563" t="s">
        <v>829</v>
      </c>
      <c r="S563">
        <f>SUM(TablaSeleccionControladores[[#This Row],[M4-CGE04060-0]:[M4-CGM09090-0H]])</f>
        <v>2</v>
      </c>
      <c r="T563" s="14" cm="1">
        <f t="array" ref="T563">SUM(_xlfn.XLOOKUP(TablaSeleccionControladores[[#Headers],[M4-CGE04060-0]:[M4-XPM18000-0]],TablaControladores[[REFERENCIA]:[REFERENCIA]],TablaControladores[EA])*$AA563:$AJ563)</f>
        <v>0</v>
      </c>
      <c r="U563" s="14" cm="1">
        <f t="array" ref="U563">SUM(_xlfn.XLOOKUP(TablaSeleccionControladores[[#Headers],[M4-CGE04060-0]:[M4-XPM18000-0]],TablaControladores[[REFERENCIA]:[REFERENCIA]],TablaControladores[EU])*$AA563:$AJ563)</f>
        <v>78</v>
      </c>
      <c r="V563" s="14" cm="1">
        <f t="array" ref="V563">SUM(_xlfn.XLOOKUP(TablaSeleccionControladores[[#Headers],[M4-CGE04060-0]:[M4-XPM18000-0]],TablaControladores[[REFERENCIA]:[REFERENCIA]],TablaControladores[ED])*$AA563:$AJ563)</f>
        <v>24</v>
      </c>
      <c r="W563" s="14" cm="1">
        <f t="array" ref="W563">SUM(_xlfn.XLOOKUP(TablaSeleccionControladores[[#Headers],[M4-CGE04060-0]:[M4-XPM18000-0]],TablaControladores[[REFERENCIA]:[REFERENCIA]],TablaControladores[SA])*$AA563:$AJ563)</f>
        <v>20</v>
      </c>
      <c r="X563" s="14" cm="1">
        <f t="array" ref="X563">SUM(_xlfn.XLOOKUP(TablaSeleccionControladores[[#Headers],[M4-CGE04060-0]:[M4-XPM18000-0]],TablaControladores[[REFERENCIA]:[REFERENCIA]],TablaControladores[SC])*$AA563:$AJ563)</f>
        <v>46</v>
      </c>
      <c r="Y563" s="14" cm="1">
        <f t="array" ref="Y563">SUM(_xlfn.XLOOKUP(TablaSeleccionControladores[[#Headers],[M4-CGE04060-0]:[M4-XPM18000-0]],TablaControladores[[REFERENCIA]:[REFERENCIA]],TablaControladores[SD])*$AA563:$AJ563)</f>
        <v>42</v>
      </c>
      <c r="Z563" s="14">
        <f>SUM(TablaSeleccionControladores[[#This Row],[EA]:[SD]])</f>
        <v>210</v>
      </c>
      <c r="AD563" s="14">
        <v>2</v>
      </c>
      <c r="AH563" s="14">
        <v>0</v>
      </c>
      <c r="AI563" s="14">
        <v>10</v>
      </c>
      <c r="AJ563" s="14">
        <v>0</v>
      </c>
    </row>
    <row r="564" spans="17:36" x14ac:dyDescent="0.25">
      <c r="Q564">
        <f t="shared" si="11"/>
        <v>454</v>
      </c>
      <c r="R564" t="s">
        <v>829</v>
      </c>
      <c r="S564">
        <f>SUM(TablaSeleccionControladores[[#This Row],[M4-CGE04060-0]:[M4-CGM09090-0H]])</f>
        <v>2</v>
      </c>
      <c r="T564" s="14" cm="1">
        <f t="array" ref="T564">SUM(_xlfn.XLOOKUP(TablaSeleccionControladores[[#Headers],[M4-CGE04060-0]:[M4-XPM18000-0]],TablaControladores[[REFERENCIA]:[REFERENCIA]],TablaControladores[EA])*$AA564:$AJ564)</f>
        <v>0</v>
      </c>
      <c r="U564" s="14" cm="1">
        <f t="array" ref="U564">SUM(_xlfn.XLOOKUP(TablaSeleccionControladores[[#Headers],[M4-CGE04060-0]:[M4-XPM18000-0]],TablaControladores[[REFERENCIA]:[REFERENCIA]],TablaControladores[EU])*$AA564:$AJ564)</f>
        <v>85</v>
      </c>
      <c r="V564" s="14" cm="1">
        <f t="array" ref="V564">SUM(_xlfn.XLOOKUP(TablaSeleccionControladores[[#Headers],[M4-CGE04060-0]:[M4-XPM18000-0]],TablaControladores[[REFERENCIA]:[REFERENCIA]],TablaControladores[ED])*$AA564:$AJ564)</f>
        <v>26</v>
      </c>
      <c r="W564" s="14" cm="1">
        <f t="array" ref="W564">SUM(_xlfn.XLOOKUP(TablaSeleccionControladores[[#Headers],[M4-CGE04060-0]:[M4-XPM18000-0]],TablaControladores[[REFERENCIA]:[REFERENCIA]],TablaControladores[SA])*$AA564:$AJ564)</f>
        <v>22</v>
      </c>
      <c r="X564" s="14" cm="1">
        <f t="array" ref="X564">SUM(_xlfn.XLOOKUP(TablaSeleccionControladores[[#Headers],[M4-CGE04060-0]:[M4-XPM18000-0]],TablaControladores[[REFERENCIA]:[REFERENCIA]],TablaControladores[SC])*$AA564:$AJ564)</f>
        <v>50</v>
      </c>
      <c r="Y564" s="14" cm="1">
        <f t="array" ref="Y564">SUM(_xlfn.XLOOKUP(TablaSeleccionControladores[[#Headers],[M4-CGE04060-0]:[M4-XPM18000-0]],TablaControladores[[REFERENCIA]:[REFERENCIA]],TablaControladores[SD])*$AA564:$AJ564)</f>
        <v>45</v>
      </c>
      <c r="Z564" s="14">
        <f>SUM(TablaSeleccionControladores[[#This Row],[EA]:[SD]])</f>
        <v>228</v>
      </c>
      <c r="AD564" s="14">
        <v>2</v>
      </c>
      <c r="AH564" s="14">
        <v>0</v>
      </c>
      <c r="AI564" s="14">
        <v>11</v>
      </c>
      <c r="AJ564" s="14">
        <v>0</v>
      </c>
    </row>
    <row r="565" spans="17:36" x14ac:dyDescent="0.25">
      <c r="Q565">
        <f t="shared" si="11"/>
        <v>455</v>
      </c>
      <c r="R565" t="s">
        <v>829</v>
      </c>
      <c r="S565">
        <f>SUM(TablaSeleccionControladores[[#This Row],[M4-CGE04060-0]:[M4-CGM09090-0H]])</f>
        <v>2</v>
      </c>
      <c r="T565" s="14" cm="1">
        <f t="array" ref="T565">SUM(_xlfn.XLOOKUP(TablaSeleccionControladores[[#Headers],[M4-CGE04060-0]:[M4-XPM18000-0]],TablaControladores[[REFERENCIA]:[REFERENCIA]],TablaControladores[EA])*$AA565:$AJ565)</f>
        <v>0</v>
      </c>
      <c r="U565" s="14" cm="1">
        <f t="array" ref="U565">SUM(_xlfn.XLOOKUP(TablaSeleccionControladores[[#Headers],[M4-CGE04060-0]:[M4-XPM18000-0]],TablaControladores[[REFERENCIA]:[REFERENCIA]],TablaControladores[EU])*$AA565:$AJ565)</f>
        <v>92</v>
      </c>
      <c r="V565" s="14" cm="1">
        <f t="array" ref="V565">SUM(_xlfn.XLOOKUP(TablaSeleccionControladores[[#Headers],[M4-CGE04060-0]:[M4-XPM18000-0]],TablaControladores[[REFERENCIA]:[REFERENCIA]],TablaControladores[ED])*$AA565:$AJ565)</f>
        <v>28</v>
      </c>
      <c r="W565" s="14" cm="1">
        <f t="array" ref="W565">SUM(_xlfn.XLOOKUP(TablaSeleccionControladores[[#Headers],[M4-CGE04060-0]:[M4-XPM18000-0]],TablaControladores[[REFERENCIA]:[REFERENCIA]],TablaControladores[SA])*$AA565:$AJ565)</f>
        <v>24</v>
      </c>
      <c r="X565" s="14" cm="1">
        <f t="array" ref="X565">SUM(_xlfn.XLOOKUP(TablaSeleccionControladores[[#Headers],[M4-CGE04060-0]:[M4-XPM18000-0]],TablaControladores[[REFERENCIA]:[REFERENCIA]],TablaControladores[SC])*$AA565:$AJ565)</f>
        <v>54</v>
      </c>
      <c r="Y565" s="14" cm="1">
        <f t="array" ref="Y565">SUM(_xlfn.XLOOKUP(TablaSeleccionControladores[[#Headers],[M4-CGE04060-0]:[M4-XPM18000-0]],TablaControladores[[REFERENCIA]:[REFERENCIA]],TablaControladores[SD])*$AA565:$AJ565)</f>
        <v>48</v>
      </c>
      <c r="Z565" s="14">
        <f>SUM(TablaSeleccionControladores[[#This Row],[EA]:[SD]])</f>
        <v>246</v>
      </c>
      <c r="AD565" s="14">
        <v>2</v>
      </c>
      <c r="AH565" s="14">
        <v>0</v>
      </c>
      <c r="AI565" s="14">
        <v>12</v>
      </c>
      <c r="AJ565" s="14">
        <v>0</v>
      </c>
    </row>
    <row r="566" spans="17:36" x14ac:dyDescent="0.25">
      <c r="Q566">
        <f t="shared" si="11"/>
        <v>456</v>
      </c>
      <c r="R566" t="s">
        <v>830</v>
      </c>
      <c r="S566">
        <f>SUM(TablaSeleccionControladores[[#This Row],[M4-CGE04060-0]:[M4-CGM09090-0H]])</f>
        <v>2</v>
      </c>
      <c r="T566" s="14" cm="1">
        <f t="array" ref="T566">SUM(_xlfn.XLOOKUP(TablaSeleccionControladores[[#Headers],[M4-CGE04060-0]:[M4-XPM18000-0]],TablaControladores[[REFERENCIA]:[REFERENCIA]],TablaControladores[EA])*$AA566:$AJ566)</f>
        <v>0</v>
      </c>
      <c r="U566" s="14" cm="1">
        <f t="array" ref="U566">SUM(_xlfn.XLOOKUP(TablaSeleccionControladores[[#Headers],[M4-CGE04060-0]:[M4-XPM18000-0]],TablaControladores[[REFERENCIA]:[REFERENCIA]],TablaControladores[EU])*$AA566:$AJ566)</f>
        <v>56</v>
      </c>
      <c r="V566" s="14" cm="1">
        <f t="array" ref="V566">SUM(_xlfn.XLOOKUP(TablaSeleccionControladores[[#Headers],[M4-CGE04060-0]:[M4-XPM18000-0]],TablaControladores[[REFERENCIA]:[REFERENCIA]],TablaControladores[ED])*$AA566:$AJ566)</f>
        <v>16</v>
      </c>
      <c r="W566" s="14" cm="1">
        <f t="array" ref="W566">SUM(_xlfn.XLOOKUP(TablaSeleccionControladores[[#Headers],[M4-CGE04060-0]:[M4-XPM18000-0]],TablaControladores[[REFERENCIA]:[REFERENCIA]],TablaControladores[SA])*$AA566:$AJ566)</f>
        <v>16</v>
      </c>
      <c r="X566" s="14" cm="1">
        <f t="array" ref="X566">SUM(_xlfn.XLOOKUP(TablaSeleccionControladores[[#Headers],[M4-CGE04060-0]:[M4-XPM18000-0]],TablaControladores[[REFERENCIA]:[REFERENCIA]],TablaControladores[SC])*$AA566:$AJ566)</f>
        <v>32</v>
      </c>
      <c r="Y566" s="14" cm="1">
        <f t="array" ref="Y566">SUM(_xlfn.XLOOKUP(TablaSeleccionControladores[[#Headers],[M4-CGE04060-0]:[M4-XPM18000-0]],TablaControladores[[REFERENCIA]:[REFERENCIA]],TablaControladores[SD])*$AA566:$AJ566)</f>
        <v>24</v>
      </c>
      <c r="Z566" s="14">
        <f>SUM(TablaSeleccionControladores[[#This Row],[EA]:[SD]])</f>
        <v>144</v>
      </c>
      <c r="AF566" s="14">
        <v>2</v>
      </c>
      <c r="AH566" s="14">
        <v>0</v>
      </c>
      <c r="AI566" s="14">
        <v>6</v>
      </c>
      <c r="AJ566" s="14">
        <v>0</v>
      </c>
    </row>
    <row r="567" spans="17:36" x14ac:dyDescent="0.25">
      <c r="Q567">
        <f t="shared" si="11"/>
        <v>457</v>
      </c>
      <c r="R567" t="s">
        <v>830</v>
      </c>
      <c r="S567">
        <f>SUM(TablaSeleccionControladores[[#This Row],[M4-CGE04060-0]:[M4-CGM09090-0H]])</f>
        <v>2</v>
      </c>
      <c r="T567" s="14" cm="1">
        <f t="array" ref="T567">SUM(_xlfn.XLOOKUP(TablaSeleccionControladores[[#Headers],[M4-CGE04060-0]:[M4-XPM18000-0]],TablaControladores[[REFERENCIA]:[REFERENCIA]],TablaControladores[EA])*$AA567:$AJ567)</f>
        <v>0</v>
      </c>
      <c r="U567" s="14" cm="1">
        <f t="array" ref="U567">SUM(_xlfn.XLOOKUP(TablaSeleccionControladores[[#Headers],[M4-CGE04060-0]:[M4-XPM18000-0]],TablaControladores[[REFERENCIA]:[REFERENCIA]],TablaControladores[EU])*$AA567:$AJ567)</f>
        <v>63</v>
      </c>
      <c r="V567" s="14" cm="1">
        <f t="array" ref="V567">SUM(_xlfn.XLOOKUP(TablaSeleccionControladores[[#Headers],[M4-CGE04060-0]:[M4-XPM18000-0]],TablaControladores[[REFERENCIA]:[REFERENCIA]],TablaControladores[ED])*$AA567:$AJ567)</f>
        <v>18</v>
      </c>
      <c r="W567" s="14" cm="1">
        <f t="array" ref="W567">SUM(_xlfn.XLOOKUP(TablaSeleccionControladores[[#Headers],[M4-CGE04060-0]:[M4-XPM18000-0]],TablaControladores[[REFERENCIA]:[REFERENCIA]],TablaControladores[SA])*$AA567:$AJ567)</f>
        <v>18</v>
      </c>
      <c r="X567" s="14" cm="1">
        <f t="array" ref="X567">SUM(_xlfn.XLOOKUP(TablaSeleccionControladores[[#Headers],[M4-CGE04060-0]:[M4-XPM18000-0]],TablaControladores[[REFERENCIA]:[REFERENCIA]],TablaControladores[SC])*$AA567:$AJ567)</f>
        <v>36</v>
      </c>
      <c r="Y567" s="14" cm="1">
        <f t="array" ref="Y567">SUM(_xlfn.XLOOKUP(TablaSeleccionControladores[[#Headers],[M4-CGE04060-0]:[M4-XPM18000-0]],TablaControladores[[REFERENCIA]:[REFERENCIA]],TablaControladores[SD])*$AA567:$AJ567)</f>
        <v>27</v>
      </c>
      <c r="Z567" s="14">
        <f>SUM(TablaSeleccionControladores[[#This Row],[EA]:[SD]])</f>
        <v>162</v>
      </c>
      <c r="AF567" s="14">
        <v>2</v>
      </c>
      <c r="AH567" s="14">
        <v>0</v>
      </c>
      <c r="AI567" s="14">
        <v>7</v>
      </c>
      <c r="AJ567" s="14">
        <v>0</v>
      </c>
    </row>
    <row r="568" spans="17:36" x14ac:dyDescent="0.25">
      <c r="Q568">
        <f t="shared" si="11"/>
        <v>458</v>
      </c>
      <c r="R568" t="s">
        <v>830</v>
      </c>
      <c r="S568">
        <f>SUM(TablaSeleccionControladores[[#This Row],[M4-CGE04060-0]:[M4-CGM09090-0H]])</f>
        <v>2</v>
      </c>
      <c r="T568" s="14" cm="1">
        <f t="array" ref="T568">SUM(_xlfn.XLOOKUP(TablaSeleccionControladores[[#Headers],[M4-CGE04060-0]:[M4-XPM18000-0]],TablaControladores[[REFERENCIA]:[REFERENCIA]],TablaControladores[EA])*$AA568:$AJ568)</f>
        <v>0</v>
      </c>
      <c r="U568" s="14" cm="1">
        <f t="array" ref="U568">SUM(_xlfn.XLOOKUP(TablaSeleccionControladores[[#Headers],[M4-CGE04060-0]:[M4-XPM18000-0]],TablaControladores[[REFERENCIA]:[REFERENCIA]],TablaControladores[EU])*$AA568:$AJ568)</f>
        <v>70</v>
      </c>
      <c r="V568" s="14" cm="1">
        <f t="array" ref="V568">SUM(_xlfn.XLOOKUP(TablaSeleccionControladores[[#Headers],[M4-CGE04060-0]:[M4-XPM18000-0]],TablaControladores[[REFERENCIA]:[REFERENCIA]],TablaControladores[ED])*$AA568:$AJ568)</f>
        <v>20</v>
      </c>
      <c r="W568" s="14" cm="1">
        <f t="array" ref="W568">SUM(_xlfn.XLOOKUP(TablaSeleccionControladores[[#Headers],[M4-CGE04060-0]:[M4-XPM18000-0]],TablaControladores[[REFERENCIA]:[REFERENCIA]],TablaControladores[SA])*$AA568:$AJ568)</f>
        <v>20</v>
      </c>
      <c r="X568" s="14" cm="1">
        <f t="array" ref="X568">SUM(_xlfn.XLOOKUP(TablaSeleccionControladores[[#Headers],[M4-CGE04060-0]:[M4-XPM18000-0]],TablaControladores[[REFERENCIA]:[REFERENCIA]],TablaControladores[SC])*$AA568:$AJ568)</f>
        <v>40</v>
      </c>
      <c r="Y568" s="14" cm="1">
        <f t="array" ref="Y568">SUM(_xlfn.XLOOKUP(TablaSeleccionControladores[[#Headers],[M4-CGE04060-0]:[M4-XPM18000-0]],TablaControladores[[REFERENCIA]:[REFERENCIA]],TablaControladores[SD])*$AA568:$AJ568)</f>
        <v>30</v>
      </c>
      <c r="Z568" s="14">
        <f>SUM(TablaSeleccionControladores[[#This Row],[EA]:[SD]])</f>
        <v>180</v>
      </c>
      <c r="AF568" s="14">
        <v>2</v>
      </c>
      <c r="AH568" s="14">
        <v>0</v>
      </c>
      <c r="AI568" s="14">
        <v>8</v>
      </c>
      <c r="AJ568" s="14">
        <v>0</v>
      </c>
    </row>
    <row r="569" spans="17:36" x14ac:dyDescent="0.25">
      <c r="Q569">
        <f t="shared" si="11"/>
        <v>459</v>
      </c>
      <c r="R569" t="s">
        <v>830</v>
      </c>
      <c r="S569">
        <f>SUM(TablaSeleccionControladores[[#This Row],[M4-CGE04060-0]:[M4-CGM09090-0H]])</f>
        <v>2</v>
      </c>
      <c r="T569" s="14" cm="1">
        <f t="array" ref="T569">SUM(_xlfn.XLOOKUP(TablaSeleccionControladores[[#Headers],[M4-CGE04060-0]:[M4-XPM18000-0]],TablaControladores[[REFERENCIA]:[REFERENCIA]],TablaControladores[EA])*$AA569:$AJ569)</f>
        <v>0</v>
      </c>
      <c r="U569" s="14" cm="1">
        <f t="array" ref="U569">SUM(_xlfn.XLOOKUP(TablaSeleccionControladores[[#Headers],[M4-CGE04060-0]:[M4-XPM18000-0]],TablaControladores[[REFERENCIA]:[REFERENCIA]],TablaControladores[EU])*$AA569:$AJ569)</f>
        <v>77</v>
      </c>
      <c r="V569" s="14" cm="1">
        <f t="array" ref="V569">SUM(_xlfn.XLOOKUP(TablaSeleccionControladores[[#Headers],[M4-CGE04060-0]:[M4-XPM18000-0]],TablaControladores[[REFERENCIA]:[REFERENCIA]],TablaControladores[ED])*$AA569:$AJ569)</f>
        <v>22</v>
      </c>
      <c r="W569" s="14" cm="1">
        <f t="array" ref="W569">SUM(_xlfn.XLOOKUP(TablaSeleccionControladores[[#Headers],[M4-CGE04060-0]:[M4-XPM18000-0]],TablaControladores[[REFERENCIA]:[REFERENCIA]],TablaControladores[SA])*$AA569:$AJ569)</f>
        <v>22</v>
      </c>
      <c r="X569" s="14" cm="1">
        <f t="array" ref="X569">SUM(_xlfn.XLOOKUP(TablaSeleccionControladores[[#Headers],[M4-CGE04060-0]:[M4-XPM18000-0]],TablaControladores[[REFERENCIA]:[REFERENCIA]],TablaControladores[SC])*$AA569:$AJ569)</f>
        <v>44</v>
      </c>
      <c r="Y569" s="14" cm="1">
        <f t="array" ref="Y569">SUM(_xlfn.XLOOKUP(TablaSeleccionControladores[[#Headers],[M4-CGE04060-0]:[M4-XPM18000-0]],TablaControladores[[REFERENCIA]:[REFERENCIA]],TablaControladores[SD])*$AA569:$AJ569)</f>
        <v>33</v>
      </c>
      <c r="Z569" s="14">
        <f>SUM(TablaSeleccionControladores[[#This Row],[EA]:[SD]])</f>
        <v>198</v>
      </c>
      <c r="AF569" s="14">
        <v>2</v>
      </c>
      <c r="AH569" s="14">
        <v>0</v>
      </c>
      <c r="AI569" s="14">
        <v>9</v>
      </c>
      <c r="AJ569" s="14">
        <v>0</v>
      </c>
    </row>
    <row r="570" spans="17:36" x14ac:dyDescent="0.25">
      <c r="Q570">
        <f t="shared" si="11"/>
        <v>460</v>
      </c>
      <c r="R570" t="s">
        <v>830</v>
      </c>
      <c r="S570">
        <f>SUM(TablaSeleccionControladores[[#This Row],[M4-CGE04060-0]:[M4-CGM09090-0H]])</f>
        <v>2</v>
      </c>
      <c r="T570" s="14" cm="1">
        <f t="array" ref="T570">SUM(_xlfn.XLOOKUP(TablaSeleccionControladores[[#Headers],[M4-CGE04060-0]:[M4-XPM18000-0]],TablaControladores[[REFERENCIA]:[REFERENCIA]],TablaControladores[EA])*$AA570:$AJ570)</f>
        <v>0</v>
      </c>
      <c r="U570" s="14" cm="1">
        <f t="array" ref="U570">SUM(_xlfn.XLOOKUP(TablaSeleccionControladores[[#Headers],[M4-CGE04060-0]:[M4-XPM18000-0]],TablaControladores[[REFERENCIA]:[REFERENCIA]],TablaControladores[EU])*$AA570:$AJ570)</f>
        <v>84</v>
      </c>
      <c r="V570" s="14" cm="1">
        <f t="array" ref="V570">SUM(_xlfn.XLOOKUP(TablaSeleccionControladores[[#Headers],[M4-CGE04060-0]:[M4-XPM18000-0]],TablaControladores[[REFERENCIA]:[REFERENCIA]],TablaControladores[ED])*$AA570:$AJ570)</f>
        <v>24</v>
      </c>
      <c r="W570" s="14" cm="1">
        <f t="array" ref="W570">SUM(_xlfn.XLOOKUP(TablaSeleccionControladores[[#Headers],[M4-CGE04060-0]:[M4-XPM18000-0]],TablaControladores[[REFERENCIA]:[REFERENCIA]],TablaControladores[SA])*$AA570:$AJ570)</f>
        <v>24</v>
      </c>
      <c r="X570" s="14" cm="1">
        <f t="array" ref="X570">SUM(_xlfn.XLOOKUP(TablaSeleccionControladores[[#Headers],[M4-CGE04060-0]:[M4-XPM18000-0]],TablaControladores[[REFERENCIA]:[REFERENCIA]],TablaControladores[SC])*$AA570:$AJ570)</f>
        <v>48</v>
      </c>
      <c r="Y570" s="14" cm="1">
        <f t="array" ref="Y570">SUM(_xlfn.XLOOKUP(TablaSeleccionControladores[[#Headers],[M4-CGE04060-0]:[M4-XPM18000-0]],TablaControladores[[REFERENCIA]:[REFERENCIA]],TablaControladores[SD])*$AA570:$AJ570)</f>
        <v>36</v>
      </c>
      <c r="Z570" s="14">
        <f>SUM(TablaSeleccionControladores[[#This Row],[EA]:[SD]])</f>
        <v>216</v>
      </c>
      <c r="AF570" s="14">
        <v>2</v>
      </c>
      <c r="AH570" s="14">
        <v>0</v>
      </c>
      <c r="AI570" s="14">
        <v>10</v>
      </c>
      <c r="AJ570" s="14">
        <v>0</v>
      </c>
    </row>
    <row r="571" spans="17:36" x14ac:dyDescent="0.25">
      <c r="Q571">
        <f t="shared" si="11"/>
        <v>461</v>
      </c>
      <c r="R571" t="s">
        <v>830</v>
      </c>
      <c r="S571">
        <f>SUM(TablaSeleccionControladores[[#This Row],[M4-CGE04060-0]:[M4-CGM09090-0H]])</f>
        <v>2</v>
      </c>
      <c r="T571" s="14" cm="1">
        <f t="array" ref="T571">SUM(_xlfn.XLOOKUP(TablaSeleccionControladores[[#Headers],[M4-CGE04060-0]:[M4-XPM18000-0]],TablaControladores[[REFERENCIA]:[REFERENCIA]],TablaControladores[EA])*$AA571:$AJ571)</f>
        <v>0</v>
      </c>
      <c r="U571" s="14" cm="1">
        <f t="array" ref="U571">SUM(_xlfn.XLOOKUP(TablaSeleccionControladores[[#Headers],[M4-CGE04060-0]:[M4-XPM18000-0]],TablaControladores[[REFERENCIA]:[REFERENCIA]],TablaControladores[EU])*$AA571:$AJ571)</f>
        <v>91</v>
      </c>
      <c r="V571" s="14" cm="1">
        <f t="array" ref="V571">SUM(_xlfn.XLOOKUP(TablaSeleccionControladores[[#Headers],[M4-CGE04060-0]:[M4-XPM18000-0]],TablaControladores[[REFERENCIA]:[REFERENCIA]],TablaControladores[ED])*$AA571:$AJ571)</f>
        <v>26</v>
      </c>
      <c r="W571" s="14" cm="1">
        <f t="array" ref="W571">SUM(_xlfn.XLOOKUP(TablaSeleccionControladores[[#Headers],[M4-CGE04060-0]:[M4-XPM18000-0]],TablaControladores[[REFERENCIA]:[REFERENCIA]],TablaControladores[SA])*$AA571:$AJ571)</f>
        <v>26</v>
      </c>
      <c r="X571" s="14" cm="1">
        <f t="array" ref="X571">SUM(_xlfn.XLOOKUP(TablaSeleccionControladores[[#Headers],[M4-CGE04060-0]:[M4-XPM18000-0]],TablaControladores[[REFERENCIA]:[REFERENCIA]],TablaControladores[SC])*$AA571:$AJ571)</f>
        <v>52</v>
      </c>
      <c r="Y571" s="14" cm="1">
        <f t="array" ref="Y571">SUM(_xlfn.XLOOKUP(TablaSeleccionControladores[[#Headers],[M4-CGE04060-0]:[M4-XPM18000-0]],TablaControladores[[REFERENCIA]:[REFERENCIA]],TablaControladores[SD])*$AA571:$AJ571)</f>
        <v>39</v>
      </c>
      <c r="Z571" s="14">
        <f>SUM(TablaSeleccionControladores[[#This Row],[EA]:[SD]])</f>
        <v>234</v>
      </c>
      <c r="AF571" s="14">
        <v>2</v>
      </c>
      <c r="AH571" s="14">
        <v>0</v>
      </c>
      <c r="AI571" s="14">
        <v>11</v>
      </c>
      <c r="AJ571" s="14">
        <v>0</v>
      </c>
    </row>
    <row r="572" spans="17:36" x14ac:dyDescent="0.25">
      <c r="Q572">
        <f t="shared" si="11"/>
        <v>462</v>
      </c>
      <c r="R572" t="s">
        <v>830</v>
      </c>
      <c r="S572">
        <f>SUM(TablaSeleccionControladores[[#This Row],[M4-CGE04060-0]:[M4-CGM09090-0H]])</f>
        <v>2</v>
      </c>
      <c r="T572" s="14" cm="1">
        <f t="array" ref="T572">SUM(_xlfn.XLOOKUP(TablaSeleccionControladores[[#Headers],[M4-CGE04060-0]:[M4-XPM18000-0]],TablaControladores[[REFERENCIA]:[REFERENCIA]],TablaControladores[EA])*$AA572:$AJ572)</f>
        <v>0</v>
      </c>
      <c r="U572" s="14" cm="1">
        <f t="array" ref="U572">SUM(_xlfn.XLOOKUP(TablaSeleccionControladores[[#Headers],[M4-CGE04060-0]:[M4-XPM18000-0]],TablaControladores[[REFERENCIA]:[REFERENCIA]],TablaControladores[EU])*$AA572:$AJ572)</f>
        <v>98</v>
      </c>
      <c r="V572" s="14" cm="1">
        <f t="array" ref="V572">SUM(_xlfn.XLOOKUP(TablaSeleccionControladores[[#Headers],[M4-CGE04060-0]:[M4-XPM18000-0]],TablaControladores[[REFERENCIA]:[REFERENCIA]],TablaControladores[ED])*$AA572:$AJ572)</f>
        <v>28</v>
      </c>
      <c r="W572" s="14" cm="1">
        <f t="array" ref="W572">SUM(_xlfn.XLOOKUP(TablaSeleccionControladores[[#Headers],[M4-CGE04060-0]:[M4-XPM18000-0]],TablaControladores[[REFERENCIA]:[REFERENCIA]],TablaControladores[SA])*$AA572:$AJ572)</f>
        <v>28</v>
      </c>
      <c r="X572" s="14" cm="1">
        <f t="array" ref="X572">SUM(_xlfn.XLOOKUP(TablaSeleccionControladores[[#Headers],[M4-CGE04060-0]:[M4-XPM18000-0]],TablaControladores[[REFERENCIA]:[REFERENCIA]],TablaControladores[SC])*$AA572:$AJ572)</f>
        <v>56</v>
      </c>
      <c r="Y572" s="14" cm="1">
        <f t="array" ref="Y572">SUM(_xlfn.XLOOKUP(TablaSeleccionControladores[[#Headers],[M4-CGE04060-0]:[M4-XPM18000-0]],TablaControladores[[REFERENCIA]:[REFERENCIA]],TablaControladores[SD])*$AA572:$AJ572)</f>
        <v>42</v>
      </c>
      <c r="Z572" s="14">
        <f>SUM(TablaSeleccionControladores[[#This Row],[EA]:[SD]])</f>
        <v>252</v>
      </c>
      <c r="AF572" s="14">
        <v>2</v>
      </c>
      <c r="AH572" s="14">
        <v>0</v>
      </c>
      <c r="AI572" s="14">
        <v>12</v>
      </c>
      <c r="AJ572" s="14">
        <v>0</v>
      </c>
    </row>
    <row r="573" spans="17:36" x14ac:dyDescent="0.25">
      <c r="Q573">
        <f t="shared" si="11"/>
        <v>463</v>
      </c>
      <c r="R573" t="s">
        <v>832</v>
      </c>
      <c r="S573">
        <f>SUM(TablaSeleccionControladores[[#This Row],[M4-CGE04060-0]:[M4-CGM09090-0H]])</f>
        <v>2</v>
      </c>
      <c r="T573" s="14" cm="1">
        <f t="array" ref="T573">SUM(_xlfn.XLOOKUP(TablaSeleccionControladores[[#Headers],[M4-CGE04060-0]:[M4-XPM18000-0]],TablaControladores[[REFERENCIA]:[REFERENCIA]],TablaControladores[EA])*$AA573:$AJ573)</f>
        <v>0</v>
      </c>
      <c r="U573" s="14" cm="1">
        <f t="array" ref="U573">SUM(_xlfn.XLOOKUP(TablaSeleccionControladores[[#Headers],[M4-CGE04060-0]:[M4-XPM18000-0]],TablaControladores[[REFERENCIA]:[REFERENCIA]],TablaControladores[EU])*$AA573:$AJ573)</f>
        <v>56</v>
      </c>
      <c r="V573" s="14" cm="1">
        <f t="array" ref="V573">SUM(_xlfn.XLOOKUP(TablaSeleccionControladores[[#Headers],[M4-CGE04060-0]:[M4-XPM18000-0]],TablaControladores[[REFERENCIA]:[REFERENCIA]],TablaControladores[ED])*$AA573:$AJ573)</f>
        <v>16</v>
      </c>
      <c r="W573" s="14" cm="1">
        <f t="array" ref="W573">SUM(_xlfn.XLOOKUP(TablaSeleccionControladores[[#Headers],[M4-CGE04060-0]:[M4-XPM18000-0]],TablaControladores[[REFERENCIA]:[REFERENCIA]],TablaControladores[SA])*$AA573:$AJ573)</f>
        <v>16</v>
      </c>
      <c r="X573" s="14" cm="1">
        <f t="array" ref="X573">SUM(_xlfn.XLOOKUP(TablaSeleccionControladores[[#Headers],[M4-CGE04060-0]:[M4-XPM18000-0]],TablaControladores[[REFERENCIA]:[REFERENCIA]],TablaControladores[SC])*$AA573:$AJ573)</f>
        <v>32</v>
      </c>
      <c r="Y573" s="14" cm="1">
        <f t="array" ref="Y573">SUM(_xlfn.XLOOKUP(TablaSeleccionControladores[[#Headers],[M4-CGE04060-0]:[M4-XPM18000-0]],TablaControladores[[REFERENCIA]:[REFERENCIA]],TablaControladores[SD])*$AA573:$AJ573)</f>
        <v>24</v>
      </c>
      <c r="Z573" s="14">
        <f>SUM(TablaSeleccionControladores[[#This Row],[EA]:[SD]])</f>
        <v>144</v>
      </c>
      <c r="AG573" s="14">
        <v>2</v>
      </c>
      <c r="AH573" s="14">
        <v>0</v>
      </c>
      <c r="AI573" s="14">
        <v>6</v>
      </c>
      <c r="AJ573" s="14">
        <v>0</v>
      </c>
    </row>
    <row r="574" spans="17:36" x14ac:dyDescent="0.25">
      <c r="Q574">
        <f t="shared" si="11"/>
        <v>464</v>
      </c>
      <c r="R574" t="s">
        <v>832</v>
      </c>
      <c r="S574">
        <f>SUM(TablaSeleccionControladores[[#This Row],[M4-CGE04060-0]:[M4-CGM09090-0H]])</f>
        <v>2</v>
      </c>
      <c r="T574" s="14" cm="1">
        <f t="array" ref="T574">SUM(_xlfn.XLOOKUP(TablaSeleccionControladores[[#Headers],[M4-CGE04060-0]:[M4-XPM18000-0]],TablaControladores[[REFERENCIA]:[REFERENCIA]],TablaControladores[EA])*$AA574:$AJ574)</f>
        <v>0</v>
      </c>
      <c r="U574" s="14" cm="1">
        <f t="array" ref="U574">SUM(_xlfn.XLOOKUP(TablaSeleccionControladores[[#Headers],[M4-CGE04060-0]:[M4-XPM18000-0]],TablaControladores[[REFERENCIA]:[REFERENCIA]],TablaControladores[EU])*$AA574:$AJ574)</f>
        <v>63</v>
      </c>
      <c r="V574" s="14" cm="1">
        <f t="array" ref="V574">SUM(_xlfn.XLOOKUP(TablaSeleccionControladores[[#Headers],[M4-CGE04060-0]:[M4-XPM18000-0]],TablaControladores[[REFERENCIA]:[REFERENCIA]],TablaControladores[ED])*$AA574:$AJ574)</f>
        <v>18</v>
      </c>
      <c r="W574" s="14" cm="1">
        <f t="array" ref="W574">SUM(_xlfn.XLOOKUP(TablaSeleccionControladores[[#Headers],[M4-CGE04060-0]:[M4-XPM18000-0]],TablaControladores[[REFERENCIA]:[REFERENCIA]],TablaControladores[SA])*$AA574:$AJ574)</f>
        <v>18</v>
      </c>
      <c r="X574" s="14" cm="1">
        <f t="array" ref="X574">SUM(_xlfn.XLOOKUP(TablaSeleccionControladores[[#Headers],[M4-CGE04060-0]:[M4-XPM18000-0]],TablaControladores[[REFERENCIA]:[REFERENCIA]],TablaControladores[SC])*$AA574:$AJ574)</f>
        <v>36</v>
      </c>
      <c r="Y574" s="14" cm="1">
        <f t="array" ref="Y574">SUM(_xlfn.XLOOKUP(TablaSeleccionControladores[[#Headers],[M4-CGE04060-0]:[M4-XPM18000-0]],TablaControladores[[REFERENCIA]:[REFERENCIA]],TablaControladores[SD])*$AA574:$AJ574)</f>
        <v>27</v>
      </c>
      <c r="Z574" s="14">
        <f>SUM(TablaSeleccionControladores[[#This Row],[EA]:[SD]])</f>
        <v>162</v>
      </c>
      <c r="AG574" s="14">
        <v>2</v>
      </c>
      <c r="AH574" s="14">
        <v>0</v>
      </c>
      <c r="AI574" s="14">
        <v>7</v>
      </c>
      <c r="AJ574" s="14">
        <v>0</v>
      </c>
    </row>
    <row r="575" spans="17:36" x14ac:dyDescent="0.25">
      <c r="Q575">
        <f t="shared" si="11"/>
        <v>465</v>
      </c>
      <c r="R575" t="s">
        <v>832</v>
      </c>
      <c r="S575">
        <f>SUM(TablaSeleccionControladores[[#This Row],[M4-CGE04060-0]:[M4-CGM09090-0H]])</f>
        <v>2</v>
      </c>
      <c r="T575" s="14" cm="1">
        <f t="array" ref="T575">SUM(_xlfn.XLOOKUP(TablaSeleccionControladores[[#Headers],[M4-CGE04060-0]:[M4-XPM18000-0]],TablaControladores[[REFERENCIA]:[REFERENCIA]],TablaControladores[EA])*$AA575:$AJ575)</f>
        <v>0</v>
      </c>
      <c r="U575" s="14" cm="1">
        <f t="array" ref="U575">SUM(_xlfn.XLOOKUP(TablaSeleccionControladores[[#Headers],[M4-CGE04060-0]:[M4-XPM18000-0]],TablaControladores[[REFERENCIA]:[REFERENCIA]],TablaControladores[EU])*$AA575:$AJ575)</f>
        <v>70</v>
      </c>
      <c r="V575" s="14" cm="1">
        <f t="array" ref="V575">SUM(_xlfn.XLOOKUP(TablaSeleccionControladores[[#Headers],[M4-CGE04060-0]:[M4-XPM18000-0]],TablaControladores[[REFERENCIA]:[REFERENCIA]],TablaControladores[ED])*$AA575:$AJ575)</f>
        <v>20</v>
      </c>
      <c r="W575" s="14" cm="1">
        <f t="array" ref="W575">SUM(_xlfn.XLOOKUP(TablaSeleccionControladores[[#Headers],[M4-CGE04060-0]:[M4-XPM18000-0]],TablaControladores[[REFERENCIA]:[REFERENCIA]],TablaControladores[SA])*$AA575:$AJ575)</f>
        <v>20</v>
      </c>
      <c r="X575" s="14" cm="1">
        <f t="array" ref="X575">SUM(_xlfn.XLOOKUP(TablaSeleccionControladores[[#Headers],[M4-CGE04060-0]:[M4-XPM18000-0]],TablaControladores[[REFERENCIA]:[REFERENCIA]],TablaControladores[SC])*$AA575:$AJ575)</f>
        <v>40</v>
      </c>
      <c r="Y575" s="14" cm="1">
        <f t="array" ref="Y575">SUM(_xlfn.XLOOKUP(TablaSeleccionControladores[[#Headers],[M4-CGE04060-0]:[M4-XPM18000-0]],TablaControladores[[REFERENCIA]:[REFERENCIA]],TablaControladores[SD])*$AA575:$AJ575)</f>
        <v>30</v>
      </c>
      <c r="Z575" s="14">
        <f>SUM(TablaSeleccionControladores[[#This Row],[EA]:[SD]])</f>
        <v>180</v>
      </c>
      <c r="AG575" s="14">
        <v>2</v>
      </c>
      <c r="AH575" s="14">
        <v>0</v>
      </c>
      <c r="AI575" s="14">
        <v>8</v>
      </c>
      <c r="AJ575" s="14">
        <v>0</v>
      </c>
    </row>
    <row r="576" spans="17:36" x14ac:dyDescent="0.25">
      <c r="Q576">
        <f t="shared" si="11"/>
        <v>466</v>
      </c>
      <c r="R576" t="s">
        <v>832</v>
      </c>
      <c r="S576">
        <f>SUM(TablaSeleccionControladores[[#This Row],[M4-CGE04060-0]:[M4-CGM09090-0H]])</f>
        <v>2</v>
      </c>
      <c r="T576" s="14" cm="1">
        <f t="array" ref="T576">SUM(_xlfn.XLOOKUP(TablaSeleccionControladores[[#Headers],[M4-CGE04060-0]:[M4-XPM18000-0]],TablaControladores[[REFERENCIA]:[REFERENCIA]],TablaControladores[EA])*$AA576:$AJ576)</f>
        <v>0</v>
      </c>
      <c r="U576" s="14" cm="1">
        <f t="array" ref="U576">SUM(_xlfn.XLOOKUP(TablaSeleccionControladores[[#Headers],[M4-CGE04060-0]:[M4-XPM18000-0]],TablaControladores[[REFERENCIA]:[REFERENCIA]],TablaControladores[EU])*$AA576:$AJ576)</f>
        <v>77</v>
      </c>
      <c r="V576" s="14" cm="1">
        <f t="array" ref="V576">SUM(_xlfn.XLOOKUP(TablaSeleccionControladores[[#Headers],[M4-CGE04060-0]:[M4-XPM18000-0]],TablaControladores[[REFERENCIA]:[REFERENCIA]],TablaControladores[ED])*$AA576:$AJ576)</f>
        <v>22</v>
      </c>
      <c r="W576" s="14" cm="1">
        <f t="array" ref="W576">SUM(_xlfn.XLOOKUP(TablaSeleccionControladores[[#Headers],[M4-CGE04060-0]:[M4-XPM18000-0]],TablaControladores[[REFERENCIA]:[REFERENCIA]],TablaControladores[SA])*$AA576:$AJ576)</f>
        <v>22</v>
      </c>
      <c r="X576" s="14" cm="1">
        <f t="array" ref="X576">SUM(_xlfn.XLOOKUP(TablaSeleccionControladores[[#Headers],[M4-CGE04060-0]:[M4-XPM18000-0]],TablaControladores[[REFERENCIA]:[REFERENCIA]],TablaControladores[SC])*$AA576:$AJ576)</f>
        <v>44</v>
      </c>
      <c r="Y576" s="14" cm="1">
        <f t="array" ref="Y576">SUM(_xlfn.XLOOKUP(TablaSeleccionControladores[[#Headers],[M4-CGE04060-0]:[M4-XPM18000-0]],TablaControladores[[REFERENCIA]:[REFERENCIA]],TablaControladores[SD])*$AA576:$AJ576)</f>
        <v>33</v>
      </c>
      <c r="Z576" s="14">
        <f>SUM(TablaSeleccionControladores[[#This Row],[EA]:[SD]])</f>
        <v>198</v>
      </c>
      <c r="AG576" s="14">
        <v>2</v>
      </c>
      <c r="AH576" s="14">
        <v>0</v>
      </c>
      <c r="AI576" s="14">
        <v>9</v>
      </c>
      <c r="AJ576" s="14">
        <v>0</v>
      </c>
    </row>
    <row r="577" spans="17:36" x14ac:dyDescent="0.25">
      <c r="Q577">
        <f t="shared" si="11"/>
        <v>467</v>
      </c>
      <c r="R577" t="s">
        <v>832</v>
      </c>
      <c r="S577">
        <f>SUM(TablaSeleccionControladores[[#This Row],[M4-CGE04060-0]:[M4-CGM09090-0H]])</f>
        <v>2</v>
      </c>
      <c r="T577" s="14" cm="1">
        <f t="array" ref="T577">SUM(_xlfn.XLOOKUP(TablaSeleccionControladores[[#Headers],[M4-CGE04060-0]:[M4-XPM18000-0]],TablaControladores[[REFERENCIA]:[REFERENCIA]],TablaControladores[EA])*$AA577:$AJ577)</f>
        <v>0</v>
      </c>
      <c r="U577" s="14" cm="1">
        <f t="array" ref="U577">SUM(_xlfn.XLOOKUP(TablaSeleccionControladores[[#Headers],[M4-CGE04060-0]:[M4-XPM18000-0]],TablaControladores[[REFERENCIA]:[REFERENCIA]],TablaControladores[EU])*$AA577:$AJ577)</f>
        <v>84</v>
      </c>
      <c r="V577" s="14" cm="1">
        <f t="array" ref="V577">SUM(_xlfn.XLOOKUP(TablaSeleccionControladores[[#Headers],[M4-CGE04060-0]:[M4-XPM18000-0]],TablaControladores[[REFERENCIA]:[REFERENCIA]],TablaControladores[ED])*$AA577:$AJ577)</f>
        <v>24</v>
      </c>
      <c r="W577" s="14" cm="1">
        <f t="array" ref="W577">SUM(_xlfn.XLOOKUP(TablaSeleccionControladores[[#Headers],[M4-CGE04060-0]:[M4-XPM18000-0]],TablaControladores[[REFERENCIA]:[REFERENCIA]],TablaControladores[SA])*$AA577:$AJ577)</f>
        <v>24</v>
      </c>
      <c r="X577" s="14" cm="1">
        <f t="array" ref="X577">SUM(_xlfn.XLOOKUP(TablaSeleccionControladores[[#Headers],[M4-CGE04060-0]:[M4-XPM18000-0]],TablaControladores[[REFERENCIA]:[REFERENCIA]],TablaControladores[SC])*$AA577:$AJ577)</f>
        <v>48</v>
      </c>
      <c r="Y577" s="14" cm="1">
        <f t="array" ref="Y577">SUM(_xlfn.XLOOKUP(TablaSeleccionControladores[[#Headers],[M4-CGE04060-0]:[M4-XPM18000-0]],TablaControladores[[REFERENCIA]:[REFERENCIA]],TablaControladores[SD])*$AA577:$AJ577)</f>
        <v>36</v>
      </c>
      <c r="Z577" s="14">
        <f>SUM(TablaSeleccionControladores[[#This Row],[EA]:[SD]])</f>
        <v>216</v>
      </c>
      <c r="AG577" s="14">
        <v>2</v>
      </c>
      <c r="AH577" s="14">
        <v>0</v>
      </c>
      <c r="AI577" s="14">
        <v>10</v>
      </c>
      <c r="AJ577" s="14">
        <v>0</v>
      </c>
    </row>
    <row r="578" spans="17:36" x14ac:dyDescent="0.25">
      <c r="Q578">
        <f t="shared" si="11"/>
        <v>468</v>
      </c>
      <c r="R578" t="s">
        <v>832</v>
      </c>
      <c r="S578">
        <f>SUM(TablaSeleccionControladores[[#This Row],[M4-CGE04060-0]:[M4-CGM09090-0H]])</f>
        <v>2</v>
      </c>
      <c r="T578" s="14" cm="1">
        <f t="array" ref="T578">SUM(_xlfn.XLOOKUP(TablaSeleccionControladores[[#Headers],[M4-CGE04060-0]:[M4-XPM18000-0]],TablaControladores[[REFERENCIA]:[REFERENCIA]],TablaControladores[EA])*$AA578:$AJ578)</f>
        <v>0</v>
      </c>
      <c r="U578" s="14" cm="1">
        <f t="array" ref="U578">SUM(_xlfn.XLOOKUP(TablaSeleccionControladores[[#Headers],[M4-CGE04060-0]:[M4-XPM18000-0]],TablaControladores[[REFERENCIA]:[REFERENCIA]],TablaControladores[EU])*$AA578:$AJ578)</f>
        <v>91</v>
      </c>
      <c r="V578" s="14" cm="1">
        <f t="array" ref="V578">SUM(_xlfn.XLOOKUP(TablaSeleccionControladores[[#Headers],[M4-CGE04060-0]:[M4-XPM18000-0]],TablaControladores[[REFERENCIA]:[REFERENCIA]],TablaControladores[ED])*$AA578:$AJ578)</f>
        <v>26</v>
      </c>
      <c r="W578" s="14" cm="1">
        <f t="array" ref="W578">SUM(_xlfn.XLOOKUP(TablaSeleccionControladores[[#Headers],[M4-CGE04060-0]:[M4-XPM18000-0]],TablaControladores[[REFERENCIA]:[REFERENCIA]],TablaControladores[SA])*$AA578:$AJ578)</f>
        <v>26</v>
      </c>
      <c r="X578" s="14" cm="1">
        <f t="array" ref="X578">SUM(_xlfn.XLOOKUP(TablaSeleccionControladores[[#Headers],[M4-CGE04060-0]:[M4-XPM18000-0]],TablaControladores[[REFERENCIA]:[REFERENCIA]],TablaControladores[SC])*$AA578:$AJ578)</f>
        <v>52</v>
      </c>
      <c r="Y578" s="14" cm="1">
        <f t="array" ref="Y578">SUM(_xlfn.XLOOKUP(TablaSeleccionControladores[[#Headers],[M4-CGE04060-0]:[M4-XPM18000-0]],TablaControladores[[REFERENCIA]:[REFERENCIA]],TablaControladores[SD])*$AA578:$AJ578)</f>
        <v>39</v>
      </c>
      <c r="Z578" s="14">
        <f>SUM(TablaSeleccionControladores[[#This Row],[EA]:[SD]])</f>
        <v>234</v>
      </c>
      <c r="AG578" s="14">
        <v>2</v>
      </c>
      <c r="AH578" s="14">
        <v>0</v>
      </c>
      <c r="AI578" s="14">
        <v>11</v>
      </c>
      <c r="AJ578" s="14">
        <v>0</v>
      </c>
    </row>
    <row r="579" spans="17:36" x14ac:dyDescent="0.25">
      <c r="Q579">
        <f t="shared" si="11"/>
        <v>469</v>
      </c>
      <c r="R579" t="s">
        <v>832</v>
      </c>
      <c r="S579">
        <f>SUM(TablaSeleccionControladores[[#This Row],[M4-CGE04060-0]:[M4-CGM09090-0H]])</f>
        <v>2</v>
      </c>
      <c r="T579" s="14" cm="1">
        <f t="array" ref="T579">SUM(_xlfn.XLOOKUP(TablaSeleccionControladores[[#Headers],[M4-CGE04060-0]:[M4-XPM18000-0]],TablaControladores[[REFERENCIA]:[REFERENCIA]],TablaControladores[EA])*$AA579:$AJ579)</f>
        <v>0</v>
      </c>
      <c r="U579" s="14" cm="1">
        <f t="array" ref="U579">SUM(_xlfn.XLOOKUP(TablaSeleccionControladores[[#Headers],[M4-CGE04060-0]:[M4-XPM18000-0]],TablaControladores[[REFERENCIA]:[REFERENCIA]],TablaControladores[EU])*$AA579:$AJ579)</f>
        <v>98</v>
      </c>
      <c r="V579" s="14" cm="1">
        <f t="array" ref="V579">SUM(_xlfn.XLOOKUP(TablaSeleccionControladores[[#Headers],[M4-CGE04060-0]:[M4-XPM18000-0]],TablaControladores[[REFERENCIA]:[REFERENCIA]],TablaControladores[ED])*$AA579:$AJ579)</f>
        <v>28</v>
      </c>
      <c r="W579" s="14" cm="1">
        <f t="array" ref="W579">SUM(_xlfn.XLOOKUP(TablaSeleccionControladores[[#Headers],[M4-CGE04060-0]:[M4-XPM18000-0]],TablaControladores[[REFERENCIA]:[REFERENCIA]],TablaControladores[SA])*$AA579:$AJ579)</f>
        <v>28</v>
      </c>
      <c r="X579" s="14" cm="1">
        <f t="array" ref="X579">SUM(_xlfn.XLOOKUP(TablaSeleccionControladores[[#Headers],[M4-CGE04060-0]:[M4-XPM18000-0]],TablaControladores[[REFERENCIA]:[REFERENCIA]],TablaControladores[SC])*$AA579:$AJ579)</f>
        <v>56</v>
      </c>
      <c r="Y579" s="14" cm="1">
        <f t="array" ref="Y579">SUM(_xlfn.XLOOKUP(TablaSeleccionControladores[[#Headers],[M4-CGE04060-0]:[M4-XPM18000-0]],TablaControladores[[REFERENCIA]:[REFERENCIA]],TablaControladores[SD])*$AA579:$AJ579)</f>
        <v>42</v>
      </c>
      <c r="Z579" s="14">
        <f>SUM(TablaSeleccionControladores[[#This Row],[EA]:[SD]])</f>
        <v>252</v>
      </c>
      <c r="AG579" s="14">
        <v>2</v>
      </c>
      <c r="AH579" s="14">
        <v>0</v>
      </c>
      <c r="AI579" s="14">
        <v>12</v>
      </c>
      <c r="AJ579" s="14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1699-8C29-4CF4-813D-4B9BEA529535}">
  <sheetPr codeName="Hoja4"/>
  <dimension ref="A1:AM495"/>
  <sheetViews>
    <sheetView topLeftCell="Q1" workbookViewId="0">
      <selection activeCell="AD4" sqref="AD4"/>
    </sheetView>
  </sheetViews>
  <sheetFormatPr baseColWidth="10" defaultRowHeight="15" x14ac:dyDescent="0.25"/>
  <cols>
    <col min="1" max="1" width="20.85546875" customWidth="1"/>
    <col min="2" max="2" width="12.5703125" customWidth="1"/>
    <col min="3" max="3" width="12.42578125" customWidth="1"/>
    <col min="4" max="4" width="14.42578125" customWidth="1"/>
    <col min="5" max="5" width="14.7109375" customWidth="1"/>
    <col min="6" max="6" width="17" customWidth="1"/>
    <col min="7" max="7" width="13.42578125" customWidth="1"/>
    <col min="13" max="13" width="17.85546875" customWidth="1"/>
    <col min="14" max="14" width="17.28515625" customWidth="1"/>
    <col min="15" max="15" width="11.7109375" customWidth="1"/>
    <col min="16" max="17" width="15.42578125" customWidth="1"/>
    <col min="18" max="18" width="12.5703125" customWidth="1"/>
    <col min="19" max="19" width="20" bestFit="1" customWidth="1"/>
    <col min="20" max="21" width="20" customWidth="1"/>
    <col min="22" max="22" width="11.140625" customWidth="1"/>
    <col min="23" max="23" width="13.85546875" customWidth="1"/>
    <col min="24" max="24" width="14.140625" customWidth="1"/>
    <col min="25" max="26" width="16" customWidth="1"/>
    <col min="27" max="27" width="13.140625" customWidth="1"/>
    <col min="28" max="28" width="13" customWidth="1"/>
    <col min="29" max="29" width="17.42578125" customWidth="1"/>
    <col min="30" max="30" width="12.5703125" customWidth="1"/>
    <col min="31" max="34" width="5.7109375" customWidth="1"/>
    <col min="37" max="38" width="14.85546875" bestFit="1" customWidth="1"/>
    <col min="39" max="39" width="16.7109375" customWidth="1"/>
  </cols>
  <sheetData>
    <row r="1" spans="1:39" ht="96.75" customHeight="1" x14ac:dyDescent="0.25">
      <c r="A1" t="s">
        <v>143</v>
      </c>
      <c r="B1" s="20" t="s">
        <v>848</v>
      </c>
      <c r="C1" s="20" t="s">
        <v>849</v>
      </c>
      <c r="D1" s="20" t="s">
        <v>847</v>
      </c>
      <c r="E1" s="20" t="s">
        <v>850</v>
      </c>
      <c r="F1" s="20" t="s">
        <v>851</v>
      </c>
      <c r="G1" s="20" t="s">
        <v>895</v>
      </c>
      <c r="H1" s="20" t="s">
        <v>846</v>
      </c>
      <c r="I1" s="20" t="s">
        <v>896</v>
      </c>
      <c r="L1" t="s">
        <v>661</v>
      </c>
      <c r="M1" t="s">
        <v>143</v>
      </c>
      <c r="N1" s="20" t="s">
        <v>898</v>
      </c>
      <c r="O1" s="20" t="s">
        <v>891</v>
      </c>
      <c r="P1" s="20" t="s">
        <v>881</v>
      </c>
      <c r="Q1" s="20" t="s">
        <v>896</v>
      </c>
      <c r="R1" s="20" t="s">
        <v>913</v>
      </c>
      <c r="S1" t="s">
        <v>900</v>
      </c>
      <c r="T1" t="s">
        <v>904</v>
      </c>
      <c r="V1" s="23" t="s">
        <v>661</v>
      </c>
      <c r="W1" s="24" t="s">
        <v>847</v>
      </c>
      <c r="X1" s="24" t="s">
        <v>850</v>
      </c>
      <c r="Y1" s="24" t="s">
        <v>851</v>
      </c>
      <c r="Z1" s="24" t="s">
        <v>895</v>
      </c>
      <c r="AA1" s="24" t="s">
        <v>846</v>
      </c>
      <c r="AB1" s="27" t="s">
        <v>896</v>
      </c>
      <c r="AC1" s="27" t="s">
        <v>897</v>
      </c>
      <c r="AD1" s="27" t="s">
        <v>899</v>
      </c>
      <c r="AE1" s="21" t="s">
        <v>845</v>
      </c>
      <c r="AF1" s="21" t="s">
        <v>844</v>
      </c>
      <c r="AG1" s="21" t="s">
        <v>843</v>
      </c>
      <c r="AH1" s="21" t="s">
        <v>842</v>
      </c>
      <c r="AK1" t="s">
        <v>910</v>
      </c>
      <c r="AL1" t="s">
        <v>143</v>
      </c>
      <c r="AM1" s="20" t="s">
        <v>911</v>
      </c>
    </row>
    <row r="2" spans="1:39" x14ac:dyDescent="0.25">
      <c r="A2" t="s">
        <v>845</v>
      </c>
      <c r="B2">
        <v>2</v>
      </c>
      <c r="C2">
        <v>2</v>
      </c>
      <c r="D2">
        <v>600</v>
      </c>
      <c r="E2">
        <v>200</v>
      </c>
      <c r="F2">
        <v>128</v>
      </c>
      <c r="G2">
        <v>400</v>
      </c>
      <c r="H2">
        <v>5000</v>
      </c>
      <c r="I2" s="26">
        <v>5666.63</v>
      </c>
      <c r="J2" t="e">
        <f>IF(G22-MAX(J5:K5)*#REF!&gt;0,(G22-MAX(J5:K5)*#REF!)/TablaSupervisores[[#This Row],[DISPOSITIVOS BACNET IP]],0)</f>
        <v>#REF!</v>
      </c>
      <c r="L2">
        <v>1</v>
      </c>
      <c r="M2" t="s">
        <v>855</v>
      </c>
      <c r="N2" t="s">
        <v>912</v>
      </c>
      <c r="O2" t="s">
        <v>893</v>
      </c>
      <c r="P2">
        <v>5</v>
      </c>
      <c r="Q2" s="26">
        <v>1914.97</v>
      </c>
      <c r="R2">
        <v>8</v>
      </c>
      <c r="S2" t="s">
        <v>901</v>
      </c>
      <c r="T2" t="s">
        <v>905</v>
      </c>
      <c r="V2">
        <v>1</v>
      </c>
      <c r="W2" cm="1">
        <f t="array" ref="W2">SUM(TablaSupervisores[DISPOSITIVOS TOTAL]*INDEX(TablaSeleccionSupervisores[],ROW(TablaSeleccionSupervisores[[#This Row],[ORDEN]])-1,_xlfn.XMATCH(TablaSupervisores[REFERENCIA],TablaSeleccionSupervisores[#Headers])))</f>
        <v>600</v>
      </c>
      <c r="X2" cm="1">
        <f t="array" ref="X2">SUM(TablaSupervisores[DISPOSITIVOS BACNET MS/TP JC]*INDEX(TablaSeleccionSupervisores[],ROW(TablaSeleccionSupervisores[[#This Row],[ORDEN]])-1,_xlfn.XMATCH(TablaSupervisores[REFERENCIA],TablaSeleccionSupervisores[#Headers])))</f>
        <v>200</v>
      </c>
      <c r="Y2" cm="1">
        <f t="array" ref="Y2">SUM(TablaSupervisores[DISPOSITIVOS BACNET MS/TP COMPATIBLES]*INDEX(TablaSeleccionSupervisores[],ROW(TablaSeleccionSupervisores[[#This Row],[ORDEN]])-1,_xlfn.XMATCH(TablaSupervisores[REFERENCIA],TablaSeleccionSupervisores[#Headers])))</f>
        <v>128</v>
      </c>
      <c r="Z2" cm="1">
        <f t="array" ref="Z2">SUM(TablaSupervisores[DISPOSITIVOS BACNET IP]*INDEX(TablaSeleccionSupervisores[],ROW(TablaSeleccionSupervisores[[#This Row],[ORDEN]])-1,_xlfn.XMATCH(TablaSupervisores[REFERENCIA],TablaSeleccionSupervisores[#Headers])))</f>
        <v>400</v>
      </c>
      <c r="AA2" cm="1">
        <f t="array" ref="AA2">SUM(TablaSupervisores[OBJETOS]*INDEX(TablaSeleccionSupervisores[],ROW(TablaSeleccionSupervisores[[#This Row],[ORDEN]])-1,_xlfn.XMATCH(TablaSupervisores[REFERENCIA],TablaSeleccionSupervisores[#Headers])))</f>
        <v>5000</v>
      </c>
      <c r="AB2" s="29" cm="1">
        <f t="array" ref="AB2">SUM(TablaSupervisores[COSTE]*INDEX(TablaSeleccionSupervisores[],ROW(TablaSeleccionSupervisores[[#This Row],[ORDEN]])-1,_xlfn.XMATCH(TablaSupervisores[REFERENCIA],TablaSeleccionSupervisores[#Headers])))</f>
        <v>5666.63</v>
      </c>
      <c r="AC2" cm="1">
        <f t="array" ref="AC2">SUM(INDEX(TablaSeleccionSupervisores[],ROW(TablaSeleccionSupervisores[[#This Row],[ORDEN]])-1,_xlfn.XMATCH(TablaSupervisores[REFERENCIA],TablaSeleccionSupervisores[#Headers])))</f>
        <v>1</v>
      </c>
      <c r="AD2" t="str" cm="1">
        <f t="array" ref="AD2">IF(INDEX(TablaSeleccionSupervisores[],ROW(TablaSeleccionSupervisores[[#This Row],[ORDEN]])-1,_xlfn.XMATCH("ADMITIDO ADSLITE",TablaSeleccionSupervisores[#Headers])+1)=0,"Sí admitido","No admitido")</f>
        <v>No admitido</v>
      </c>
      <c r="AE2">
        <v>1</v>
      </c>
      <c r="AF2">
        <v>0</v>
      </c>
      <c r="AG2">
        <v>0</v>
      </c>
      <c r="AH2">
        <v>0</v>
      </c>
      <c r="AK2" t="s">
        <v>12</v>
      </c>
      <c r="AL2" t="s">
        <v>908</v>
      </c>
      <c r="AM2">
        <v>100</v>
      </c>
    </row>
    <row r="3" spans="1:39" x14ac:dyDescent="0.25">
      <c r="A3" t="s">
        <v>844</v>
      </c>
      <c r="B3">
        <v>1</v>
      </c>
      <c r="C3">
        <v>2</v>
      </c>
      <c r="D3">
        <v>150</v>
      </c>
      <c r="E3">
        <v>100</v>
      </c>
      <c r="F3">
        <v>64</v>
      </c>
      <c r="G3">
        <v>200</v>
      </c>
      <c r="H3">
        <v>2500</v>
      </c>
      <c r="I3" s="26">
        <v>3988.73</v>
      </c>
      <c r="L3">
        <v>2</v>
      </c>
      <c r="M3" t="s">
        <v>856</v>
      </c>
      <c r="N3" t="s">
        <v>889</v>
      </c>
      <c r="O3" t="s">
        <v>893</v>
      </c>
      <c r="P3">
        <v>5</v>
      </c>
      <c r="Q3" s="26">
        <v>901.68</v>
      </c>
      <c r="R3">
        <v>8</v>
      </c>
      <c r="S3" t="s">
        <v>901</v>
      </c>
      <c r="T3" t="s">
        <v>906</v>
      </c>
      <c r="V3">
        <v>2</v>
      </c>
      <c r="W3" cm="1">
        <f t="array" ref="W3">SUM(TablaSupervisores[DISPOSITIVOS TOTAL]*INDEX(TablaSeleccionSupervisores[],ROW(TablaSeleccionSupervisores[[#This Row],[ORDEN]])-1,_xlfn.XMATCH(TablaSupervisores[REFERENCIA],TablaSeleccionSupervisores[#Headers])))</f>
        <v>1200</v>
      </c>
      <c r="X3" cm="1">
        <f t="array" ref="X3">SUM(TablaSupervisores[DISPOSITIVOS BACNET MS/TP JC]*INDEX(TablaSeleccionSupervisores[],ROW(TablaSeleccionSupervisores[[#This Row],[ORDEN]])-1,_xlfn.XMATCH(TablaSupervisores[REFERENCIA],TablaSeleccionSupervisores[#Headers])))</f>
        <v>400</v>
      </c>
      <c r="Y3" cm="1">
        <f t="array" ref="Y3">SUM(TablaSupervisores[DISPOSITIVOS BACNET MS/TP COMPATIBLES]*INDEX(TablaSeleccionSupervisores[],ROW(TablaSeleccionSupervisores[[#This Row],[ORDEN]])-1,_xlfn.XMATCH(TablaSupervisores[REFERENCIA],TablaSeleccionSupervisores[#Headers])))</f>
        <v>256</v>
      </c>
      <c r="Z3" cm="1">
        <f t="array" ref="Z3">SUM(TablaSupervisores[DISPOSITIVOS BACNET IP]*INDEX(TablaSeleccionSupervisores[],ROW(TablaSeleccionSupervisores[[#This Row],[ORDEN]])-1,_xlfn.XMATCH(TablaSupervisores[REFERENCIA],TablaSeleccionSupervisores[#Headers])))</f>
        <v>800</v>
      </c>
      <c r="AA3" cm="1">
        <f t="array" ref="AA3">SUM(TablaSupervisores[OBJETOS]*INDEX(TablaSeleccionSupervisores[],ROW(TablaSeleccionSupervisores[[#This Row],[ORDEN]])-1,_xlfn.XMATCH(TablaSupervisores[REFERENCIA],TablaSeleccionSupervisores[#Headers])))</f>
        <v>10000</v>
      </c>
      <c r="AB3" s="28" cm="1">
        <f t="array" ref="AB3">SUM(TablaSupervisores[COSTE]*INDEX(TablaSeleccionSupervisores[],ROW(TablaSeleccionSupervisores[[#This Row],[ORDEN]])-1,_xlfn.XMATCH(TablaSupervisores[REFERENCIA],TablaSeleccionSupervisores[#Headers])))</f>
        <v>11333.26</v>
      </c>
      <c r="AC3" cm="1">
        <f t="array" ref="AC3">SUM(INDEX(TablaSeleccionSupervisores[],ROW(TablaSeleccionSupervisores[[#This Row],[ORDEN]])-1,_xlfn.XMATCH(TablaSupervisores[REFERENCIA],TablaSeleccionSupervisores[#Headers])))</f>
        <v>2</v>
      </c>
      <c r="AD3" t="str" cm="1">
        <f t="array" ref="AD3">IF(INDEX(TablaSeleccionSupervisores[],ROW(TablaSeleccionSupervisores[[#This Row],[ORDEN]])-1,_xlfn.XMATCH("ADMITIDO ADSLITE",TablaSeleccionSupervisores[#Headers])+1)=0,"Sí admitido","No admitido")</f>
        <v>No admitido</v>
      </c>
      <c r="AE3">
        <v>2</v>
      </c>
      <c r="AF3">
        <v>0</v>
      </c>
      <c r="AG3">
        <v>0</v>
      </c>
      <c r="AH3">
        <v>0</v>
      </c>
      <c r="AK3" t="s">
        <v>907</v>
      </c>
      <c r="AL3" t="s">
        <v>909</v>
      </c>
      <c r="AM3">
        <v>100</v>
      </c>
    </row>
    <row r="4" spans="1:39" x14ac:dyDescent="0.25">
      <c r="A4" t="s">
        <v>843</v>
      </c>
      <c r="B4">
        <v>1</v>
      </c>
      <c r="C4">
        <v>2</v>
      </c>
      <c r="D4">
        <v>60</v>
      </c>
      <c r="E4">
        <v>50</v>
      </c>
      <c r="F4">
        <v>32</v>
      </c>
      <c r="G4">
        <v>100</v>
      </c>
      <c r="H4">
        <v>2500</v>
      </c>
      <c r="I4" s="26">
        <v>1423.48</v>
      </c>
      <c r="L4">
        <v>3</v>
      </c>
      <c r="M4" t="s">
        <v>852</v>
      </c>
      <c r="N4" t="s">
        <v>912</v>
      </c>
      <c r="O4" t="s">
        <v>893</v>
      </c>
      <c r="P4">
        <v>10</v>
      </c>
      <c r="Q4" s="26">
        <v>6222.37</v>
      </c>
      <c r="R4">
        <v>20</v>
      </c>
      <c r="S4" t="s">
        <v>902</v>
      </c>
      <c r="T4" t="s">
        <v>905</v>
      </c>
      <c r="V4">
        <v>3</v>
      </c>
      <c r="W4" cm="1">
        <f t="array" ref="W4">SUM(TablaSupervisores[DISPOSITIVOS TOTAL]*INDEX(TablaSeleccionSupervisores[],ROW(TablaSeleccionSupervisores[[#This Row],[ORDEN]])-1,_xlfn.XMATCH(TablaSupervisores[REFERENCIA],TablaSeleccionSupervisores[#Headers])))</f>
        <v>1800</v>
      </c>
      <c r="X4" cm="1">
        <f t="array" ref="X4">SUM(TablaSupervisores[DISPOSITIVOS BACNET MS/TP JC]*INDEX(TablaSeleccionSupervisores[],ROW(TablaSeleccionSupervisores[[#This Row],[ORDEN]])-1,_xlfn.XMATCH(TablaSupervisores[REFERENCIA],TablaSeleccionSupervisores[#Headers])))</f>
        <v>600</v>
      </c>
      <c r="Y4" cm="1">
        <f t="array" ref="Y4">SUM(TablaSupervisores[DISPOSITIVOS BACNET MS/TP COMPATIBLES]*INDEX(TablaSeleccionSupervisores[],ROW(TablaSeleccionSupervisores[[#This Row],[ORDEN]])-1,_xlfn.XMATCH(TablaSupervisores[REFERENCIA],TablaSeleccionSupervisores[#Headers])))</f>
        <v>384</v>
      </c>
      <c r="Z4" cm="1">
        <f t="array" ref="Z4">SUM(TablaSupervisores[DISPOSITIVOS BACNET IP]*INDEX(TablaSeleccionSupervisores[],ROW(TablaSeleccionSupervisores[[#This Row],[ORDEN]])-1,_xlfn.XMATCH(TablaSupervisores[REFERENCIA],TablaSeleccionSupervisores[#Headers])))</f>
        <v>1200</v>
      </c>
      <c r="AA4" cm="1">
        <f t="array" ref="AA4">SUM(TablaSupervisores[OBJETOS]*INDEX(TablaSeleccionSupervisores[],ROW(TablaSeleccionSupervisores[[#This Row],[ORDEN]])-1,_xlfn.XMATCH(TablaSupervisores[REFERENCIA],TablaSeleccionSupervisores[#Headers])))</f>
        <v>15000</v>
      </c>
      <c r="AB4" s="28" cm="1">
        <f t="array" ref="AB4">SUM(TablaSupervisores[COSTE]*INDEX(TablaSeleccionSupervisores[],ROW(TablaSeleccionSupervisores[[#This Row],[ORDEN]])-1,_xlfn.XMATCH(TablaSupervisores[REFERENCIA],TablaSeleccionSupervisores[#Headers])))</f>
        <v>16999.89</v>
      </c>
      <c r="AC4" cm="1">
        <f t="array" ref="AC4">SUM(INDEX(TablaSeleccionSupervisores[],ROW(TablaSeleccionSupervisores[[#This Row],[ORDEN]])-1,_xlfn.XMATCH(TablaSupervisores[REFERENCIA],TablaSeleccionSupervisores[#Headers])))</f>
        <v>3</v>
      </c>
      <c r="AD4" t="str" cm="1">
        <f t="array" ref="AD4">IF(INDEX(TablaSeleccionSupervisores[],ROW(TablaSeleccionSupervisores[[#This Row],[ORDEN]])-1,_xlfn.XMATCH("ADMITIDO ADSLITE",TablaSeleccionSupervisores[#Headers])+1)=0,"Sí admitido","No admitido")</f>
        <v>No admitido</v>
      </c>
      <c r="AE4">
        <v>3</v>
      </c>
      <c r="AF4">
        <v>0</v>
      </c>
      <c r="AG4">
        <v>0</v>
      </c>
      <c r="AH4">
        <v>0</v>
      </c>
    </row>
    <row r="5" spans="1:39" x14ac:dyDescent="0.25">
      <c r="A5" t="s">
        <v>842</v>
      </c>
      <c r="B5">
        <v>1</v>
      </c>
      <c r="C5">
        <v>1</v>
      </c>
      <c r="D5">
        <v>4</v>
      </c>
      <c r="E5">
        <v>4</v>
      </c>
      <c r="F5">
        <v>4</v>
      </c>
      <c r="G5">
        <v>10</v>
      </c>
      <c r="H5">
        <v>2500</v>
      </c>
      <c r="I5" s="26">
        <v>748.35</v>
      </c>
      <c r="J5" t="e">
        <f>IF(F22&gt;0,ROUNDUP(SUM(E22:F22)/#REF!,0),ROUNDUP(E22/#REF!,0))</f>
        <v>#REF!</v>
      </c>
      <c r="K5">
        <f>ROUNDUP(C22/TablaSupervisores[[#This Row],[DISPOSITIVOS BACNET MS/TP JC]],0)</f>
        <v>579</v>
      </c>
      <c r="L5">
        <v>4</v>
      </c>
      <c r="M5" t="s">
        <v>853</v>
      </c>
      <c r="N5" t="s">
        <v>889</v>
      </c>
      <c r="O5" t="s">
        <v>893</v>
      </c>
      <c r="P5">
        <v>10</v>
      </c>
      <c r="Q5" s="26">
        <v>3397.38</v>
      </c>
      <c r="R5">
        <v>20</v>
      </c>
      <c r="S5" t="s">
        <v>902</v>
      </c>
      <c r="T5" t="s">
        <v>906</v>
      </c>
      <c r="V5">
        <v>4</v>
      </c>
      <c r="W5" cm="1">
        <f t="array" ref="W5">SUM(TablaSupervisores[DISPOSITIVOS TOTAL]*INDEX(TablaSeleccionSupervisores[],ROW(TablaSeleccionSupervisores[[#This Row],[ORDEN]])-1,_xlfn.XMATCH(TablaSupervisores[REFERENCIA],TablaSeleccionSupervisores[#Headers])))</f>
        <v>2400</v>
      </c>
      <c r="X5" cm="1">
        <f t="array" ref="X5">SUM(TablaSupervisores[DISPOSITIVOS BACNET MS/TP JC]*INDEX(TablaSeleccionSupervisores[],ROW(TablaSeleccionSupervisores[[#This Row],[ORDEN]])-1,_xlfn.XMATCH(TablaSupervisores[REFERENCIA],TablaSeleccionSupervisores[#Headers])))</f>
        <v>800</v>
      </c>
      <c r="Y5" cm="1">
        <f t="array" ref="Y5">SUM(TablaSupervisores[DISPOSITIVOS BACNET MS/TP COMPATIBLES]*INDEX(TablaSeleccionSupervisores[],ROW(TablaSeleccionSupervisores[[#This Row],[ORDEN]])-1,_xlfn.XMATCH(TablaSupervisores[REFERENCIA],TablaSeleccionSupervisores[#Headers])))</f>
        <v>512</v>
      </c>
      <c r="Z5" cm="1">
        <f t="array" ref="Z5">SUM(TablaSupervisores[DISPOSITIVOS BACNET IP]*INDEX(TablaSeleccionSupervisores[],ROW(TablaSeleccionSupervisores[[#This Row],[ORDEN]])-1,_xlfn.XMATCH(TablaSupervisores[REFERENCIA],TablaSeleccionSupervisores[#Headers])))</f>
        <v>1600</v>
      </c>
      <c r="AA5" cm="1">
        <f t="array" ref="AA5">SUM(TablaSupervisores[OBJETOS]*INDEX(TablaSeleccionSupervisores[],ROW(TablaSeleccionSupervisores[[#This Row],[ORDEN]])-1,_xlfn.XMATCH(TablaSupervisores[REFERENCIA],TablaSeleccionSupervisores[#Headers])))</f>
        <v>20000</v>
      </c>
      <c r="AB5" s="28" cm="1">
        <f t="array" ref="AB5">SUM(TablaSupervisores[COSTE]*INDEX(TablaSeleccionSupervisores[],ROW(TablaSeleccionSupervisores[[#This Row],[ORDEN]])-1,_xlfn.XMATCH(TablaSupervisores[REFERENCIA],TablaSeleccionSupervisores[#Headers])))</f>
        <v>22666.52</v>
      </c>
      <c r="AC5" cm="1">
        <f t="array" ref="AC5">SUM(INDEX(TablaSeleccionSupervisores[],ROW(TablaSeleccionSupervisores[[#This Row],[ORDEN]])-1,_xlfn.XMATCH(TablaSupervisores[REFERENCIA],TablaSeleccionSupervisores[#Headers])))</f>
        <v>4</v>
      </c>
      <c r="AD5" t="str" cm="1">
        <f t="array" ref="AD5">IF(INDEX(TablaSeleccionSupervisores[],ROW(TablaSeleccionSupervisores[[#This Row],[ORDEN]])-1,_xlfn.XMATCH("ADMITIDO ADSLITE",TablaSeleccionSupervisores[#Headers])+1)=0,"Sí admitido","No admitido")</f>
        <v>No admitido</v>
      </c>
      <c r="AE5">
        <v>4</v>
      </c>
      <c r="AF5">
        <v>0</v>
      </c>
      <c r="AG5">
        <v>0</v>
      </c>
      <c r="AH5">
        <v>0</v>
      </c>
    </row>
    <row r="6" spans="1:39" x14ac:dyDescent="0.25">
      <c r="L6">
        <v>5</v>
      </c>
      <c r="M6" t="s">
        <v>854</v>
      </c>
      <c r="N6" t="s">
        <v>890</v>
      </c>
      <c r="O6" t="s">
        <v>893</v>
      </c>
      <c r="P6">
        <v>10</v>
      </c>
      <c r="Q6" s="26">
        <v>4457.95</v>
      </c>
      <c r="R6">
        <v>20</v>
      </c>
      <c r="S6" t="s">
        <v>902</v>
      </c>
      <c r="T6" t="s">
        <v>906</v>
      </c>
      <c r="V6">
        <v>5</v>
      </c>
      <c r="W6" cm="1">
        <f t="array" ref="W6">SUM(TablaSupervisores[DISPOSITIVOS TOTAL]*INDEX(TablaSeleccionSupervisores[],ROW(TablaSeleccionSupervisores[[#This Row],[ORDEN]])-1,_xlfn.XMATCH(TablaSupervisores[REFERENCIA],TablaSeleccionSupervisores[#Headers])))</f>
        <v>3000</v>
      </c>
      <c r="X6" cm="1">
        <f t="array" ref="X6">SUM(TablaSupervisores[DISPOSITIVOS BACNET MS/TP JC]*INDEX(TablaSeleccionSupervisores[],ROW(TablaSeleccionSupervisores[[#This Row],[ORDEN]])-1,_xlfn.XMATCH(TablaSupervisores[REFERENCIA],TablaSeleccionSupervisores[#Headers])))</f>
        <v>1000</v>
      </c>
      <c r="Y6" cm="1">
        <f t="array" ref="Y6">SUM(TablaSupervisores[DISPOSITIVOS BACNET MS/TP COMPATIBLES]*INDEX(TablaSeleccionSupervisores[],ROW(TablaSeleccionSupervisores[[#This Row],[ORDEN]])-1,_xlfn.XMATCH(TablaSupervisores[REFERENCIA],TablaSeleccionSupervisores[#Headers])))</f>
        <v>640</v>
      </c>
      <c r="Z6" cm="1">
        <f t="array" ref="Z6">SUM(TablaSupervisores[DISPOSITIVOS BACNET IP]*INDEX(TablaSeleccionSupervisores[],ROW(TablaSeleccionSupervisores[[#This Row],[ORDEN]])-1,_xlfn.XMATCH(TablaSupervisores[REFERENCIA],TablaSeleccionSupervisores[#Headers])))</f>
        <v>2000</v>
      </c>
      <c r="AA6" cm="1">
        <f t="array" ref="AA6">SUM(TablaSupervisores[OBJETOS]*INDEX(TablaSeleccionSupervisores[],ROW(TablaSeleccionSupervisores[[#This Row],[ORDEN]])-1,_xlfn.XMATCH(TablaSupervisores[REFERENCIA],TablaSeleccionSupervisores[#Headers])))</f>
        <v>25000</v>
      </c>
      <c r="AB6" s="28" cm="1">
        <f t="array" ref="AB6">SUM(TablaSupervisores[COSTE]*INDEX(TablaSeleccionSupervisores[],ROW(TablaSeleccionSupervisores[[#This Row],[ORDEN]])-1,_xlfn.XMATCH(TablaSupervisores[REFERENCIA],TablaSeleccionSupervisores[#Headers])))</f>
        <v>28333.15</v>
      </c>
      <c r="AC6" cm="1">
        <f t="array" ref="AC6">SUM(INDEX(TablaSeleccionSupervisores[],ROW(TablaSeleccionSupervisores[[#This Row],[ORDEN]])-1,_xlfn.XMATCH(TablaSupervisores[REFERENCIA],TablaSeleccionSupervisores[#Headers])))</f>
        <v>5</v>
      </c>
      <c r="AD6" t="str" cm="1">
        <f t="array" ref="AD6">IF(INDEX(TablaSeleccionSupervisores[],ROW(TablaSeleccionSupervisores[[#This Row],[ORDEN]])-1,_xlfn.XMATCH("ADMITIDO ADSLITE",TablaSeleccionSupervisores[#Headers])+1)=0,"Sí admitido","No admitido")</f>
        <v>No admitido</v>
      </c>
      <c r="AE6">
        <v>5</v>
      </c>
      <c r="AF6">
        <v>0</v>
      </c>
      <c r="AG6">
        <v>0</v>
      </c>
      <c r="AH6">
        <v>0</v>
      </c>
    </row>
    <row r="7" spans="1:39" x14ac:dyDescent="0.25">
      <c r="L7">
        <v>6</v>
      </c>
      <c r="M7" t="s">
        <v>866</v>
      </c>
      <c r="N7" t="s">
        <v>912</v>
      </c>
      <c r="O7" t="s">
        <v>893</v>
      </c>
      <c r="P7">
        <v>15</v>
      </c>
      <c r="Q7" s="26">
        <v>9427.14</v>
      </c>
      <c r="R7">
        <v>40</v>
      </c>
      <c r="S7" t="s">
        <v>903</v>
      </c>
      <c r="T7" t="s">
        <v>905</v>
      </c>
      <c r="V7">
        <v>6</v>
      </c>
      <c r="W7" cm="1">
        <f t="array" ref="W7">SUM(TablaSupervisores[DISPOSITIVOS TOTAL]*INDEX(TablaSeleccionSupervisores[],ROW(TablaSeleccionSupervisores[[#This Row],[ORDEN]])-1,_xlfn.XMATCH(TablaSupervisores[REFERENCIA],TablaSeleccionSupervisores[#Headers])))</f>
        <v>3600</v>
      </c>
      <c r="X7" cm="1">
        <f t="array" ref="X7">SUM(TablaSupervisores[DISPOSITIVOS BACNET MS/TP JC]*INDEX(TablaSeleccionSupervisores[],ROW(TablaSeleccionSupervisores[[#This Row],[ORDEN]])-1,_xlfn.XMATCH(TablaSupervisores[REFERENCIA],TablaSeleccionSupervisores[#Headers])))</f>
        <v>1200</v>
      </c>
      <c r="Y7" cm="1">
        <f t="array" ref="Y7">SUM(TablaSupervisores[DISPOSITIVOS BACNET MS/TP COMPATIBLES]*INDEX(TablaSeleccionSupervisores[],ROW(TablaSeleccionSupervisores[[#This Row],[ORDEN]])-1,_xlfn.XMATCH(TablaSupervisores[REFERENCIA],TablaSeleccionSupervisores[#Headers])))</f>
        <v>768</v>
      </c>
      <c r="Z7" cm="1">
        <f t="array" ref="Z7">SUM(TablaSupervisores[DISPOSITIVOS BACNET IP]*INDEX(TablaSeleccionSupervisores[],ROW(TablaSeleccionSupervisores[[#This Row],[ORDEN]])-1,_xlfn.XMATCH(TablaSupervisores[REFERENCIA],TablaSeleccionSupervisores[#Headers])))</f>
        <v>2400</v>
      </c>
      <c r="AA7" cm="1">
        <f t="array" ref="AA7">SUM(TablaSupervisores[OBJETOS]*INDEX(TablaSeleccionSupervisores[],ROW(TablaSeleccionSupervisores[[#This Row],[ORDEN]])-1,_xlfn.XMATCH(TablaSupervisores[REFERENCIA],TablaSeleccionSupervisores[#Headers])))</f>
        <v>30000</v>
      </c>
      <c r="AB7" s="28" cm="1">
        <f t="array" ref="AB7">SUM(TablaSupervisores[COSTE]*INDEX(TablaSeleccionSupervisores[],ROW(TablaSeleccionSupervisores[[#This Row],[ORDEN]])-1,_xlfn.XMATCH(TablaSupervisores[REFERENCIA],TablaSeleccionSupervisores[#Headers])))</f>
        <v>33999.78</v>
      </c>
      <c r="AC7" cm="1">
        <f t="array" ref="AC7">SUM(INDEX(TablaSeleccionSupervisores[],ROW(TablaSeleccionSupervisores[[#This Row],[ORDEN]])-1,_xlfn.XMATCH(TablaSupervisores[REFERENCIA],TablaSeleccionSupervisores[#Headers])))</f>
        <v>6</v>
      </c>
      <c r="AD7" t="str" cm="1">
        <f t="array" ref="AD7">IF(INDEX(TablaSeleccionSupervisores[],ROW(TablaSeleccionSupervisores[[#This Row],[ORDEN]])-1,_xlfn.XMATCH("ADMITIDO ADSLITE",TablaSeleccionSupervisores[#Headers])+1)=0,"Sí admitido","No admitido")</f>
        <v>No admitido</v>
      </c>
      <c r="AE7">
        <v>6</v>
      </c>
      <c r="AF7">
        <v>0</v>
      </c>
      <c r="AG7">
        <v>0</v>
      </c>
      <c r="AH7">
        <v>0</v>
      </c>
    </row>
    <row r="8" spans="1:39" x14ac:dyDescent="0.25">
      <c r="L8">
        <v>7</v>
      </c>
      <c r="M8" t="s">
        <v>867</v>
      </c>
      <c r="N8" t="s">
        <v>889</v>
      </c>
      <c r="O8" t="s">
        <v>893</v>
      </c>
      <c r="P8">
        <v>15</v>
      </c>
      <c r="Q8" s="26">
        <v>5118.07</v>
      </c>
      <c r="R8">
        <v>40</v>
      </c>
      <c r="S8" t="s">
        <v>903</v>
      </c>
      <c r="T8" t="s">
        <v>906</v>
      </c>
      <c r="V8">
        <v>7</v>
      </c>
      <c r="W8" cm="1">
        <f t="array" ref="W8">SUM(TablaSupervisores[DISPOSITIVOS TOTAL]*INDEX(TablaSeleccionSupervisores[],ROW(TablaSeleccionSupervisores[[#This Row],[ORDEN]])-1,_xlfn.XMATCH(TablaSupervisores[REFERENCIA],TablaSeleccionSupervisores[#Headers])))</f>
        <v>4200</v>
      </c>
      <c r="X8" cm="1">
        <f t="array" ref="X8">SUM(TablaSupervisores[DISPOSITIVOS BACNET MS/TP JC]*INDEX(TablaSeleccionSupervisores[],ROW(TablaSeleccionSupervisores[[#This Row],[ORDEN]])-1,_xlfn.XMATCH(TablaSupervisores[REFERENCIA],TablaSeleccionSupervisores[#Headers])))</f>
        <v>1400</v>
      </c>
      <c r="Y8" cm="1">
        <f t="array" ref="Y8">SUM(TablaSupervisores[DISPOSITIVOS BACNET MS/TP COMPATIBLES]*INDEX(TablaSeleccionSupervisores[],ROW(TablaSeleccionSupervisores[[#This Row],[ORDEN]])-1,_xlfn.XMATCH(TablaSupervisores[REFERENCIA],TablaSeleccionSupervisores[#Headers])))</f>
        <v>896</v>
      </c>
      <c r="Z8" cm="1">
        <f t="array" ref="Z8">SUM(TablaSupervisores[DISPOSITIVOS BACNET IP]*INDEX(TablaSeleccionSupervisores[],ROW(TablaSeleccionSupervisores[[#This Row],[ORDEN]])-1,_xlfn.XMATCH(TablaSupervisores[REFERENCIA],TablaSeleccionSupervisores[#Headers])))</f>
        <v>2800</v>
      </c>
      <c r="AA8" cm="1">
        <f t="array" ref="AA8">SUM(TablaSupervisores[OBJETOS]*INDEX(TablaSeleccionSupervisores[],ROW(TablaSeleccionSupervisores[[#This Row],[ORDEN]])-1,_xlfn.XMATCH(TablaSupervisores[REFERENCIA],TablaSeleccionSupervisores[#Headers])))</f>
        <v>35000</v>
      </c>
      <c r="AB8" s="28" cm="1">
        <f t="array" ref="AB8">SUM(TablaSupervisores[COSTE]*INDEX(TablaSeleccionSupervisores[],ROW(TablaSeleccionSupervisores[[#This Row],[ORDEN]])-1,_xlfn.XMATCH(TablaSupervisores[REFERENCIA],TablaSeleccionSupervisores[#Headers])))</f>
        <v>39666.410000000003</v>
      </c>
      <c r="AC8" cm="1">
        <f t="array" ref="AC8">SUM(INDEX(TablaSeleccionSupervisores[],ROW(TablaSeleccionSupervisores[[#This Row],[ORDEN]])-1,_xlfn.XMATCH(TablaSupervisores[REFERENCIA],TablaSeleccionSupervisores[#Headers])))</f>
        <v>7</v>
      </c>
      <c r="AD8" t="str" cm="1">
        <f t="array" ref="AD8">IF(INDEX(TablaSeleccionSupervisores[],ROW(TablaSeleccionSupervisores[[#This Row],[ORDEN]])-1,_xlfn.XMATCH("ADMITIDO ADSLITE",TablaSeleccionSupervisores[#Headers])+1)=0,"Sí admitido","No admitido")</f>
        <v>No admitido</v>
      </c>
      <c r="AE8">
        <v>7</v>
      </c>
      <c r="AF8">
        <v>0</v>
      </c>
      <c r="AG8">
        <v>0</v>
      </c>
      <c r="AH8">
        <v>0</v>
      </c>
    </row>
    <row r="9" spans="1:39" x14ac:dyDescent="0.25">
      <c r="L9">
        <v>8</v>
      </c>
      <c r="M9" t="s">
        <v>868</v>
      </c>
      <c r="N9" t="s">
        <v>890</v>
      </c>
      <c r="O9" t="s">
        <v>893</v>
      </c>
      <c r="P9">
        <v>15</v>
      </c>
      <c r="Q9" s="26">
        <v>7246.21</v>
      </c>
      <c r="R9">
        <v>40</v>
      </c>
      <c r="S9" t="s">
        <v>903</v>
      </c>
      <c r="T9" t="s">
        <v>906</v>
      </c>
      <c r="V9">
        <v>8</v>
      </c>
      <c r="W9" cm="1">
        <f t="array" ref="W9">SUM(TablaSupervisores[DISPOSITIVOS TOTAL]*INDEX(TablaSeleccionSupervisores[],ROW(TablaSeleccionSupervisores[[#This Row],[ORDEN]])-1,_xlfn.XMATCH(TablaSupervisores[REFERENCIA],TablaSeleccionSupervisores[#Headers])))</f>
        <v>4800</v>
      </c>
      <c r="X9" cm="1">
        <f t="array" ref="X9">SUM(TablaSupervisores[DISPOSITIVOS BACNET MS/TP JC]*INDEX(TablaSeleccionSupervisores[],ROW(TablaSeleccionSupervisores[[#This Row],[ORDEN]])-1,_xlfn.XMATCH(TablaSupervisores[REFERENCIA],TablaSeleccionSupervisores[#Headers])))</f>
        <v>1600</v>
      </c>
      <c r="Y9" cm="1">
        <f t="array" ref="Y9">SUM(TablaSupervisores[DISPOSITIVOS BACNET MS/TP COMPATIBLES]*INDEX(TablaSeleccionSupervisores[],ROW(TablaSeleccionSupervisores[[#This Row],[ORDEN]])-1,_xlfn.XMATCH(TablaSupervisores[REFERENCIA],TablaSeleccionSupervisores[#Headers])))</f>
        <v>1024</v>
      </c>
      <c r="Z9" cm="1">
        <f t="array" ref="Z9">SUM(TablaSupervisores[DISPOSITIVOS BACNET IP]*INDEX(TablaSeleccionSupervisores[],ROW(TablaSeleccionSupervisores[[#This Row],[ORDEN]])-1,_xlfn.XMATCH(TablaSupervisores[REFERENCIA],TablaSeleccionSupervisores[#Headers])))</f>
        <v>3200</v>
      </c>
      <c r="AA9" cm="1">
        <f t="array" ref="AA9">SUM(TablaSupervisores[OBJETOS]*INDEX(TablaSeleccionSupervisores[],ROW(TablaSeleccionSupervisores[[#This Row],[ORDEN]])-1,_xlfn.XMATCH(TablaSupervisores[REFERENCIA],TablaSeleccionSupervisores[#Headers])))</f>
        <v>40000</v>
      </c>
      <c r="AB9" s="28" cm="1">
        <f t="array" ref="AB9">SUM(TablaSupervisores[COSTE]*INDEX(TablaSeleccionSupervisores[],ROW(TablaSeleccionSupervisores[[#This Row],[ORDEN]])-1,_xlfn.XMATCH(TablaSupervisores[REFERENCIA],TablaSeleccionSupervisores[#Headers])))</f>
        <v>45333.04</v>
      </c>
      <c r="AC9" cm="1">
        <f t="array" ref="AC9">SUM(INDEX(TablaSeleccionSupervisores[],ROW(TablaSeleccionSupervisores[[#This Row],[ORDEN]])-1,_xlfn.XMATCH(TablaSupervisores[REFERENCIA],TablaSeleccionSupervisores[#Headers])))</f>
        <v>8</v>
      </c>
      <c r="AD9" t="str" cm="1">
        <f t="array" ref="AD9">IF(INDEX(TablaSeleccionSupervisores[],ROW(TablaSeleccionSupervisores[[#This Row],[ORDEN]])-1,_xlfn.XMATCH("ADMITIDO ADSLITE",TablaSeleccionSupervisores[#Headers])+1)=0,"Sí admitido","No admitido")</f>
        <v>No admitido</v>
      </c>
      <c r="AE9">
        <v>8</v>
      </c>
      <c r="AF9">
        <v>0</v>
      </c>
      <c r="AG9">
        <v>0</v>
      </c>
      <c r="AH9">
        <v>0</v>
      </c>
    </row>
    <row r="10" spans="1:39" x14ac:dyDescent="0.25">
      <c r="L10">
        <v>9</v>
      </c>
      <c r="M10" t="s">
        <v>863</v>
      </c>
      <c r="N10" t="s">
        <v>912</v>
      </c>
      <c r="O10" t="s">
        <v>892</v>
      </c>
      <c r="P10">
        <v>15</v>
      </c>
      <c r="Q10" s="26">
        <v>21795.5</v>
      </c>
      <c r="R10">
        <v>42</v>
      </c>
      <c r="S10" t="s">
        <v>903</v>
      </c>
      <c r="T10" t="s">
        <v>905</v>
      </c>
      <c r="V10">
        <v>9</v>
      </c>
      <c r="W10" cm="1">
        <f t="array" ref="W10">SUM(TablaSupervisores[DISPOSITIVOS TOTAL]*INDEX(TablaSeleccionSupervisores[],ROW(TablaSeleccionSupervisores[[#This Row],[ORDEN]])-1,_xlfn.XMATCH(TablaSupervisores[REFERENCIA],TablaSeleccionSupervisores[#Headers])))</f>
        <v>150</v>
      </c>
      <c r="X10" cm="1">
        <f t="array" ref="X10">SUM(TablaSupervisores[DISPOSITIVOS BACNET MS/TP JC]*INDEX(TablaSeleccionSupervisores[],ROW(TablaSeleccionSupervisores[[#This Row],[ORDEN]])-1,_xlfn.XMATCH(TablaSupervisores[REFERENCIA],TablaSeleccionSupervisores[#Headers])))</f>
        <v>100</v>
      </c>
      <c r="Y10" cm="1">
        <f t="array" ref="Y10">SUM(TablaSupervisores[DISPOSITIVOS BACNET MS/TP COMPATIBLES]*INDEX(TablaSeleccionSupervisores[],ROW(TablaSeleccionSupervisores[[#This Row],[ORDEN]])-1,_xlfn.XMATCH(TablaSupervisores[REFERENCIA],TablaSeleccionSupervisores[#Headers])))</f>
        <v>64</v>
      </c>
      <c r="Z10" cm="1">
        <f t="array" ref="Z10">SUM(TablaSupervisores[DISPOSITIVOS BACNET IP]*INDEX(TablaSeleccionSupervisores[],ROW(TablaSeleccionSupervisores[[#This Row],[ORDEN]])-1,_xlfn.XMATCH(TablaSupervisores[REFERENCIA],TablaSeleccionSupervisores[#Headers])))</f>
        <v>200</v>
      </c>
      <c r="AA10" cm="1">
        <f t="array" ref="AA10">SUM(TablaSupervisores[OBJETOS]*INDEX(TablaSeleccionSupervisores[],ROW(TablaSeleccionSupervisores[[#This Row],[ORDEN]])-1,_xlfn.XMATCH(TablaSupervisores[REFERENCIA],TablaSeleccionSupervisores[#Headers])))</f>
        <v>2500</v>
      </c>
      <c r="AB10" s="28" cm="1">
        <f t="array" ref="AB10">SUM(TablaSupervisores[COSTE]*INDEX(TablaSeleccionSupervisores[],ROW(TablaSeleccionSupervisores[[#This Row],[ORDEN]])-1,_xlfn.XMATCH(TablaSupervisores[REFERENCIA],TablaSeleccionSupervisores[#Headers])))</f>
        <v>3988.73</v>
      </c>
      <c r="AC10" cm="1">
        <f t="array" ref="AC10">SUM(INDEX(TablaSeleccionSupervisores[],ROW(TablaSeleccionSupervisores[[#This Row],[ORDEN]])-1,_xlfn.XMATCH(TablaSupervisores[REFERENCIA],TablaSeleccionSupervisores[#Headers])))</f>
        <v>1</v>
      </c>
      <c r="AD10" t="str" cm="1">
        <f t="array" ref="AD10">IF(INDEX(TablaSeleccionSupervisores[],ROW(TablaSeleccionSupervisores[[#This Row],[ORDEN]])-1,_xlfn.XMATCH("ADMITIDO ADSLITE",TablaSeleccionSupervisores[#Headers])+1)=0,"Sí admitido","No admitido")</f>
        <v>Sí admitido</v>
      </c>
      <c r="AE10">
        <v>0</v>
      </c>
      <c r="AF10">
        <v>1</v>
      </c>
      <c r="AG10">
        <v>0</v>
      </c>
      <c r="AH10">
        <v>0</v>
      </c>
    </row>
    <row r="11" spans="1:39" x14ac:dyDescent="0.25">
      <c r="L11">
        <v>10</v>
      </c>
      <c r="M11" t="s">
        <v>864</v>
      </c>
      <c r="N11" t="s">
        <v>889</v>
      </c>
      <c r="O11" t="s">
        <v>892</v>
      </c>
      <c r="P11">
        <v>15</v>
      </c>
      <c r="Q11" s="26">
        <v>13348.79</v>
      </c>
      <c r="R11">
        <v>42</v>
      </c>
      <c r="S11" t="s">
        <v>903</v>
      </c>
      <c r="T11" t="s">
        <v>906</v>
      </c>
      <c r="V11">
        <v>10</v>
      </c>
      <c r="W11" cm="1">
        <f t="array" ref="W11">SUM(TablaSupervisores[DISPOSITIVOS TOTAL]*INDEX(TablaSeleccionSupervisores[],ROW(TablaSeleccionSupervisores[[#This Row],[ORDEN]])-1,_xlfn.XMATCH(TablaSupervisores[REFERENCIA],TablaSeleccionSupervisores[#Headers])))</f>
        <v>750</v>
      </c>
      <c r="X11" cm="1">
        <f t="array" ref="X11">SUM(TablaSupervisores[DISPOSITIVOS BACNET MS/TP JC]*INDEX(TablaSeleccionSupervisores[],ROW(TablaSeleccionSupervisores[[#This Row],[ORDEN]])-1,_xlfn.XMATCH(TablaSupervisores[REFERENCIA],TablaSeleccionSupervisores[#Headers])))</f>
        <v>300</v>
      </c>
      <c r="Y11" cm="1">
        <f t="array" ref="Y11">SUM(TablaSupervisores[DISPOSITIVOS BACNET MS/TP COMPATIBLES]*INDEX(TablaSeleccionSupervisores[],ROW(TablaSeleccionSupervisores[[#This Row],[ORDEN]])-1,_xlfn.XMATCH(TablaSupervisores[REFERENCIA],TablaSeleccionSupervisores[#Headers])))</f>
        <v>192</v>
      </c>
      <c r="Z11" cm="1">
        <f t="array" ref="Z11">SUM(TablaSupervisores[DISPOSITIVOS BACNET IP]*INDEX(TablaSeleccionSupervisores[],ROW(TablaSeleccionSupervisores[[#This Row],[ORDEN]])-1,_xlfn.XMATCH(TablaSupervisores[REFERENCIA],TablaSeleccionSupervisores[#Headers])))</f>
        <v>600</v>
      </c>
      <c r="AA11" cm="1">
        <f t="array" ref="AA11">SUM(TablaSupervisores[OBJETOS]*INDEX(TablaSeleccionSupervisores[],ROW(TablaSeleccionSupervisores[[#This Row],[ORDEN]])-1,_xlfn.XMATCH(TablaSupervisores[REFERENCIA],TablaSeleccionSupervisores[#Headers])))</f>
        <v>7500</v>
      </c>
      <c r="AB11" s="28" cm="1">
        <f t="array" ref="AB11">SUM(TablaSupervisores[COSTE]*INDEX(TablaSeleccionSupervisores[],ROW(TablaSeleccionSupervisores[[#This Row],[ORDEN]])-1,_xlfn.XMATCH(TablaSupervisores[REFERENCIA],TablaSeleccionSupervisores[#Headers])))</f>
        <v>9655.36</v>
      </c>
      <c r="AC11" cm="1">
        <f t="array" ref="AC11">SUM(INDEX(TablaSeleccionSupervisores[],ROW(TablaSeleccionSupervisores[[#This Row],[ORDEN]])-1,_xlfn.XMATCH(TablaSupervisores[REFERENCIA],TablaSeleccionSupervisores[#Headers])))</f>
        <v>2</v>
      </c>
      <c r="AD11" t="str" cm="1">
        <f t="array" ref="AD11">IF(INDEX(TablaSeleccionSupervisores[],ROW(TablaSeleccionSupervisores[[#This Row],[ORDEN]])-1,_xlfn.XMATCH("ADMITIDO ADSLITE",TablaSeleccionSupervisores[#Headers])+1)=0,"Sí admitido","No admitido")</f>
        <v>No admitido</v>
      </c>
      <c r="AE11">
        <v>1</v>
      </c>
      <c r="AF11">
        <v>1</v>
      </c>
      <c r="AG11">
        <v>0</v>
      </c>
      <c r="AH11">
        <v>0</v>
      </c>
    </row>
    <row r="12" spans="1:39" x14ac:dyDescent="0.25">
      <c r="L12">
        <v>11</v>
      </c>
      <c r="M12" t="s">
        <v>865</v>
      </c>
      <c r="N12" t="s">
        <v>890</v>
      </c>
      <c r="O12" t="s">
        <v>892</v>
      </c>
      <c r="P12">
        <v>15</v>
      </c>
      <c r="Q12" s="26">
        <v>17168.759999999998</v>
      </c>
      <c r="R12">
        <v>42</v>
      </c>
      <c r="S12" t="s">
        <v>903</v>
      </c>
      <c r="T12" t="s">
        <v>906</v>
      </c>
      <c r="V12">
        <v>11</v>
      </c>
      <c r="W12" cm="1">
        <f t="array" ref="W12">SUM(TablaSupervisores[DISPOSITIVOS TOTAL]*INDEX(TablaSeleccionSupervisores[],ROW(TablaSeleccionSupervisores[[#This Row],[ORDEN]])-1,_xlfn.XMATCH(TablaSupervisores[REFERENCIA],TablaSeleccionSupervisores[#Headers])))</f>
        <v>1350</v>
      </c>
      <c r="X12" cm="1">
        <f t="array" ref="X12">SUM(TablaSupervisores[DISPOSITIVOS BACNET MS/TP JC]*INDEX(TablaSeleccionSupervisores[],ROW(TablaSeleccionSupervisores[[#This Row],[ORDEN]])-1,_xlfn.XMATCH(TablaSupervisores[REFERENCIA],TablaSeleccionSupervisores[#Headers])))</f>
        <v>500</v>
      </c>
      <c r="Y12" cm="1">
        <f t="array" ref="Y12">SUM(TablaSupervisores[DISPOSITIVOS BACNET MS/TP COMPATIBLES]*INDEX(TablaSeleccionSupervisores[],ROW(TablaSeleccionSupervisores[[#This Row],[ORDEN]])-1,_xlfn.XMATCH(TablaSupervisores[REFERENCIA],TablaSeleccionSupervisores[#Headers])))</f>
        <v>320</v>
      </c>
      <c r="Z12" cm="1">
        <f t="array" ref="Z12">SUM(TablaSupervisores[DISPOSITIVOS BACNET IP]*INDEX(TablaSeleccionSupervisores[],ROW(TablaSeleccionSupervisores[[#This Row],[ORDEN]])-1,_xlfn.XMATCH(TablaSupervisores[REFERENCIA],TablaSeleccionSupervisores[#Headers])))</f>
        <v>1000</v>
      </c>
      <c r="AA12" cm="1">
        <f t="array" ref="AA12">SUM(TablaSupervisores[OBJETOS]*INDEX(TablaSeleccionSupervisores[],ROW(TablaSeleccionSupervisores[[#This Row],[ORDEN]])-1,_xlfn.XMATCH(TablaSupervisores[REFERENCIA],TablaSeleccionSupervisores[#Headers])))</f>
        <v>12500</v>
      </c>
      <c r="AB12" s="28" cm="1">
        <f t="array" ref="AB12">SUM(TablaSupervisores[COSTE]*INDEX(TablaSeleccionSupervisores[],ROW(TablaSeleccionSupervisores[[#This Row],[ORDEN]])-1,_xlfn.XMATCH(TablaSupervisores[REFERENCIA],TablaSeleccionSupervisores[#Headers])))</f>
        <v>15321.99</v>
      </c>
      <c r="AC12" cm="1">
        <f t="array" ref="AC12">SUM(INDEX(TablaSeleccionSupervisores[],ROW(TablaSeleccionSupervisores[[#This Row],[ORDEN]])-1,_xlfn.XMATCH(TablaSupervisores[REFERENCIA],TablaSeleccionSupervisores[#Headers])))</f>
        <v>3</v>
      </c>
      <c r="AD12" t="str" cm="1">
        <f t="array" ref="AD12">IF(INDEX(TablaSeleccionSupervisores[],ROW(TablaSeleccionSupervisores[[#This Row],[ORDEN]])-1,_xlfn.XMATCH("ADMITIDO ADSLITE",TablaSeleccionSupervisores[#Headers])+1)=0,"Sí admitido","No admitido")</f>
        <v>No admitido</v>
      </c>
      <c r="AE12">
        <v>2</v>
      </c>
      <c r="AF12">
        <v>1</v>
      </c>
      <c r="AG12">
        <v>0</v>
      </c>
      <c r="AH12">
        <v>0</v>
      </c>
    </row>
    <row r="13" spans="1:39" x14ac:dyDescent="0.25">
      <c r="L13">
        <v>12</v>
      </c>
      <c r="M13" t="s">
        <v>872</v>
      </c>
      <c r="N13" t="s">
        <v>912</v>
      </c>
      <c r="O13" t="s">
        <v>893</v>
      </c>
      <c r="P13">
        <v>25</v>
      </c>
      <c r="Q13" s="26">
        <v>24957.59</v>
      </c>
      <c r="R13">
        <f>9*8</f>
        <v>72</v>
      </c>
      <c r="S13" t="s">
        <v>903</v>
      </c>
      <c r="T13" t="s">
        <v>905</v>
      </c>
      <c r="V13">
        <v>12</v>
      </c>
      <c r="W13" cm="1">
        <f t="array" ref="W13">SUM(TablaSupervisores[DISPOSITIVOS TOTAL]*INDEX(TablaSeleccionSupervisores[],ROW(TablaSeleccionSupervisores[[#This Row],[ORDEN]])-1,_xlfn.XMATCH(TablaSupervisores[REFERENCIA],TablaSeleccionSupervisores[#Headers])))</f>
        <v>1950</v>
      </c>
      <c r="X13" cm="1">
        <f t="array" ref="X13">SUM(TablaSupervisores[DISPOSITIVOS BACNET MS/TP JC]*INDEX(TablaSeleccionSupervisores[],ROW(TablaSeleccionSupervisores[[#This Row],[ORDEN]])-1,_xlfn.XMATCH(TablaSupervisores[REFERENCIA],TablaSeleccionSupervisores[#Headers])))</f>
        <v>700</v>
      </c>
      <c r="Y13" cm="1">
        <f t="array" ref="Y13">SUM(TablaSupervisores[DISPOSITIVOS BACNET MS/TP COMPATIBLES]*INDEX(TablaSeleccionSupervisores[],ROW(TablaSeleccionSupervisores[[#This Row],[ORDEN]])-1,_xlfn.XMATCH(TablaSupervisores[REFERENCIA],TablaSeleccionSupervisores[#Headers])))</f>
        <v>448</v>
      </c>
      <c r="Z13" cm="1">
        <f t="array" ref="Z13">SUM(TablaSupervisores[DISPOSITIVOS BACNET IP]*INDEX(TablaSeleccionSupervisores[],ROW(TablaSeleccionSupervisores[[#This Row],[ORDEN]])-1,_xlfn.XMATCH(TablaSupervisores[REFERENCIA],TablaSeleccionSupervisores[#Headers])))</f>
        <v>1400</v>
      </c>
      <c r="AA13" cm="1">
        <f t="array" ref="AA13">SUM(TablaSupervisores[OBJETOS]*INDEX(TablaSeleccionSupervisores[],ROW(TablaSeleccionSupervisores[[#This Row],[ORDEN]])-1,_xlfn.XMATCH(TablaSupervisores[REFERENCIA],TablaSeleccionSupervisores[#Headers])))</f>
        <v>17500</v>
      </c>
      <c r="AB13" s="28" cm="1">
        <f t="array" ref="AB13">SUM(TablaSupervisores[COSTE]*INDEX(TablaSeleccionSupervisores[],ROW(TablaSeleccionSupervisores[[#This Row],[ORDEN]])-1,_xlfn.XMATCH(TablaSupervisores[REFERENCIA],TablaSeleccionSupervisores[#Headers])))</f>
        <v>20988.62</v>
      </c>
      <c r="AC13" cm="1">
        <f t="array" ref="AC13">SUM(INDEX(TablaSeleccionSupervisores[],ROW(TablaSeleccionSupervisores[[#This Row],[ORDEN]])-1,_xlfn.XMATCH(TablaSupervisores[REFERENCIA],TablaSeleccionSupervisores[#Headers])))</f>
        <v>4</v>
      </c>
      <c r="AD13" t="str" cm="1">
        <f t="array" ref="AD13">IF(INDEX(TablaSeleccionSupervisores[],ROW(TablaSeleccionSupervisores[[#This Row],[ORDEN]])-1,_xlfn.XMATCH("ADMITIDO ADSLITE",TablaSeleccionSupervisores[#Headers])+1)=0,"Sí admitido","No admitido")</f>
        <v>No admitido</v>
      </c>
      <c r="AE13">
        <v>3</v>
      </c>
      <c r="AF13">
        <v>1</v>
      </c>
      <c r="AG13">
        <v>0</v>
      </c>
      <c r="AH13">
        <v>0</v>
      </c>
    </row>
    <row r="14" spans="1:39" x14ac:dyDescent="0.25">
      <c r="L14">
        <v>13</v>
      </c>
      <c r="M14" t="s">
        <v>873</v>
      </c>
      <c r="N14" t="s">
        <v>889</v>
      </c>
      <c r="O14" t="s">
        <v>893</v>
      </c>
      <c r="P14">
        <v>25</v>
      </c>
      <c r="Q14" s="26">
        <v>10341.44</v>
      </c>
      <c r="R14">
        <f t="shared" ref="R14:R15" si="0">9*8</f>
        <v>72</v>
      </c>
      <c r="S14" t="s">
        <v>903</v>
      </c>
      <c r="T14" t="s">
        <v>906</v>
      </c>
      <c r="V14">
        <v>13</v>
      </c>
      <c r="W14" cm="1">
        <f t="array" ref="W14">SUM(TablaSupervisores[DISPOSITIVOS TOTAL]*INDEX(TablaSeleccionSupervisores[],ROW(TablaSeleccionSupervisores[[#This Row],[ORDEN]])-1,_xlfn.XMATCH(TablaSupervisores[REFERENCIA],TablaSeleccionSupervisores[#Headers])))</f>
        <v>2550</v>
      </c>
      <c r="X14" cm="1">
        <f t="array" ref="X14">SUM(TablaSupervisores[DISPOSITIVOS BACNET MS/TP JC]*INDEX(TablaSeleccionSupervisores[],ROW(TablaSeleccionSupervisores[[#This Row],[ORDEN]])-1,_xlfn.XMATCH(TablaSupervisores[REFERENCIA],TablaSeleccionSupervisores[#Headers])))</f>
        <v>900</v>
      </c>
      <c r="Y14" cm="1">
        <f t="array" ref="Y14">SUM(TablaSupervisores[DISPOSITIVOS BACNET MS/TP COMPATIBLES]*INDEX(TablaSeleccionSupervisores[],ROW(TablaSeleccionSupervisores[[#This Row],[ORDEN]])-1,_xlfn.XMATCH(TablaSupervisores[REFERENCIA],TablaSeleccionSupervisores[#Headers])))</f>
        <v>576</v>
      </c>
      <c r="Z14" cm="1">
        <f t="array" ref="Z14">SUM(TablaSupervisores[DISPOSITIVOS BACNET IP]*INDEX(TablaSeleccionSupervisores[],ROW(TablaSeleccionSupervisores[[#This Row],[ORDEN]])-1,_xlfn.XMATCH(TablaSupervisores[REFERENCIA],TablaSeleccionSupervisores[#Headers])))</f>
        <v>1800</v>
      </c>
      <c r="AA14" cm="1">
        <f t="array" ref="AA14">SUM(TablaSupervisores[OBJETOS]*INDEX(TablaSeleccionSupervisores[],ROW(TablaSeleccionSupervisores[[#This Row],[ORDEN]])-1,_xlfn.XMATCH(TablaSupervisores[REFERENCIA],TablaSeleccionSupervisores[#Headers])))</f>
        <v>22500</v>
      </c>
      <c r="AB14" s="28" cm="1">
        <f t="array" ref="AB14">SUM(TablaSupervisores[COSTE]*INDEX(TablaSeleccionSupervisores[],ROW(TablaSeleccionSupervisores[[#This Row],[ORDEN]])-1,_xlfn.XMATCH(TablaSupervisores[REFERENCIA],TablaSeleccionSupervisores[#Headers])))</f>
        <v>26655.25</v>
      </c>
      <c r="AC14" cm="1">
        <f t="array" ref="AC14">SUM(INDEX(TablaSeleccionSupervisores[],ROW(TablaSeleccionSupervisores[[#This Row],[ORDEN]])-1,_xlfn.XMATCH(TablaSupervisores[REFERENCIA],TablaSeleccionSupervisores[#Headers])))</f>
        <v>5</v>
      </c>
      <c r="AD14" t="str" cm="1">
        <f t="array" ref="AD14">IF(INDEX(TablaSeleccionSupervisores[],ROW(TablaSeleccionSupervisores[[#This Row],[ORDEN]])-1,_xlfn.XMATCH("ADMITIDO ADSLITE",TablaSeleccionSupervisores[#Headers])+1)=0,"Sí admitido","No admitido")</f>
        <v>No admitido</v>
      </c>
      <c r="AE14">
        <v>4</v>
      </c>
      <c r="AF14">
        <v>1</v>
      </c>
      <c r="AG14">
        <v>0</v>
      </c>
      <c r="AH14">
        <v>0</v>
      </c>
    </row>
    <row r="15" spans="1:39" x14ac:dyDescent="0.25">
      <c r="L15">
        <v>14</v>
      </c>
      <c r="M15" t="s">
        <v>874</v>
      </c>
      <c r="N15" t="s">
        <v>890</v>
      </c>
      <c r="O15" t="s">
        <v>893</v>
      </c>
      <c r="P15">
        <v>25</v>
      </c>
      <c r="Q15" s="26">
        <v>16323.61</v>
      </c>
      <c r="R15">
        <f t="shared" si="0"/>
        <v>72</v>
      </c>
      <c r="S15" t="s">
        <v>903</v>
      </c>
      <c r="T15" t="s">
        <v>906</v>
      </c>
      <c r="V15">
        <v>14</v>
      </c>
      <c r="W15" cm="1">
        <f t="array" ref="W15">SUM(TablaSupervisores[DISPOSITIVOS TOTAL]*INDEX(TablaSeleccionSupervisores[],ROW(TablaSeleccionSupervisores[[#This Row],[ORDEN]])-1,_xlfn.XMATCH(TablaSupervisores[REFERENCIA],TablaSeleccionSupervisores[#Headers])))</f>
        <v>3150</v>
      </c>
      <c r="X15" cm="1">
        <f t="array" ref="X15">SUM(TablaSupervisores[DISPOSITIVOS BACNET MS/TP JC]*INDEX(TablaSeleccionSupervisores[],ROW(TablaSeleccionSupervisores[[#This Row],[ORDEN]])-1,_xlfn.XMATCH(TablaSupervisores[REFERENCIA],TablaSeleccionSupervisores[#Headers])))</f>
        <v>1100</v>
      </c>
      <c r="Y15" cm="1">
        <f t="array" ref="Y15">SUM(TablaSupervisores[DISPOSITIVOS BACNET MS/TP COMPATIBLES]*INDEX(TablaSeleccionSupervisores[],ROW(TablaSeleccionSupervisores[[#This Row],[ORDEN]])-1,_xlfn.XMATCH(TablaSupervisores[REFERENCIA],TablaSeleccionSupervisores[#Headers])))</f>
        <v>704</v>
      </c>
      <c r="Z15" cm="1">
        <f t="array" ref="Z15">SUM(TablaSupervisores[DISPOSITIVOS BACNET IP]*INDEX(TablaSeleccionSupervisores[],ROW(TablaSeleccionSupervisores[[#This Row],[ORDEN]])-1,_xlfn.XMATCH(TablaSupervisores[REFERENCIA],TablaSeleccionSupervisores[#Headers])))</f>
        <v>2200</v>
      </c>
      <c r="AA15" cm="1">
        <f t="array" ref="AA15">SUM(TablaSupervisores[OBJETOS]*INDEX(TablaSeleccionSupervisores[],ROW(TablaSeleccionSupervisores[[#This Row],[ORDEN]])-1,_xlfn.XMATCH(TablaSupervisores[REFERENCIA],TablaSeleccionSupervisores[#Headers])))</f>
        <v>27500</v>
      </c>
      <c r="AB15" s="28" cm="1">
        <f t="array" ref="AB15">SUM(TablaSupervisores[COSTE]*INDEX(TablaSeleccionSupervisores[],ROW(TablaSeleccionSupervisores[[#This Row],[ORDEN]])-1,_xlfn.XMATCH(TablaSupervisores[REFERENCIA],TablaSeleccionSupervisores[#Headers])))</f>
        <v>32321.88</v>
      </c>
      <c r="AC15" cm="1">
        <f t="array" ref="AC15">SUM(INDEX(TablaSeleccionSupervisores[],ROW(TablaSeleccionSupervisores[[#This Row],[ORDEN]])-1,_xlfn.XMATCH(TablaSupervisores[REFERENCIA],TablaSeleccionSupervisores[#Headers])))</f>
        <v>6</v>
      </c>
      <c r="AD15" t="str" cm="1">
        <f t="array" ref="AD15">IF(INDEX(TablaSeleccionSupervisores[],ROW(TablaSeleccionSupervisores[[#This Row],[ORDEN]])-1,_xlfn.XMATCH("ADMITIDO ADSLITE",TablaSeleccionSupervisores[#Headers])+1)=0,"Sí admitido","No admitido")</f>
        <v>No admitido</v>
      </c>
      <c r="AE15">
        <v>5</v>
      </c>
      <c r="AF15">
        <v>1</v>
      </c>
      <c r="AG15">
        <v>0</v>
      </c>
      <c r="AH15">
        <v>0</v>
      </c>
    </row>
    <row r="16" spans="1:39" x14ac:dyDescent="0.25">
      <c r="L16">
        <v>15</v>
      </c>
      <c r="M16" t="s">
        <v>869</v>
      </c>
      <c r="N16" t="s">
        <v>912</v>
      </c>
      <c r="O16" t="s">
        <v>892</v>
      </c>
      <c r="P16">
        <v>25</v>
      </c>
      <c r="Q16" s="26">
        <v>37490.949999999997</v>
      </c>
      <c r="R16">
        <v>74</v>
      </c>
      <c r="S16" t="s">
        <v>903</v>
      </c>
      <c r="T16" t="s">
        <v>905</v>
      </c>
      <c r="V16">
        <v>15</v>
      </c>
      <c r="W16" cm="1">
        <f t="array" ref="W16">SUM(TablaSupervisores[DISPOSITIVOS TOTAL]*INDEX(TablaSeleccionSupervisores[],ROW(TablaSeleccionSupervisores[[#This Row],[ORDEN]])-1,_xlfn.XMATCH(TablaSupervisores[REFERENCIA],TablaSeleccionSupervisores[#Headers])))</f>
        <v>3750</v>
      </c>
      <c r="X16" cm="1">
        <f t="array" ref="X16">SUM(TablaSupervisores[DISPOSITIVOS BACNET MS/TP JC]*INDEX(TablaSeleccionSupervisores[],ROW(TablaSeleccionSupervisores[[#This Row],[ORDEN]])-1,_xlfn.XMATCH(TablaSupervisores[REFERENCIA],TablaSeleccionSupervisores[#Headers])))</f>
        <v>1300</v>
      </c>
      <c r="Y16" cm="1">
        <f t="array" ref="Y16">SUM(TablaSupervisores[DISPOSITIVOS BACNET MS/TP COMPATIBLES]*INDEX(TablaSeleccionSupervisores[],ROW(TablaSeleccionSupervisores[[#This Row],[ORDEN]])-1,_xlfn.XMATCH(TablaSupervisores[REFERENCIA],TablaSeleccionSupervisores[#Headers])))</f>
        <v>832</v>
      </c>
      <c r="Z16" cm="1">
        <f t="array" ref="Z16">SUM(TablaSupervisores[DISPOSITIVOS BACNET IP]*INDEX(TablaSeleccionSupervisores[],ROW(TablaSeleccionSupervisores[[#This Row],[ORDEN]])-1,_xlfn.XMATCH(TablaSupervisores[REFERENCIA],TablaSeleccionSupervisores[#Headers])))</f>
        <v>2600</v>
      </c>
      <c r="AA16" cm="1">
        <f t="array" ref="AA16">SUM(TablaSupervisores[OBJETOS]*INDEX(TablaSeleccionSupervisores[],ROW(TablaSeleccionSupervisores[[#This Row],[ORDEN]])-1,_xlfn.XMATCH(TablaSupervisores[REFERENCIA],TablaSeleccionSupervisores[#Headers])))</f>
        <v>32500</v>
      </c>
      <c r="AB16" s="28" cm="1">
        <f t="array" ref="AB16">SUM(TablaSupervisores[COSTE]*INDEX(TablaSeleccionSupervisores[],ROW(TablaSeleccionSupervisores[[#This Row],[ORDEN]])-1,_xlfn.XMATCH(TablaSupervisores[REFERENCIA],TablaSeleccionSupervisores[#Headers])))</f>
        <v>37988.51</v>
      </c>
      <c r="AC16" cm="1">
        <f t="array" ref="AC16">SUM(INDEX(TablaSeleccionSupervisores[],ROW(TablaSeleccionSupervisores[[#This Row],[ORDEN]])-1,_xlfn.XMATCH(TablaSupervisores[REFERENCIA],TablaSeleccionSupervisores[#Headers])))</f>
        <v>7</v>
      </c>
      <c r="AD16" t="str" cm="1">
        <f t="array" ref="AD16">IF(INDEX(TablaSeleccionSupervisores[],ROW(TablaSeleccionSupervisores[[#This Row],[ORDEN]])-1,_xlfn.XMATCH("ADMITIDO ADSLITE",TablaSeleccionSupervisores[#Headers])+1)=0,"Sí admitido","No admitido")</f>
        <v>No admitido</v>
      </c>
      <c r="AE16">
        <v>6</v>
      </c>
      <c r="AF16">
        <v>1</v>
      </c>
      <c r="AG16">
        <v>0</v>
      </c>
      <c r="AH16">
        <v>0</v>
      </c>
    </row>
    <row r="17" spans="3:34" x14ac:dyDescent="0.25">
      <c r="L17">
        <v>16</v>
      </c>
      <c r="M17" t="s">
        <v>870</v>
      </c>
      <c r="N17" t="s">
        <v>889</v>
      </c>
      <c r="O17" t="s">
        <v>892</v>
      </c>
      <c r="P17">
        <v>25</v>
      </c>
      <c r="Q17" s="26">
        <v>20857.830000000002</v>
      </c>
      <c r="R17">
        <v>74</v>
      </c>
      <c r="S17" t="s">
        <v>903</v>
      </c>
      <c r="T17" t="s">
        <v>906</v>
      </c>
      <c r="V17">
        <v>16</v>
      </c>
      <c r="W17" cm="1">
        <f t="array" ref="W17">SUM(TablaSupervisores[DISPOSITIVOS TOTAL]*INDEX(TablaSeleccionSupervisores[],ROW(TablaSeleccionSupervisores[[#This Row],[ORDEN]])-1,_xlfn.XMATCH(TablaSupervisores[REFERENCIA],TablaSeleccionSupervisores[#Headers])))</f>
        <v>4350</v>
      </c>
      <c r="X17" cm="1">
        <f t="array" ref="X17">SUM(TablaSupervisores[DISPOSITIVOS BACNET MS/TP JC]*INDEX(TablaSeleccionSupervisores[],ROW(TablaSeleccionSupervisores[[#This Row],[ORDEN]])-1,_xlfn.XMATCH(TablaSupervisores[REFERENCIA],TablaSeleccionSupervisores[#Headers])))</f>
        <v>1500</v>
      </c>
      <c r="Y17" cm="1">
        <f t="array" ref="Y17">SUM(TablaSupervisores[DISPOSITIVOS BACNET MS/TP COMPATIBLES]*INDEX(TablaSeleccionSupervisores[],ROW(TablaSeleccionSupervisores[[#This Row],[ORDEN]])-1,_xlfn.XMATCH(TablaSupervisores[REFERENCIA],TablaSeleccionSupervisores[#Headers])))</f>
        <v>960</v>
      </c>
      <c r="Z17" cm="1">
        <f t="array" ref="Z17">SUM(TablaSupervisores[DISPOSITIVOS BACNET IP]*INDEX(TablaSeleccionSupervisores[],ROW(TablaSeleccionSupervisores[[#This Row],[ORDEN]])-1,_xlfn.XMATCH(TablaSupervisores[REFERENCIA],TablaSeleccionSupervisores[#Headers])))</f>
        <v>3000</v>
      </c>
      <c r="AA17" cm="1">
        <f t="array" ref="AA17">SUM(TablaSupervisores[OBJETOS]*INDEX(TablaSeleccionSupervisores[],ROW(TablaSeleccionSupervisores[[#This Row],[ORDEN]])-1,_xlfn.XMATCH(TablaSupervisores[REFERENCIA],TablaSeleccionSupervisores[#Headers])))</f>
        <v>37500</v>
      </c>
      <c r="AB17" s="28" cm="1">
        <f t="array" ref="AB17">SUM(TablaSupervisores[COSTE]*INDEX(TablaSeleccionSupervisores[],ROW(TablaSeleccionSupervisores[[#This Row],[ORDEN]])-1,_xlfn.XMATCH(TablaSupervisores[REFERENCIA],TablaSeleccionSupervisores[#Headers])))</f>
        <v>43655.140000000007</v>
      </c>
      <c r="AC17" cm="1">
        <f t="array" ref="AC17">SUM(INDEX(TablaSeleccionSupervisores[],ROW(TablaSeleccionSupervisores[[#This Row],[ORDEN]])-1,_xlfn.XMATCH(TablaSupervisores[REFERENCIA],TablaSeleccionSupervisores[#Headers])))</f>
        <v>8</v>
      </c>
      <c r="AD17" t="str" cm="1">
        <f t="array" ref="AD17">IF(INDEX(TablaSeleccionSupervisores[],ROW(TablaSeleccionSupervisores[[#This Row],[ORDEN]])-1,_xlfn.XMATCH("ADMITIDO ADSLITE",TablaSeleccionSupervisores[#Headers])+1)=0,"Sí admitido","No admitido")</f>
        <v>No admitido</v>
      </c>
      <c r="AE17">
        <v>7</v>
      </c>
      <c r="AF17">
        <v>1</v>
      </c>
      <c r="AG17">
        <v>0</v>
      </c>
      <c r="AH17">
        <v>0</v>
      </c>
    </row>
    <row r="18" spans="3:34" x14ac:dyDescent="0.25">
      <c r="L18">
        <v>17</v>
      </c>
      <c r="M18" t="s">
        <v>871</v>
      </c>
      <c r="N18" t="s">
        <v>890</v>
      </c>
      <c r="O18" t="s">
        <v>892</v>
      </c>
      <c r="P18">
        <v>25</v>
      </c>
      <c r="Q18" s="26">
        <v>24900.68</v>
      </c>
      <c r="R18">
        <v>74</v>
      </c>
      <c r="S18" t="s">
        <v>903</v>
      </c>
      <c r="T18" t="s">
        <v>906</v>
      </c>
      <c r="V18">
        <v>17</v>
      </c>
      <c r="W18" cm="1">
        <f t="array" ref="W18">SUM(TablaSupervisores[DISPOSITIVOS TOTAL]*INDEX(TablaSeleccionSupervisores[],ROW(TablaSeleccionSupervisores[[#This Row],[ORDEN]])-1,_xlfn.XMATCH(TablaSupervisores[REFERENCIA],TablaSeleccionSupervisores[#Headers])))</f>
        <v>300</v>
      </c>
      <c r="X18" cm="1">
        <f t="array" ref="X18">SUM(TablaSupervisores[DISPOSITIVOS BACNET MS/TP JC]*INDEX(TablaSeleccionSupervisores[],ROW(TablaSeleccionSupervisores[[#This Row],[ORDEN]])-1,_xlfn.XMATCH(TablaSupervisores[REFERENCIA],TablaSeleccionSupervisores[#Headers])))</f>
        <v>200</v>
      </c>
      <c r="Y18" cm="1">
        <f t="array" ref="Y18">SUM(TablaSupervisores[DISPOSITIVOS BACNET MS/TP COMPATIBLES]*INDEX(TablaSeleccionSupervisores[],ROW(TablaSeleccionSupervisores[[#This Row],[ORDEN]])-1,_xlfn.XMATCH(TablaSupervisores[REFERENCIA],TablaSeleccionSupervisores[#Headers])))</f>
        <v>128</v>
      </c>
      <c r="Z18" cm="1">
        <f t="array" ref="Z18">SUM(TablaSupervisores[DISPOSITIVOS BACNET IP]*INDEX(TablaSeleccionSupervisores[],ROW(TablaSeleccionSupervisores[[#This Row],[ORDEN]])-1,_xlfn.XMATCH(TablaSupervisores[REFERENCIA],TablaSeleccionSupervisores[#Headers])))</f>
        <v>400</v>
      </c>
      <c r="AA18" cm="1">
        <f t="array" ref="AA18">SUM(TablaSupervisores[OBJETOS]*INDEX(TablaSeleccionSupervisores[],ROW(TablaSeleccionSupervisores[[#This Row],[ORDEN]])-1,_xlfn.XMATCH(TablaSupervisores[REFERENCIA],TablaSeleccionSupervisores[#Headers])))</f>
        <v>5000</v>
      </c>
      <c r="AB18" s="28" cm="1">
        <f t="array" ref="AB18">SUM(TablaSupervisores[COSTE]*INDEX(TablaSeleccionSupervisores[],ROW(TablaSeleccionSupervisores[[#This Row],[ORDEN]])-1,_xlfn.XMATCH(TablaSupervisores[REFERENCIA],TablaSeleccionSupervisores[#Headers])))</f>
        <v>7977.46</v>
      </c>
      <c r="AC18" cm="1">
        <f t="array" ref="AC18">SUM(INDEX(TablaSeleccionSupervisores[],ROW(TablaSeleccionSupervisores[[#This Row],[ORDEN]])-1,_xlfn.XMATCH(TablaSupervisores[REFERENCIA],TablaSeleccionSupervisores[#Headers])))</f>
        <v>2</v>
      </c>
      <c r="AD18" t="str" cm="1">
        <f t="array" ref="AD18">IF(INDEX(TablaSeleccionSupervisores[],ROW(TablaSeleccionSupervisores[[#This Row],[ORDEN]])-1,_xlfn.XMATCH("ADMITIDO ADSLITE",TablaSeleccionSupervisores[#Headers])+1)=0,"Sí admitido","No admitido")</f>
        <v>Sí admitido</v>
      </c>
      <c r="AE18">
        <v>0</v>
      </c>
      <c r="AF18">
        <v>2</v>
      </c>
      <c r="AG18">
        <v>0</v>
      </c>
      <c r="AH18">
        <v>0</v>
      </c>
    </row>
    <row r="19" spans="3:34" x14ac:dyDescent="0.25">
      <c r="L19">
        <v>18</v>
      </c>
      <c r="M19" t="s">
        <v>878</v>
      </c>
      <c r="N19" t="s">
        <v>912</v>
      </c>
      <c r="O19" t="s">
        <v>893</v>
      </c>
      <c r="P19">
        <v>50</v>
      </c>
      <c r="Q19" s="26">
        <v>37527.67</v>
      </c>
      <c r="R19">
        <f>15*8</f>
        <v>120</v>
      </c>
      <c r="S19" t="s">
        <v>903</v>
      </c>
      <c r="T19" t="s">
        <v>905</v>
      </c>
      <c r="V19">
        <v>18</v>
      </c>
      <c r="W19" cm="1">
        <f t="array" ref="W19">SUM(TablaSupervisores[DISPOSITIVOS TOTAL]*INDEX(TablaSeleccionSupervisores[],ROW(TablaSeleccionSupervisores[[#This Row],[ORDEN]])-1,_xlfn.XMATCH(TablaSupervisores[REFERENCIA],TablaSeleccionSupervisores[#Headers])))</f>
        <v>900</v>
      </c>
      <c r="X19" cm="1">
        <f t="array" ref="X19">SUM(TablaSupervisores[DISPOSITIVOS BACNET MS/TP JC]*INDEX(TablaSeleccionSupervisores[],ROW(TablaSeleccionSupervisores[[#This Row],[ORDEN]])-1,_xlfn.XMATCH(TablaSupervisores[REFERENCIA],TablaSeleccionSupervisores[#Headers])))</f>
        <v>400</v>
      </c>
      <c r="Y19" cm="1">
        <f t="array" ref="Y19">SUM(TablaSupervisores[DISPOSITIVOS BACNET MS/TP COMPATIBLES]*INDEX(TablaSeleccionSupervisores[],ROW(TablaSeleccionSupervisores[[#This Row],[ORDEN]])-1,_xlfn.XMATCH(TablaSupervisores[REFERENCIA],TablaSeleccionSupervisores[#Headers])))</f>
        <v>256</v>
      </c>
      <c r="Z19" cm="1">
        <f t="array" ref="Z19">SUM(TablaSupervisores[DISPOSITIVOS BACNET IP]*INDEX(TablaSeleccionSupervisores[],ROW(TablaSeleccionSupervisores[[#This Row],[ORDEN]])-1,_xlfn.XMATCH(TablaSupervisores[REFERENCIA],TablaSeleccionSupervisores[#Headers])))</f>
        <v>800</v>
      </c>
      <c r="AA19" cm="1">
        <f t="array" ref="AA19">SUM(TablaSupervisores[OBJETOS]*INDEX(TablaSeleccionSupervisores[],ROW(TablaSeleccionSupervisores[[#This Row],[ORDEN]])-1,_xlfn.XMATCH(TablaSupervisores[REFERENCIA],TablaSeleccionSupervisores[#Headers])))</f>
        <v>10000</v>
      </c>
      <c r="AB19" s="28" cm="1">
        <f t="array" ref="AB19">SUM(TablaSupervisores[COSTE]*INDEX(TablaSeleccionSupervisores[],ROW(TablaSeleccionSupervisores[[#This Row],[ORDEN]])-1,_xlfn.XMATCH(TablaSupervisores[REFERENCIA],TablaSeleccionSupervisores[#Headers])))</f>
        <v>13644.09</v>
      </c>
      <c r="AC19" cm="1">
        <f t="array" ref="AC19">SUM(INDEX(TablaSeleccionSupervisores[],ROW(TablaSeleccionSupervisores[[#This Row],[ORDEN]])-1,_xlfn.XMATCH(TablaSupervisores[REFERENCIA],TablaSeleccionSupervisores[#Headers])))</f>
        <v>3</v>
      </c>
      <c r="AD19" t="str" cm="1">
        <f t="array" ref="AD19">IF(INDEX(TablaSeleccionSupervisores[],ROW(TablaSeleccionSupervisores[[#This Row],[ORDEN]])-1,_xlfn.XMATCH("ADMITIDO ADSLITE",TablaSeleccionSupervisores[#Headers])+1)=0,"Sí admitido","No admitido")</f>
        <v>No admitido</v>
      </c>
      <c r="AE19">
        <v>1</v>
      </c>
      <c r="AF19">
        <v>2</v>
      </c>
      <c r="AG19">
        <v>0</v>
      </c>
      <c r="AH19">
        <v>0</v>
      </c>
    </row>
    <row r="20" spans="3:34" x14ac:dyDescent="0.25">
      <c r="L20">
        <v>19</v>
      </c>
      <c r="M20" t="s">
        <v>879</v>
      </c>
      <c r="N20" t="s">
        <v>889</v>
      </c>
      <c r="O20" t="s">
        <v>893</v>
      </c>
      <c r="P20">
        <v>50</v>
      </c>
      <c r="Q20" s="26">
        <v>16042.69</v>
      </c>
      <c r="R20">
        <f t="shared" ref="R20:R21" si="1">15*8</f>
        <v>120</v>
      </c>
      <c r="S20" t="s">
        <v>903</v>
      </c>
      <c r="T20" t="s">
        <v>906</v>
      </c>
      <c r="V20">
        <v>19</v>
      </c>
      <c r="W20" cm="1">
        <f t="array" ref="W20">SUM(TablaSupervisores[DISPOSITIVOS TOTAL]*INDEX(TablaSeleccionSupervisores[],ROW(TablaSeleccionSupervisores[[#This Row],[ORDEN]])-1,_xlfn.XMATCH(TablaSupervisores[REFERENCIA],TablaSeleccionSupervisores[#Headers])))</f>
        <v>1500</v>
      </c>
      <c r="X20" cm="1">
        <f t="array" ref="X20">SUM(TablaSupervisores[DISPOSITIVOS BACNET MS/TP JC]*INDEX(TablaSeleccionSupervisores[],ROW(TablaSeleccionSupervisores[[#This Row],[ORDEN]])-1,_xlfn.XMATCH(TablaSupervisores[REFERENCIA],TablaSeleccionSupervisores[#Headers])))</f>
        <v>600</v>
      </c>
      <c r="Y20" cm="1">
        <f t="array" ref="Y20">SUM(TablaSupervisores[DISPOSITIVOS BACNET MS/TP COMPATIBLES]*INDEX(TablaSeleccionSupervisores[],ROW(TablaSeleccionSupervisores[[#This Row],[ORDEN]])-1,_xlfn.XMATCH(TablaSupervisores[REFERENCIA],TablaSeleccionSupervisores[#Headers])))</f>
        <v>384</v>
      </c>
      <c r="Z20" cm="1">
        <f t="array" ref="Z20">SUM(TablaSupervisores[DISPOSITIVOS BACNET IP]*INDEX(TablaSeleccionSupervisores[],ROW(TablaSeleccionSupervisores[[#This Row],[ORDEN]])-1,_xlfn.XMATCH(TablaSupervisores[REFERENCIA],TablaSeleccionSupervisores[#Headers])))</f>
        <v>1200</v>
      </c>
      <c r="AA20" cm="1">
        <f t="array" ref="AA20">SUM(TablaSupervisores[OBJETOS]*INDEX(TablaSeleccionSupervisores[],ROW(TablaSeleccionSupervisores[[#This Row],[ORDEN]])-1,_xlfn.XMATCH(TablaSupervisores[REFERENCIA],TablaSeleccionSupervisores[#Headers])))</f>
        <v>15000</v>
      </c>
      <c r="AB20" s="28" cm="1">
        <f t="array" ref="AB20">SUM(TablaSupervisores[COSTE]*INDEX(TablaSeleccionSupervisores[],ROW(TablaSeleccionSupervisores[[#This Row],[ORDEN]])-1,_xlfn.XMATCH(TablaSupervisores[REFERENCIA],TablaSeleccionSupervisores[#Headers])))</f>
        <v>19310.72</v>
      </c>
      <c r="AC20" cm="1">
        <f t="array" ref="AC20">SUM(INDEX(TablaSeleccionSupervisores[],ROW(TablaSeleccionSupervisores[[#This Row],[ORDEN]])-1,_xlfn.XMATCH(TablaSupervisores[REFERENCIA],TablaSeleccionSupervisores[#Headers])))</f>
        <v>4</v>
      </c>
      <c r="AD20" t="str" cm="1">
        <f t="array" ref="AD20">IF(INDEX(TablaSeleccionSupervisores[],ROW(TablaSeleccionSupervisores[[#This Row],[ORDEN]])-1,_xlfn.XMATCH("ADMITIDO ADSLITE",TablaSeleccionSupervisores[#Headers])+1)=0,"Sí admitido","No admitido")</f>
        <v>No admitido</v>
      </c>
      <c r="AE20">
        <v>2</v>
      </c>
      <c r="AF20">
        <v>2</v>
      </c>
      <c r="AG20">
        <v>0</v>
      </c>
      <c r="AH20">
        <v>0</v>
      </c>
    </row>
    <row r="21" spans="3:34" x14ac:dyDescent="0.25">
      <c r="C21" t="s">
        <v>805</v>
      </c>
      <c r="D21" t="s">
        <v>885</v>
      </c>
      <c r="E21" t="s">
        <v>883</v>
      </c>
      <c r="F21" t="s">
        <v>884</v>
      </c>
      <c r="G21" t="s">
        <v>846</v>
      </c>
      <c r="L21">
        <v>20</v>
      </c>
      <c r="M21" t="s">
        <v>880</v>
      </c>
      <c r="N21" t="s">
        <v>890</v>
      </c>
      <c r="O21" t="s">
        <v>893</v>
      </c>
      <c r="P21">
        <v>50</v>
      </c>
      <c r="Q21" s="26">
        <v>22732.04</v>
      </c>
      <c r="R21">
        <f t="shared" si="1"/>
        <v>120</v>
      </c>
      <c r="S21" t="s">
        <v>903</v>
      </c>
      <c r="T21" t="s">
        <v>906</v>
      </c>
      <c r="V21">
        <v>20</v>
      </c>
      <c r="W21" cm="1">
        <f t="array" ref="W21">SUM(TablaSupervisores[DISPOSITIVOS TOTAL]*INDEX(TablaSeleccionSupervisores[],ROW(TablaSeleccionSupervisores[[#This Row],[ORDEN]])-1,_xlfn.XMATCH(TablaSupervisores[REFERENCIA],TablaSeleccionSupervisores[#Headers])))</f>
        <v>2100</v>
      </c>
      <c r="X21" cm="1">
        <f t="array" ref="X21">SUM(TablaSupervisores[DISPOSITIVOS BACNET MS/TP JC]*INDEX(TablaSeleccionSupervisores[],ROW(TablaSeleccionSupervisores[[#This Row],[ORDEN]])-1,_xlfn.XMATCH(TablaSupervisores[REFERENCIA],TablaSeleccionSupervisores[#Headers])))</f>
        <v>800</v>
      </c>
      <c r="Y21" cm="1">
        <f t="array" ref="Y21">SUM(TablaSupervisores[DISPOSITIVOS BACNET MS/TP COMPATIBLES]*INDEX(TablaSeleccionSupervisores[],ROW(TablaSeleccionSupervisores[[#This Row],[ORDEN]])-1,_xlfn.XMATCH(TablaSupervisores[REFERENCIA],TablaSeleccionSupervisores[#Headers])))</f>
        <v>512</v>
      </c>
      <c r="Z21" cm="1">
        <f t="array" ref="Z21">SUM(TablaSupervisores[DISPOSITIVOS BACNET IP]*INDEX(TablaSeleccionSupervisores[],ROW(TablaSeleccionSupervisores[[#This Row],[ORDEN]])-1,_xlfn.XMATCH(TablaSupervisores[REFERENCIA],TablaSeleccionSupervisores[#Headers])))</f>
        <v>1600</v>
      </c>
      <c r="AA21" cm="1">
        <f t="array" ref="AA21">SUM(TablaSupervisores[OBJETOS]*INDEX(TablaSeleccionSupervisores[],ROW(TablaSeleccionSupervisores[[#This Row],[ORDEN]])-1,_xlfn.XMATCH(TablaSupervisores[REFERENCIA],TablaSeleccionSupervisores[#Headers])))</f>
        <v>20000</v>
      </c>
      <c r="AB21" s="28" cm="1">
        <f t="array" ref="AB21">SUM(TablaSupervisores[COSTE]*INDEX(TablaSeleccionSupervisores[],ROW(TablaSeleccionSupervisores[[#This Row],[ORDEN]])-1,_xlfn.XMATCH(TablaSupervisores[REFERENCIA],TablaSeleccionSupervisores[#Headers])))</f>
        <v>24977.35</v>
      </c>
      <c r="AC21" cm="1">
        <f t="array" ref="AC21">SUM(INDEX(TablaSeleccionSupervisores[],ROW(TablaSeleccionSupervisores[[#This Row],[ORDEN]])-1,_xlfn.XMATCH(TablaSupervisores[REFERENCIA],TablaSeleccionSupervisores[#Headers])))</f>
        <v>5</v>
      </c>
      <c r="AD21" t="str" cm="1">
        <f t="array" ref="AD21">IF(INDEX(TablaSeleccionSupervisores[],ROW(TablaSeleccionSupervisores[[#This Row],[ORDEN]])-1,_xlfn.XMATCH("ADMITIDO ADSLITE",TablaSeleccionSupervisores[#Headers])+1)=0,"Sí admitido","No admitido")</f>
        <v>No admitido</v>
      </c>
      <c r="AE21">
        <v>3</v>
      </c>
      <c r="AF21">
        <v>2</v>
      </c>
      <c r="AG21">
        <v>0</v>
      </c>
      <c r="AH21">
        <v>0</v>
      </c>
    </row>
    <row r="22" spans="3:34" x14ac:dyDescent="0.25">
      <c r="C22">
        <f>SUM(D22:F22)</f>
        <v>2315</v>
      </c>
      <c r="D22">
        <v>685</v>
      </c>
      <c r="E22">
        <v>950</v>
      </c>
      <c r="F22">
        <v>680</v>
      </c>
      <c r="G22">
        <v>17500</v>
      </c>
      <c r="L22">
        <v>21</v>
      </c>
      <c r="M22" t="s">
        <v>875</v>
      </c>
      <c r="N22" t="s">
        <v>912</v>
      </c>
      <c r="O22" t="s">
        <v>892</v>
      </c>
      <c r="P22">
        <v>50</v>
      </c>
      <c r="Q22" s="26">
        <v>53225.07</v>
      </c>
      <c r="R22">
        <v>122</v>
      </c>
      <c r="S22" t="s">
        <v>903</v>
      </c>
      <c r="T22" t="s">
        <v>905</v>
      </c>
      <c r="V22">
        <v>21</v>
      </c>
      <c r="W22" cm="1">
        <f t="array" ref="W22">SUM(TablaSupervisores[DISPOSITIVOS TOTAL]*INDEX(TablaSeleccionSupervisores[],ROW(TablaSeleccionSupervisores[[#This Row],[ORDEN]])-1,_xlfn.XMATCH(TablaSupervisores[REFERENCIA],TablaSeleccionSupervisores[#Headers])))</f>
        <v>2700</v>
      </c>
      <c r="X22" cm="1">
        <f t="array" ref="X22">SUM(TablaSupervisores[DISPOSITIVOS BACNET MS/TP JC]*INDEX(TablaSeleccionSupervisores[],ROW(TablaSeleccionSupervisores[[#This Row],[ORDEN]])-1,_xlfn.XMATCH(TablaSupervisores[REFERENCIA],TablaSeleccionSupervisores[#Headers])))</f>
        <v>1000</v>
      </c>
      <c r="Y22" cm="1">
        <f t="array" ref="Y22">SUM(TablaSupervisores[DISPOSITIVOS BACNET MS/TP COMPATIBLES]*INDEX(TablaSeleccionSupervisores[],ROW(TablaSeleccionSupervisores[[#This Row],[ORDEN]])-1,_xlfn.XMATCH(TablaSupervisores[REFERENCIA],TablaSeleccionSupervisores[#Headers])))</f>
        <v>640</v>
      </c>
      <c r="Z22" cm="1">
        <f t="array" ref="Z22">SUM(TablaSupervisores[DISPOSITIVOS BACNET IP]*INDEX(TablaSeleccionSupervisores[],ROW(TablaSeleccionSupervisores[[#This Row],[ORDEN]])-1,_xlfn.XMATCH(TablaSupervisores[REFERENCIA],TablaSeleccionSupervisores[#Headers])))</f>
        <v>2000</v>
      </c>
      <c r="AA22" cm="1">
        <f t="array" ref="AA22">SUM(TablaSupervisores[OBJETOS]*INDEX(TablaSeleccionSupervisores[],ROW(TablaSeleccionSupervisores[[#This Row],[ORDEN]])-1,_xlfn.XMATCH(TablaSupervisores[REFERENCIA],TablaSeleccionSupervisores[#Headers])))</f>
        <v>25000</v>
      </c>
      <c r="AB22" s="28" cm="1">
        <f t="array" ref="AB22">SUM(TablaSupervisores[COSTE]*INDEX(TablaSeleccionSupervisores[],ROW(TablaSeleccionSupervisores[[#This Row],[ORDEN]])-1,_xlfn.XMATCH(TablaSupervisores[REFERENCIA],TablaSeleccionSupervisores[#Headers])))</f>
        <v>30643.98</v>
      </c>
      <c r="AC22" cm="1">
        <f t="array" ref="AC22">SUM(INDEX(TablaSeleccionSupervisores[],ROW(TablaSeleccionSupervisores[[#This Row],[ORDEN]])-1,_xlfn.XMATCH(TablaSupervisores[REFERENCIA],TablaSeleccionSupervisores[#Headers])))</f>
        <v>6</v>
      </c>
      <c r="AD22" t="str" cm="1">
        <f t="array" ref="AD22">IF(INDEX(TablaSeleccionSupervisores[],ROW(TablaSeleccionSupervisores[[#This Row],[ORDEN]])-1,_xlfn.XMATCH("ADMITIDO ADSLITE",TablaSeleccionSupervisores[#Headers])+1)=0,"Sí admitido","No admitido")</f>
        <v>No admitido</v>
      </c>
      <c r="AE22">
        <v>4</v>
      </c>
      <c r="AF22">
        <v>2</v>
      </c>
      <c r="AG22">
        <v>0</v>
      </c>
      <c r="AH22">
        <v>0</v>
      </c>
    </row>
    <row r="23" spans="3:34" x14ac:dyDescent="0.25">
      <c r="L23">
        <v>22</v>
      </c>
      <c r="M23" t="s">
        <v>876</v>
      </c>
      <c r="N23" t="s">
        <v>889</v>
      </c>
      <c r="O23" t="s">
        <v>892</v>
      </c>
      <c r="P23">
        <v>50</v>
      </c>
      <c r="Q23" s="26">
        <v>29911.75</v>
      </c>
      <c r="R23">
        <v>122</v>
      </c>
      <c r="S23" t="s">
        <v>903</v>
      </c>
      <c r="T23" t="s">
        <v>906</v>
      </c>
      <c r="V23">
        <v>22</v>
      </c>
      <c r="W23" cm="1">
        <f t="array" ref="W23">SUM(TablaSupervisores[DISPOSITIVOS TOTAL]*INDEX(TablaSeleccionSupervisores[],ROW(TablaSeleccionSupervisores[[#This Row],[ORDEN]])-1,_xlfn.XMATCH(TablaSupervisores[REFERENCIA],TablaSeleccionSupervisores[#Headers])))</f>
        <v>3300</v>
      </c>
      <c r="X23" cm="1">
        <f t="array" ref="X23">SUM(TablaSupervisores[DISPOSITIVOS BACNET MS/TP JC]*INDEX(TablaSeleccionSupervisores[],ROW(TablaSeleccionSupervisores[[#This Row],[ORDEN]])-1,_xlfn.XMATCH(TablaSupervisores[REFERENCIA],TablaSeleccionSupervisores[#Headers])))</f>
        <v>1200</v>
      </c>
      <c r="Y23" cm="1">
        <f t="array" ref="Y23">SUM(TablaSupervisores[DISPOSITIVOS BACNET MS/TP COMPATIBLES]*INDEX(TablaSeleccionSupervisores[],ROW(TablaSeleccionSupervisores[[#This Row],[ORDEN]])-1,_xlfn.XMATCH(TablaSupervisores[REFERENCIA],TablaSeleccionSupervisores[#Headers])))</f>
        <v>768</v>
      </c>
      <c r="Z23" cm="1">
        <f t="array" ref="Z23">SUM(TablaSupervisores[DISPOSITIVOS BACNET IP]*INDEX(TablaSeleccionSupervisores[],ROW(TablaSeleccionSupervisores[[#This Row],[ORDEN]])-1,_xlfn.XMATCH(TablaSupervisores[REFERENCIA],TablaSeleccionSupervisores[#Headers])))</f>
        <v>2400</v>
      </c>
      <c r="AA23" cm="1">
        <f t="array" ref="AA23">SUM(TablaSupervisores[OBJETOS]*INDEX(TablaSeleccionSupervisores[],ROW(TablaSeleccionSupervisores[[#This Row],[ORDEN]])-1,_xlfn.XMATCH(TablaSupervisores[REFERENCIA],TablaSeleccionSupervisores[#Headers])))</f>
        <v>30000</v>
      </c>
      <c r="AB23" s="28" cm="1">
        <f t="array" ref="AB23">SUM(TablaSupervisores[COSTE]*INDEX(TablaSeleccionSupervisores[],ROW(TablaSeleccionSupervisores[[#This Row],[ORDEN]])-1,_xlfn.XMATCH(TablaSupervisores[REFERENCIA],TablaSeleccionSupervisores[#Headers])))</f>
        <v>36310.61</v>
      </c>
      <c r="AC23" cm="1">
        <f t="array" ref="AC23">SUM(INDEX(TablaSeleccionSupervisores[],ROW(TablaSeleccionSupervisores[[#This Row],[ORDEN]])-1,_xlfn.XMATCH(TablaSupervisores[REFERENCIA],TablaSeleccionSupervisores[#Headers])))</f>
        <v>7</v>
      </c>
      <c r="AD23" t="str" cm="1">
        <f t="array" ref="AD23">IF(INDEX(TablaSeleccionSupervisores[],ROW(TablaSeleccionSupervisores[[#This Row],[ORDEN]])-1,_xlfn.XMATCH("ADMITIDO ADSLITE",TablaSeleccionSupervisores[#Headers])+1)=0,"Sí admitido","No admitido")</f>
        <v>No admitido</v>
      </c>
      <c r="AE23">
        <v>5</v>
      </c>
      <c r="AF23">
        <v>2</v>
      </c>
      <c r="AG23">
        <v>0</v>
      </c>
      <c r="AH23">
        <v>0</v>
      </c>
    </row>
    <row r="24" spans="3:34" x14ac:dyDescent="0.25">
      <c r="L24">
        <v>23</v>
      </c>
      <c r="M24" t="s">
        <v>877</v>
      </c>
      <c r="N24" t="s">
        <v>890</v>
      </c>
      <c r="O24" t="s">
        <v>892</v>
      </c>
      <c r="P24">
        <v>50</v>
      </c>
      <c r="Q24" s="26">
        <v>38677.07</v>
      </c>
      <c r="R24">
        <v>122</v>
      </c>
      <c r="S24" t="s">
        <v>903</v>
      </c>
      <c r="T24" t="s">
        <v>906</v>
      </c>
      <c r="V24">
        <v>23</v>
      </c>
      <c r="W24" cm="1">
        <f t="array" ref="W24">SUM(TablaSupervisores[DISPOSITIVOS TOTAL]*INDEX(TablaSeleccionSupervisores[],ROW(TablaSeleccionSupervisores[[#This Row],[ORDEN]])-1,_xlfn.XMATCH(TablaSupervisores[REFERENCIA],TablaSeleccionSupervisores[#Headers])))</f>
        <v>3900</v>
      </c>
      <c r="X24" cm="1">
        <f t="array" ref="X24">SUM(TablaSupervisores[DISPOSITIVOS BACNET MS/TP JC]*INDEX(TablaSeleccionSupervisores[],ROW(TablaSeleccionSupervisores[[#This Row],[ORDEN]])-1,_xlfn.XMATCH(TablaSupervisores[REFERENCIA],TablaSeleccionSupervisores[#Headers])))</f>
        <v>1400</v>
      </c>
      <c r="Y24" cm="1">
        <f t="array" ref="Y24">SUM(TablaSupervisores[DISPOSITIVOS BACNET MS/TP COMPATIBLES]*INDEX(TablaSeleccionSupervisores[],ROW(TablaSeleccionSupervisores[[#This Row],[ORDEN]])-1,_xlfn.XMATCH(TablaSupervisores[REFERENCIA],TablaSeleccionSupervisores[#Headers])))</f>
        <v>896</v>
      </c>
      <c r="Z24" cm="1">
        <f t="array" ref="Z24">SUM(TablaSupervisores[DISPOSITIVOS BACNET IP]*INDEX(TablaSeleccionSupervisores[],ROW(TablaSeleccionSupervisores[[#This Row],[ORDEN]])-1,_xlfn.XMATCH(TablaSupervisores[REFERENCIA],TablaSeleccionSupervisores[#Headers])))</f>
        <v>2800</v>
      </c>
      <c r="AA24" cm="1">
        <f t="array" ref="AA24">SUM(TablaSupervisores[OBJETOS]*INDEX(TablaSeleccionSupervisores[],ROW(TablaSeleccionSupervisores[[#This Row],[ORDEN]])-1,_xlfn.XMATCH(TablaSupervisores[REFERENCIA],TablaSeleccionSupervisores[#Headers])))</f>
        <v>35000</v>
      </c>
      <c r="AB24" s="28" cm="1">
        <f t="array" ref="AB24">SUM(TablaSupervisores[COSTE]*INDEX(TablaSeleccionSupervisores[],ROW(TablaSeleccionSupervisores[[#This Row],[ORDEN]])-1,_xlfn.XMATCH(TablaSupervisores[REFERENCIA],TablaSeleccionSupervisores[#Headers])))</f>
        <v>41977.24</v>
      </c>
      <c r="AC24" cm="1">
        <f t="array" ref="AC24">SUM(INDEX(TablaSeleccionSupervisores[],ROW(TablaSeleccionSupervisores[[#This Row],[ORDEN]])-1,_xlfn.XMATCH(TablaSupervisores[REFERENCIA],TablaSeleccionSupervisores[#Headers])))</f>
        <v>8</v>
      </c>
      <c r="AD24" t="str" cm="1">
        <f t="array" ref="AD24">IF(INDEX(TablaSeleccionSupervisores[],ROW(TablaSeleccionSupervisores[[#This Row],[ORDEN]])-1,_xlfn.XMATCH("ADMITIDO ADSLITE",TablaSeleccionSupervisores[#Headers])+1)=0,"Sí admitido","No admitido")</f>
        <v>No admitido</v>
      </c>
      <c r="AE24">
        <v>6</v>
      </c>
      <c r="AF24">
        <v>2</v>
      </c>
      <c r="AG24">
        <v>0</v>
      </c>
      <c r="AH24">
        <v>0</v>
      </c>
    </row>
    <row r="25" spans="3:34" x14ac:dyDescent="0.25">
      <c r="L25">
        <v>24</v>
      </c>
      <c r="M25" t="s">
        <v>860</v>
      </c>
      <c r="N25" t="s">
        <v>912</v>
      </c>
      <c r="O25" t="s">
        <v>893</v>
      </c>
      <c r="P25">
        <v>100</v>
      </c>
      <c r="Q25" s="26">
        <v>54516.85</v>
      </c>
      <c r="R25">
        <f>20*8</f>
        <v>160</v>
      </c>
      <c r="S25" t="s">
        <v>903</v>
      </c>
      <c r="T25" t="s">
        <v>905</v>
      </c>
      <c r="V25">
        <v>24</v>
      </c>
      <c r="W25" cm="1">
        <f t="array" ref="W25">SUM(TablaSupervisores[DISPOSITIVOS TOTAL]*INDEX(TablaSeleccionSupervisores[],ROW(TablaSeleccionSupervisores[[#This Row],[ORDEN]])-1,_xlfn.XMATCH(TablaSupervisores[REFERENCIA],TablaSeleccionSupervisores[#Headers])))</f>
        <v>450</v>
      </c>
      <c r="X25" cm="1">
        <f t="array" ref="X25">SUM(TablaSupervisores[DISPOSITIVOS BACNET MS/TP JC]*INDEX(TablaSeleccionSupervisores[],ROW(TablaSeleccionSupervisores[[#This Row],[ORDEN]])-1,_xlfn.XMATCH(TablaSupervisores[REFERENCIA],TablaSeleccionSupervisores[#Headers])))</f>
        <v>300</v>
      </c>
      <c r="Y25" cm="1">
        <f t="array" ref="Y25">SUM(TablaSupervisores[DISPOSITIVOS BACNET MS/TP COMPATIBLES]*INDEX(TablaSeleccionSupervisores[],ROW(TablaSeleccionSupervisores[[#This Row],[ORDEN]])-1,_xlfn.XMATCH(TablaSupervisores[REFERENCIA],TablaSeleccionSupervisores[#Headers])))</f>
        <v>192</v>
      </c>
      <c r="Z25" cm="1">
        <f t="array" ref="Z25">SUM(TablaSupervisores[DISPOSITIVOS BACNET IP]*INDEX(TablaSeleccionSupervisores[],ROW(TablaSeleccionSupervisores[[#This Row],[ORDEN]])-1,_xlfn.XMATCH(TablaSupervisores[REFERENCIA],TablaSeleccionSupervisores[#Headers])))</f>
        <v>600</v>
      </c>
      <c r="AA25" cm="1">
        <f t="array" ref="AA25">SUM(TablaSupervisores[OBJETOS]*INDEX(TablaSeleccionSupervisores[],ROW(TablaSeleccionSupervisores[[#This Row],[ORDEN]])-1,_xlfn.XMATCH(TablaSupervisores[REFERENCIA],TablaSeleccionSupervisores[#Headers])))</f>
        <v>7500</v>
      </c>
      <c r="AB25" s="28" cm="1">
        <f t="array" ref="AB25">SUM(TablaSupervisores[COSTE]*INDEX(TablaSeleccionSupervisores[],ROW(TablaSeleccionSupervisores[[#This Row],[ORDEN]])-1,_xlfn.XMATCH(TablaSupervisores[REFERENCIA],TablaSeleccionSupervisores[#Headers])))</f>
        <v>11966.19</v>
      </c>
      <c r="AC25" cm="1">
        <f t="array" ref="AC25">SUM(INDEX(TablaSeleccionSupervisores[],ROW(TablaSeleccionSupervisores[[#This Row],[ORDEN]])-1,_xlfn.XMATCH(TablaSupervisores[REFERENCIA],TablaSeleccionSupervisores[#Headers])))</f>
        <v>3</v>
      </c>
      <c r="AD25" t="str" cm="1">
        <f t="array" ref="AD25">IF(INDEX(TablaSeleccionSupervisores[],ROW(TablaSeleccionSupervisores[[#This Row],[ORDEN]])-1,_xlfn.XMATCH("ADMITIDO ADSLITE",TablaSeleccionSupervisores[#Headers])+1)=0,"Sí admitido","No admitido")</f>
        <v>Sí admitido</v>
      </c>
      <c r="AE25">
        <v>0</v>
      </c>
      <c r="AF25">
        <v>3</v>
      </c>
      <c r="AG25">
        <v>0</v>
      </c>
      <c r="AH25">
        <v>0</v>
      </c>
    </row>
    <row r="26" spans="3:34" x14ac:dyDescent="0.25">
      <c r="D26" t="s">
        <v>886</v>
      </c>
      <c r="E26" t="e">
        <f>IF(F22&gt;0,ROUNDUP(SUM(E22:F22)/#REF!,0),ROUNDUP(E22/#REF!,0))</f>
        <v>#REF!</v>
      </c>
      <c r="L26">
        <v>25</v>
      </c>
      <c r="M26" t="s">
        <v>861</v>
      </c>
      <c r="N26" t="s">
        <v>889</v>
      </c>
      <c r="O26" t="s">
        <v>893</v>
      </c>
      <c r="P26">
        <v>100</v>
      </c>
      <c r="Q26" s="26">
        <v>21379.02</v>
      </c>
      <c r="R26">
        <f t="shared" ref="R26:R27" si="2">20*8</f>
        <v>160</v>
      </c>
      <c r="S26" t="s">
        <v>903</v>
      </c>
      <c r="T26" t="s">
        <v>906</v>
      </c>
      <c r="V26">
        <v>25</v>
      </c>
      <c r="W26" cm="1">
        <f t="array" ref="W26">SUM(TablaSupervisores[DISPOSITIVOS TOTAL]*INDEX(TablaSeleccionSupervisores[],ROW(TablaSeleccionSupervisores[[#This Row],[ORDEN]])-1,_xlfn.XMATCH(TablaSupervisores[REFERENCIA],TablaSeleccionSupervisores[#Headers])))</f>
        <v>1050</v>
      </c>
      <c r="X26" cm="1">
        <f t="array" ref="X26">SUM(TablaSupervisores[DISPOSITIVOS BACNET MS/TP JC]*INDEX(TablaSeleccionSupervisores[],ROW(TablaSeleccionSupervisores[[#This Row],[ORDEN]])-1,_xlfn.XMATCH(TablaSupervisores[REFERENCIA],TablaSeleccionSupervisores[#Headers])))</f>
        <v>500</v>
      </c>
      <c r="Y26" cm="1">
        <f t="array" ref="Y26">SUM(TablaSupervisores[DISPOSITIVOS BACNET MS/TP COMPATIBLES]*INDEX(TablaSeleccionSupervisores[],ROW(TablaSeleccionSupervisores[[#This Row],[ORDEN]])-1,_xlfn.XMATCH(TablaSupervisores[REFERENCIA],TablaSeleccionSupervisores[#Headers])))</f>
        <v>320</v>
      </c>
      <c r="Z26" cm="1">
        <f t="array" ref="Z26">SUM(TablaSupervisores[DISPOSITIVOS BACNET IP]*INDEX(TablaSeleccionSupervisores[],ROW(TablaSeleccionSupervisores[[#This Row],[ORDEN]])-1,_xlfn.XMATCH(TablaSupervisores[REFERENCIA],TablaSeleccionSupervisores[#Headers])))</f>
        <v>1000</v>
      </c>
      <c r="AA26" cm="1">
        <f t="array" ref="AA26">SUM(TablaSupervisores[OBJETOS]*INDEX(TablaSeleccionSupervisores[],ROW(TablaSeleccionSupervisores[[#This Row],[ORDEN]])-1,_xlfn.XMATCH(TablaSupervisores[REFERENCIA],TablaSeleccionSupervisores[#Headers])))</f>
        <v>12500</v>
      </c>
      <c r="AB26" s="28" cm="1">
        <f t="array" ref="AB26">SUM(TablaSupervisores[COSTE]*INDEX(TablaSeleccionSupervisores[],ROW(TablaSeleccionSupervisores[[#This Row],[ORDEN]])-1,_xlfn.XMATCH(TablaSupervisores[REFERENCIA],TablaSeleccionSupervisores[#Headers])))</f>
        <v>17632.82</v>
      </c>
      <c r="AC26" cm="1">
        <f t="array" ref="AC26">SUM(INDEX(TablaSeleccionSupervisores[],ROW(TablaSeleccionSupervisores[[#This Row],[ORDEN]])-1,_xlfn.XMATCH(TablaSupervisores[REFERENCIA],TablaSeleccionSupervisores[#Headers])))</f>
        <v>4</v>
      </c>
      <c r="AD26" t="str" cm="1">
        <f t="array" ref="AD26">IF(INDEX(TablaSeleccionSupervisores[],ROW(TablaSeleccionSupervisores[[#This Row],[ORDEN]])-1,_xlfn.XMATCH("ADMITIDO ADSLITE",TablaSeleccionSupervisores[#Headers])+1)=0,"Sí admitido","No admitido")</f>
        <v>No admitido</v>
      </c>
      <c r="AE26">
        <v>1</v>
      </c>
      <c r="AF26">
        <v>3</v>
      </c>
      <c r="AG26">
        <v>0</v>
      </c>
      <c r="AH26">
        <v>0</v>
      </c>
    </row>
    <row r="27" spans="3:34" x14ac:dyDescent="0.25">
      <c r="D27" t="s">
        <v>887</v>
      </c>
      <c r="E27">
        <f>ROUNDUP(G22/2500,0)</f>
        <v>7</v>
      </c>
      <c r="L27">
        <v>26</v>
      </c>
      <c r="M27" t="s">
        <v>862</v>
      </c>
      <c r="N27" t="s">
        <v>890</v>
      </c>
      <c r="O27" t="s">
        <v>893</v>
      </c>
      <c r="P27">
        <v>100</v>
      </c>
      <c r="Q27" s="26">
        <v>35391.46</v>
      </c>
      <c r="R27">
        <f t="shared" si="2"/>
        <v>160</v>
      </c>
      <c r="S27" t="s">
        <v>903</v>
      </c>
      <c r="T27" t="s">
        <v>906</v>
      </c>
      <c r="V27">
        <v>26</v>
      </c>
      <c r="W27" cm="1">
        <f t="array" ref="W27">SUM(TablaSupervisores[DISPOSITIVOS TOTAL]*INDEX(TablaSeleccionSupervisores[],ROW(TablaSeleccionSupervisores[[#This Row],[ORDEN]])-1,_xlfn.XMATCH(TablaSupervisores[REFERENCIA],TablaSeleccionSupervisores[#Headers])))</f>
        <v>1650</v>
      </c>
      <c r="X27" cm="1">
        <f t="array" ref="X27">SUM(TablaSupervisores[DISPOSITIVOS BACNET MS/TP JC]*INDEX(TablaSeleccionSupervisores[],ROW(TablaSeleccionSupervisores[[#This Row],[ORDEN]])-1,_xlfn.XMATCH(TablaSupervisores[REFERENCIA],TablaSeleccionSupervisores[#Headers])))</f>
        <v>700</v>
      </c>
      <c r="Y27" cm="1">
        <f t="array" ref="Y27">SUM(TablaSupervisores[DISPOSITIVOS BACNET MS/TP COMPATIBLES]*INDEX(TablaSeleccionSupervisores[],ROW(TablaSeleccionSupervisores[[#This Row],[ORDEN]])-1,_xlfn.XMATCH(TablaSupervisores[REFERENCIA],TablaSeleccionSupervisores[#Headers])))</f>
        <v>448</v>
      </c>
      <c r="Z27" cm="1">
        <f t="array" ref="Z27">SUM(TablaSupervisores[DISPOSITIVOS BACNET IP]*INDEX(TablaSeleccionSupervisores[],ROW(TablaSeleccionSupervisores[[#This Row],[ORDEN]])-1,_xlfn.XMATCH(TablaSupervisores[REFERENCIA],TablaSeleccionSupervisores[#Headers])))</f>
        <v>1400</v>
      </c>
      <c r="AA27" cm="1">
        <f t="array" ref="AA27">SUM(TablaSupervisores[OBJETOS]*INDEX(TablaSeleccionSupervisores[],ROW(TablaSeleccionSupervisores[[#This Row],[ORDEN]])-1,_xlfn.XMATCH(TablaSupervisores[REFERENCIA],TablaSeleccionSupervisores[#Headers])))</f>
        <v>17500</v>
      </c>
      <c r="AB27" s="28" cm="1">
        <f t="array" ref="AB27">SUM(TablaSupervisores[COSTE]*INDEX(TablaSeleccionSupervisores[],ROW(TablaSeleccionSupervisores[[#This Row],[ORDEN]])-1,_xlfn.XMATCH(TablaSupervisores[REFERENCIA],TablaSeleccionSupervisores[#Headers])))</f>
        <v>23299.45</v>
      </c>
      <c r="AC27" cm="1">
        <f t="array" ref="AC27">SUM(INDEX(TablaSeleccionSupervisores[],ROW(TablaSeleccionSupervisores[[#This Row],[ORDEN]])-1,_xlfn.XMATCH(TablaSupervisores[REFERENCIA],TablaSeleccionSupervisores[#Headers])))</f>
        <v>5</v>
      </c>
      <c r="AD27" t="str" cm="1">
        <f t="array" ref="AD27">IF(INDEX(TablaSeleccionSupervisores[],ROW(TablaSeleccionSupervisores[[#This Row],[ORDEN]])-1,_xlfn.XMATCH("ADMITIDO ADSLITE",TablaSeleccionSupervisores[#Headers])+1)=0,"Sí admitido","No admitido")</f>
        <v>No admitido</v>
      </c>
      <c r="AE27">
        <v>2</v>
      </c>
      <c r="AF27">
        <v>3</v>
      </c>
      <c r="AG27">
        <v>0</v>
      </c>
      <c r="AH27">
        <v>0</v>
      </c>
    </row>
    <row r="28" spans="3:34" x14ac:dyDescent="0.25">
      <c r="D28" t="s">
        <v>888</v>
      </c>
      <c r="E28">
        <f>ROUNDUP(C22/60,0)</f>
        <v>39</v>
      </c>
      <c r="L28">
        <v>27</v>
      </c>
      <c r="M28" t="s">
        <v>857</v>
      </c>
      <c r="N28" t="s">
        <v>912</v>
      </c>
      <c r="O28" t="s">
        <v>892</v>
      </c>
      <c r="P28">
        <v>100</v>
      </c>
      <c r="Q28" s="26">
        <v>73613.490000000005</v>
      </c>
      <c r="R28">
        <v>162</v>
      </c>
      <c r="S28" t="s">
        <v>903</v>
      </c>
      <c r="T28" t="s">
        <v>905</v>
      </c>
      <c r="V28">
        <v>27</v>
      </c>
      <c r="W28" cm="1">
        <f t="array" ref="W28">SUM(TablaSupervisores[DISPOSITIVOS TOTAL]*INDEX(TablaSeleccionSupervisores[],ROW(TablaSeleccionSupervisores[[#This Row],[ORDEN]])-1,_xlfn.XMATCH(TablaSupervisores[REFERENCIA],TablaSeleccionSupervisores[#Headers])))</f>
        <v>2250</v>
      </c>
      <c r="X28" cm="1">
        <f t="array" ref="X28">SUM(TablaSupervisores[DISPOSITIVOS BACNET MS/TP JC]*INDEX(TablaSeleccionSupervisores[],ROW(TablaSeleccionSupervisores[[#This Row],[ORDEN]])-1,_xlfn.XMATCH(TablaSupervisores[REFERENCIA],TablaSeleccionSupervisores[#Headers])))</f>
        <v>900</v>
      </c>
      <c r="Y28" cm="1">
        <f t="array" ref="Y28">SUM(TablaSupervisores[DISPOSITIVOS BACNET MS/TP COMPATIBLES]*INDEX(TablaSeleccionSupervisores[],ROW(TablaSeleccionSupervisores[[#This Row],[ORDEN]])-1,_xlfn.XMATCH(TablaSupervisores[REFERENCIA],TablaSeleccionSupervisores[#Headers])))</f>
        <v>576</v>
      </c>
      <c r="Z28" cm="1">
        <f t="array" ref="Z28">SUM(TablaSupervisores[DISPOSITIVOS BACNET IP]*INDEX(TablaSeleccionSupervisores[],ROW(TablaSeleccionSupervisores[[#This Row],[ORDEN]])-1,_xlfn.XMATCH(TablaSupervisores[REFERENCIA],TablaSeleccionSupervisores[#Headers])))</f>
        <v>1800</v>
      </c>
      <c r="AA28" cm="1">
        <f t="array" ref="AA28">SUM(TablaSupervisores[OBJETOS]*INDEX(TablaSeleccionSupervisores[],ROW(TablaSeleccionSupervisores[[#This Row],[ORDEN]])-1,_xlfn.XMATCH(TablaSupervisores[REFERENCIA],TablaSeleccionSupervisores[#Headers])))</f>
        <v>22500</v>
      </c>
      <c r="AB28" s="28" cm="1">
        <f t="array" ref="AB28">SUM(TablaSupervisores[COSTE]*INDEX(TablaSeleccionSupervisores[],ROW(TablaSeleccionSupervisores[[#This Row],[ORDEN]])-1,_xlfn.XMATCH(TablaSupervisores[REFERENCIA],TablaSeleccionSupervisores[#Headers])))</f>
        <v>28966.080000000002</v>
      </c>
      <c r="AC28" cm="1">
        <f t="array" ref="AC28">SUM(INDEX(TablaSeleccionSupervisores[],ROW(TablaSeleccionSupervisores[[#This Row],[ORDEN]])-1,_xlfn.XMATCH(TablaSupervisores[REFERENCIA],TablaSeleccionSupervisores[#Headers])))</f>
        <v>6</v>
      </c>
      <c r="AD28" t="str" cm="1">
        <f t="array" ref="AD28">IF(INDEX(TablaSeleccionSupervisores[],ROW(TablaSeleccionSupervisores[[#This Row],[ORDEN]])-1,_xlfn.XMATCH("ADMITIDO ADSLITE",TablaSeleccionSupervisores[#Headers])+1)=0,"Sí admitido","No admitido")</f>
        <v>No admitido</v>
      </c>
      <c r="AE28">
        <v>3</v>
      </c>
      <c r="AF28">
        <v>3</v>
      </c>
      <c r="AG28">
        <v>0</v>
      </c>
      <c r="AH28">
        <v>0</v>
      </c>
    </row>
    <row r="29" spans="3:34" x14ac:dyDescent="0.25">
      <c r="L29">
        <v>28</v>
      </c>
      <c r="M29" t="s">
        <v>858</v>
      </c>
      <c r="N29" t="s">
        <v>889</v>
      </c>
      <c r="O29" t="s">
        <v>892</v>
      </c>
      <c r="P29">
        <v>100</v>
      </c>
      <c r="Q29" s="26">
        <v>43653.89</v>
      </c>
      <c r="R29">
        <v>162</v>
      </c>
      <c r="S29" t="s">
        <v>903</v>
      </c>
      <c r="T29" t="s">
        <v>906</v>
      </c>
      <c r="V29">
        <v>28</v>
      </c>
      <c r="W29" cm="1">
        <f t="array" ref="W29">SUM(TablaSupervisores[DISPOSITIVOS TOTAL]*INDEX(TablaSeleccionSupervisores[],ROW(TablaSeleccionSupervisores[[#This Row],[ORDEN]])-1,_xlfn.XMATCH(TablaSupervisores[REFERENCIA],TablaSeleccionSupervisores[#Headers])))</f>
        <v>2850</v>
      </c>
      <c r="X29" cm="1">
        <f t="array" ref="X29">SUM(TablaSupervisores[DISPOSITIVOS BACNET MS/TP JC]*INDEX(TablaSeleccionSupervisores[],ROW(TablaSeleccionSupervisores[[#This Row],[ORDEN]])-1,_xlfn.XMATCH(TablaSupervisores[REFERENCIA],TablaSeleccionSupervisores[#Headers])))</f>
        <v>1100</v>
      </c>
      <c r="Y29" cm="1">
        <f t="array" ref="Y29">SUM(TablaSupervisores[DISPOSITIVOS BACNET MS/TP COMPATIBLES]*INDEX(TablaSeleccionSupervisores[],ROW(TablaSeleccionSupervisores[[#This Row],[ORDEN]])-1,_xlfn.XMATCH(TablaSupervisores[REFERENCIA],TablaSeleccionSupervisores[#Headers])))</f>
        <v>704</v>
      </c>
      <c r="Z29" cm="1">
        <f t="array" ref="Z29">SUM(TablaSupervisores[DISPOSITIVOS BACNET IP]*INDEX(TablaSeleccionSupervisores[],ROW(TablaSeleccionSupervisores[[#This Row],[ORDEN]])-1,_xlfn.XMATCH(TablaSupervisores[REFERENCIA],TablaSeleccionSupervisores[#Headers])))</f>
        <v>2200</v>
      </c>
      <c r="AA29" cm="1">
        <f t="array" ref="AA29">SUM(TablaSupervisores[OBJETOS]*INDEX(TablaSeleccionSupervisores[],ROW(TablaSeleccionSupervisores[[#This Row],[ORDEN]])-1,_xlfn.XMATCH(TablaSupervisores[REFERENCIA],TablaSeleccionSupervisores[#Headers])))</f>
        <v>27500</v>
      </c>
      <c r="AB29" s="28" cm="1">
        <f t="array" ref="AB29">SUM(TablaSupervisores[COSTE]*INDEX(TablaSeleccionSupervisores[],ROW(TablaSeleccionSupervisores[[#This Row],[ORDEN]])-1,_xlfn.XMATCH(TablaSupervisores[REFERENCIA],TablaSeleccionSupervisores[#Headers])))</f>
        <v>34632.71</v>
      </c>
      <c r="AC29" cm="1">
        <f t="array" ref="AC29">SUM(INDEX(TablaSeleccionSupervisores[],ROW(TablaSeleccionSupervisores[[#This Row],[ORDEN]])-1,_xlfn.XMATCH(TablaSupervisores[REFERENCIA],TablaSeleccionSupervisores[#Headers])))</f>
        <v>7</v>
      </c>
      <c r="AD29" t="str" cm="1">
        <f t="array" ref="AD29">IF(INDEX(TablaSeleccionSupervisores[],ROW(TablaSeleccionSupervisores[[#This Row],[ORDEN]])-1,_xlfn.XMATCH("ADMITIDO ADSLITE",TablaSeleccionSupervisores[#Headers])+1)=0,"Sí admitido","No admitido")</f>
        <v>No admitido</v>
      </c>
      <c r="AE29">
        <v>4</v>
      </c>
      <c r="AF29">
        <v>3</v>
      </c>
      <c r="AG29">
        <v>0</v>
      </c>
      <c r="AH29">
        <v>0</v>
      </c>
    </row>
    <row r="30" spans="3:34" x14ac:dyDescent="0.25">
      <c r="L30">
        <v>29</v>
      </c>
      <c r="M30" t="s">
        <v>859</v>
      </c>
      <c r="N30" t="s">
        <v>890</v>
      </c>
      <c r="O30" t="s">
        <v>892</v>
      </c>
      <c r="P30">
        <v>100</v>
      </c>
      <c r="Q30" s="26">
        <v>52821.9</v>
      </c>
      <c r="R30">
        <v>162</v>
      </c>
      <c r="S30" t="s">
        <v>903</v>
      </c>
      <c r="T30" t="s">
        <v>906</v>
      </c>
      <c r="V30">
        <v>29</v>
      </c>
      <c r="W30" cm="1">
        <f t="array" ref="W30">SUM(TablaSupervisores[DISPOSITIVOS TOTAL]*INDEX(TablaSeleccionSupervisores[],ROW(TablaSeleccionSupervisores[[#This Row],[ORDEN]])-1,_xlfn.XMATCH(TablaSupervisores[REFERENCIA],TablaSeleccionSupervisores[#Headers])))</f>
        <v>3450</v>
      </c>
      <c r="X30" cm="1">
        <f t="array" ref="X30">SUM(TablaSupervisores[DISPOSITIVOS BACNET MS/TP JC]*INDEX(TablaSeleccionSupervisores[],ROW(TablaSeleccionSupervisores[[#This Row],[ORDEN]])-1,_xlfn.XMATCH(TablaSupervisores[REFERENCIA],TablaSeleccionSupervisores[#Headers])))</f>
        <v>1300</v>
      </c>
      <c r="Y30" cm="1">
        <f t="array" ref="Y30">SUM(TablaSupervisores[DISPOSITIVOS BACNET MS/TP COMPATIBLES]*INDEX(TablaSeleccionSupervisores[],ROW(TablaSeleccionSupervisores[[#This Row],[ORDEN]])-1,_xlfn.XMATCH(TablaSupervisores[REFERENCIA],TablaSeleccionSupervisores[#Headers])))</f>
        <v>832</v>
      </c>
      <c r="Z30" cm="1">
        <f t="array" ref="Z30">SUM(TablaSupervisores[DISPOSITIVOS BACNET IP]*INDEX(TablaSeleccionSupervisores[],ROW(TablaSeleccionSupervisores[[#This Row],[ORDEN]])-1,_xlfn.XMATCH(TablaSupervisores[REFERENCIA],TablaSeleccionSupervisores[#Headers])))</f>
        <v>2600</v>
      </c>
      <c r="AA30" cm="1">
        <f t="array" ref="AA30">SUM(TablaSupervisores[OBJETOS]*INDEX(TablaSeleccionSupervisores[],ROW(TablaSeleccionSupervisores[[#This Row],[ORDEN]])-1,_xlfn.XMATCH(TablaSupervisores[REFERENCIA],TablaSeleccionSupervisores[#Headers])))</f>
        <v>32500</v>
      </c>
      <c r="AB30" s="28" cm="1">
        <f t="array" ref="AB30">SUM(TablaSupervisores[COSTE]*INDEX(TablaSeleccionSupervisores[],ROW(TablaSeleccionSupervisores[[#This Row],[ORDEN]])-1,_xlfn.XMATCH(TablaSupervisores[REFERENCIA],TablaSeleccionSupervisores[#Headers])))</f>
        <v>40299.340000000004</v>
      </c>
      <c r="AC30" cm="1">
        <f t="array" ref="AC30">SUM(INDEX(TablaSeleccionSupervisores[],ROW(TablaSeleccionSupervisores[[#This Row],[ORDEN]])-1,_xlfn.XMATCH(TablaSupervisores[REFERENCIA],TablaSeleccionSupervisores[#Headers])))</f>
        <v>8</v>
      </c>
      <c r="AD30" t="str" cm="1">
        <f t="array" ref="AD30">IF(INDEX(TablaSeleccionSupervisores[],ROW(TablaSeleccionSupervisores[[#This Row],[ORDEN]])-1,_xlfn.XMATCH("ADMITIDO ADSLITE",TablaSeleccionSupervisores[#Headers])+1)=0,"Sí admitido","No admitido")</f>
        <v>No admitido</v>
      </c>
      <c r="AE30">
        <v>5</v>
      </c>
      <c r="AF30">
        <v>3</v>
      </c>
      <c r="AG30">
        <v>0</v>
      </c>
      <c r="AH30">
        <v>0</v>
      </c>
    </row>
    <row r="31" spans="3:34" x14ac:dyDescent="0.25">
      <c r="V31">
        <v>30</v>
      </c>
      <c r="W31" cm="1">
        <f t="array" ref="W31">SUM(TablaSupervisores[DISPOSITIVOS TOTAL]*INDEX(TablaSeleccionSupervisores[],ROW(TablaSeleccionSupervisores[[#This Row],[ORDEN]])-1,_xlfn.XMATCH(TablaSupervisores[REFERENCIA],TablaSeleccionSupervisores[#Headers])))</f>
        <v>600</v>
      </c>
      <c r="X31" cm="1">
        <f t="array" ref="X31">SUM(TablaSupervisores[DISPOSITIVOS BACNET MS/TP JC]*INDEX(TablaSeleccionSupervisores[],ROW(TablaSeleccionSupervisores[[#This Row],[ORDEN]])-1,_xlfn.XMATCH(TablaSupervisores[REFERENCIA],TablaSeleccionSupervisores[#Headers])))</f>
        <v>400</v>
      </c>
      <c r="Y31" cm="1">
        <f t="array" ref="Y31">SUM(TablaSupervisores[DISPOSITIVOS BACNET MS/TP COMPATIBLES]*INDEX(TablaSeleccionSupervisores[],ROW(TablaSeleccionSupervisores[[#This Row],[ORDEN]])-1,_xlfn.XMATCH(TablaSupervisores[REFERENCIA],TablaSeleccionSupervisores[#Headers])))</f>
        <v>256</v>
      </c>
      <c r="Z31" cm="1">
        <f t="array" ref="Z31">SUM(TablaSupervisores[DISPOSITIVOS BACNET IP]*INDEX(TablaSeleccionSupervisores[],ROW(TablaSeleccionSupervisores[[#This Row],[ORDEN]])-1,_xlfn.XMATCH(TablaSupervisores[REFERENCIA],TablaSeleccionSupervisores[#Headers])))</f>
        <v>800</v>
      </c>
      <c r="AA31" cm="1">
        <f t="array" ref="AA31">SUM(TablaSupervisores[OBJETOS]*INDEX(TablaSeleccionSupervisores[],ROW(TablaSeleccionSupervisores[[#This Row],[ORDEN]])-1,_xlfn.XMATCH(TablaSupervisores[REFERENCIA],TablaSeleccionSupervisores[#Headers])))</f>
        <v>10000</v>
      </c>
      <c r="AB31" s="28" cm="1">
        <f t="array" ref="AB31">SUM(TablaSupervisores[COSTE]*INDEX(TablaSeleccionSupervisores[],ROW(TablaSeleccionSupervisores[[#This Row],[ORDEN]])-1,_xlfn.XMATCH(TablaSupervisores[REFERENCIA],TablaSeleccionSupervisores[#Headers])))</f>
        <v>15954.92</v>
      </c>
      <c r="AC31" cm="1">
        <f t="array" ref="AC31">SUM(INDEX(TablaSeleccionSupervisores[],ROW(TablaSeleccionSupervisores[[#This Row],[ORDEN]])-1,_xlfn.XMATCH(TablaSupervisores[REFERENCIA],TablaSeleccionSupervisores[#Headers])))</f>
        <v>4</v>
      </c>
      <c r="AD31" t="str" cm="1">
        <f t="array" ref="AD31">IF(INDEX(TablaSeleccionSupervisores[],ROW(TablaSeleccionSupervisores[[#This Row],[ORDEN]])-1,_xlfn.XMATCH("ADMITIDO ADSLITE",TablaSeleccionSupervisores[#Headers])+1)=0,"Sí admitido","No admitido")</f>
        <v>Sí admitido</v>
      </c>
      <c r="AE31">
        <v>0</v>
      </c>
      <c r="AF31">
        <v>4</v>
      </c>
      <c r="AG31">
        <v>0</v>
      </c>
      <c r="AH31">
        <v>0</v>
      </c>
    </row>
    <row r="32" spans="3:34" x14ac:dyDescent="0.25">
      <c r="V32">
        <v>31</v>
      </c>
      <c r="W32" cm="1">
        <f t="array" ref="W32">SUM(TablaSupervisores[DISPOSITIVOS TOTAL]*INDEX(TablaSeleccionSupervisores[],ROW(TablaSeleccionSupervisores[[#This Row],[ORDEN]])-1,_xlfn.XMATCH(TablaSupervisores[REFERENCIA],TablaSeleccionSupervisores[#Headers])))</f>
        <v>1200</v>
      </c>
      <c r="X32" cm="1">
        <f t="array" ref="X32">SUM(TablaSupervisores[DISPOSITIVOS BACNET MS/TP JC]*INDEX(TablaSeleccionSupervisores[],ROW(TablaSeleccionSupervisores[[#This Row],[ORDEN]])-1,_xlfn.XMATCH(TablaSupervisores[REFERENCIA],TablaSeleccionSupervisores[#Headers])))</f>
        <v>600</v>
      </c>
      <c r="Y32" cm="1">
        <f t="array" ref="Y32">SUM(TablaSupervisores[DISPOSITIVOS BACNET MS/TP COMPATIBLES]*INDEX(TablaSeleccionSupervisores[],ROW(TablaSeleccionSupervisores[[#This Row],[ORDEN]])-1,_xlfn.XMATCH(TablaSupervisores[REFERENCIA],TablaSeleccionSupervisores[#Headers])))</f>
        <v>384</v>
      </c>
      <c r="Z32" cm="1">
        <f t="array" ref="Z32">SUM(TablaSupervisores[DISPOSITIVOS BACNET IP]*INDEX(TablaSeleccionSupervisores[],ROW(TablaSeleccionSupervisores[[#This Row],[ORDEN]])-1,_xlfn.XMATCH(TablaSupervisores[REFERENCIA],TablaSeleccionSupervisores[#Headers])))</f>
        <v>1200</v>
      </c>
      <c r="AA32" cm="1">
        <f t="array" ref="AA32">SUM(TablaSupervisores[OBJETOS]*INDEX(TablaSeleccionSupervisores[],ROW(TablaSeleccionSupervisores[[#This Row],[ORDEN]])-1,_xlfn.XMATCH(TablaSupervisores[REFERENCIA],TablaSeleccionSupervisores[#Headers])))</f>
        <v>15000</v>
      </c>
      <c r="AB32" s="28" cm="1">
        <f t="array" ref="AB32">SUM(TablaSupervisores[COSTE]*INDEX(TablaSeleccionSupervisores[],ROW(TablaSeleccionSupervisores[[#This Row],[ORDEN]])-1,_xlfn.XMATCH(TablaSupervisores[REFERENCIA],TablaSeleccionSupervisores[#Headers])))</f>
        <v>21621.55</v>
      </c>
      <c r="AC32" cm="1">
        <f t="array" ref="AC32">SUM(INDEX(TablaSeleccionSupervisores[],ROW(TablaSeleccionSupervisores[[#This Row],[ORDEN]])-1,_xlfn.XMATCH(TablaSupervisores[REFERENCIA],TablaSeleccionSupervisores[#Headers])))</f>
        <v>5</v>
      </c>
      <c r="AD32" t="str" cm="1">
        <f t="array" ref="AD32">IF(INDEX(TablaSeleccionSupervisores[],ROW(TablaSeleccionSupervisores[[#This Row],[ORDEN]])-1,_xlfn.XMATCH("ADMITIDO ADSLITE",TablaSeleccionSupervisores[#Headers])+1)=0,"Sí admitido","No admitido")</f>
        <v>No admitido</v>
      </c>
      <c r="AE32">
        <v>1</v>
      </c>
      <c r="AF32">
        <v>4</v>
      </c>
      <c r="AG32">
        <v>0</v>
      </c>
      <c r="AH32">
        <v>0</v>
      </c>
    </row>
    <row r="33" spans="22:34" x14ac:dyDescent="0.25">
      <c r="V33">
        <v>32</v>
      </c>
      <c r="W33" cm="1">
        <f t="array" ref="W33">SUM(TablaSupervisores[DISPOSITIVOS TOTAL]*INDEX(TablaSeleccionSupervisores[],ROW(TablaSeleccionSupervisores[[#This Row],[ORDEN]])-1,_xlfn.XMATCH(TablaSupervisores[REFERENCIA],TablaSeleccionSupervisores[#Headers])))</f>
        <v>1800</v>
      </c>
      <c r="X33" cm="1">
        <f t="array" ref="X33">SUM(TablaSupervisores[DISPOSITIVOS BACNET MS/TP JC]*INDEX(TablaSeleccionSupervisores[],ROW(TablaSeleccionSupervisores[[#This Row],[ORDEN]])-1,_xlfn.XMATCH(TablaSupervisores[REFERENCIA],TablaSeleccionSupervisores[#Headers])))</f>
        <v>800</v>
      </c>
      <c r="Y33" cm="1">
        <f t="array" ref="Y33">SUM(TablaSupervisores[DISPOSITIVOS BACNET MS/TP COMPATIBLES]*INDEX(TablaSeleccionSupervisores[],ROW(TablaSeleccionSupervisores[[#This Row],[ORDEN]])-1,_xlfn.XMATCH(TablaSupervisores[REFERENCIA],TablaSeleccionSupervisores[#Headers])))</f>
        <v>512</v>
      </c>
      <c r="Z33" cm="1">
        <f t="array" ref="Z33">SUM(TablaSupervisores[DISPOSITIVOS BACNET IP]*INDEX(TablaSeleccionSupervisores[],ROW(TablaSeleccionSupervisores[[#This Row],[ORDEN]])-1,_xlfn.XMATCH(TablaSupervisores[REFERENCIA],TablaSeleccionSupervisores[#Headers])))</f>
        <v>1600</v>
      </c>
      <c r="AA33" cm="1">
        <f t="array" ref="AA33">SUM(TablaSupervisores[OBJETOS]*INDEX(TablaSeleccionSupervisores[],ROW(TablaSeleccionSupervisores[[#This Row],[ORDEN]])-1,_xlfn.XMATCH(TablaSupervisores[REFERENCIA],TablaSeleccionSupervisores[#Headers])))</f>
        <v>20000</v>
      </c>
      <c r="AB33" s="28" cm="1">
        <f t="array" ref="AB33">SUM(TablaSupervisores[COSTE]*INDEX(TablaSeleccionSupervisores[],ROW(TablaSeleccionSupervisores[[#This Row],[ORDEN]])-1,_xlfn.XMATCH(TablaSupervisores[REFERENCIA],TablaSeleccionSupervisores[#Headers])))</f>
        <v>27288.18</v>
      </c>
      <c r="AC33" cm="1">
        <f t="array" ref="AC33">SUM(INDEX(TablaSeleccionSupervisores[],ROW(TablaSeleccionSupervisores[[#This Row],[ORDEN]])-1,_xlfn.XMATCH(TablaSupervisores[REFERENCIA],TablaSeleccionSupervisores[#Headers])))</f>
        <v>6</v>
      </c>
      <c r="AD33" t="str" cm="1">
        <f t="array" ref="AD33">IF(INDEX(TablaSeleccionSupervisores[],ROW(TablaSeleccionSupervisores[[#This Row],[ORDEN]])-1,_xlfn.XMATCH("ADMITIDO ADSLITE",TablaSeleccionSupervisores[#Headers])+1)=0,"Sí admitido","No admitido")</f>
        <v>No admitido</v>
      </c>
      <c r="AE33">
        <v>2</v>
      </c>
      <c r="AF33">
        <v>4</v>
      </c>
      <c r="AG33">
        <v>0</v>
      </c>
      <c r="AH33">
        <v>0</v>
      </c>
    </row>
    <row r="34" spans="22:34" x14ac:dyDescent="0.25">
      <c r="V34">
        <v>33</v>
      </c>
      <c r="W34" cm="1">
        <f t="array" ref="W34">SUM(TablaSupervisores[DISPOSITIVOS TOTAL]*INDEX(TablaSeleccionSupervisores[],ROW(TablaSeleccionSupervisores[[#This Row],[ORDEN]])-1,_xlfn.XMATCH(TablaSupervisores[REFERENCIA],TablaSeleccionSupervisores[#Headers])))</f>
        <v>2400</v>
      </c>
      <c r="X34" cm="1">
        <f t="array" ref="X34">SUM(TablaSupervisores[DISPOSITIVOS BACNET MS/TP JC]*INDEX(TablaSeleccionSupervisores[],ROW(TablaSeleccionSupervisores[[#This Row],[ORDEN]])-1,_xlfn.XMATCH(TablaSupervisores[REFERENCIA],TablaSeleccionSupervisores[#Headers])))</f>
        <v>1000</v>
      </c>
      <c r="Y34" cm="1">
        <f t="array" ref="Y34">SUM(TablaSupervisores[DISPOSITIVOS BACNET MS/TP COMPATIBLES]*INDEX(TablaSeleccionSupervisores[],ROW(TablaSeleccionSupervisores[[#This Row],[ORDEN]])-1,_xlfn.XMATCH(TablaSupervisores[REFERENCIA],TablaSeleccionSupervisores[#Headers])))</f>
        <v>640</v>
      </c>
      <c r="Z34" cm="1">
        <f t="array" ref="Z34">SUM(TablaSupervisores[DISPOSITIVOS BACNET IP]*INDEX(TablaSeleccionSupervisores[],ROW(TablaSeleccionSupervisores[[#This Row],[ORDEN]])-1,_xlfn.XMATCH(TablaSupervisores[REFERENCIA],TablaSeleccionSupervisores[#Headers])))</f>
        <v>2000</v>
      </c>
      <c r="AA34" cm="1">
        <f t="array" ref="AA34">SUM(TablaSupervisores[OBJETOS]*INDEX(TablaSeleccionSupervisores[],ROW(TablaSeleccionSupervisores[[#This Row],[ORDEN]])-1,_xlfn.XMATCH(TablaSupervisores[REFERENCIA],TablaSeleccionSupervisores[#Headers])))</f>
        <v>25000</v>
      </c>
      <c r="AB34" s="28" cm="1">
        <f t="array" ref="AB34">SUM(TablaSupervisores[COSTE]*INDEX(TablaSeleccionSupervisores[],ROW(TablaSeleccionSupervisores[[#This Row],[ORDEN]])-1,_xlfn.XMATCH(TablaSupervisores[REFERENCIA],TablaSeleccionSupervisores[#Headers])))</f>
        <v>32954.81</v>
      </c>
      <c r="AC34" cm="1">
        <f t="array" ref="AC34">SUM(INDEX(TablaSeleccionSupervisores[],ROW(TablaSeleccionSupervisores[[#This Row],[ORDEN]])-1,_xlfn.XMATCH(TablaSupervisores[REFERENCIA],TablaSeleccionSupervisores[#Headers])))</f>
        <v>7</v>
      </c>
      <c r="AD34" t="str" cm="1">
        <f t="array" ref="AD34">IF(INDEX(TablaSeleccionSupervisores[],ROW(TablaSeleccionSupervisores[[#This Row],[ORDEN]])-1,_xlfn.XMATCH("ADMITIDO ADSLITE",TablaSeleccionSupervisores[#Headers])+1)=0,"Sí admitido","No admitido")</f>
        <v>No admitido</v>
      </c>
      <c r="AE34">
        <v>3</v>
      </c>
      <c r="AF34">
        <v>4</v>
      </c>
      <c r="AG34">
        <v>0</v>
      </c>
      <c r="AH34">
        <v>0</v>
      </c>
    </row>
    <row r="35" spans="22:34" x14ac:dyDescent="0.25">
      <c r="V35">
        <v>34</v>
      </c>
      <c r="W35" cm="1">
        <f t="array" ref="W35">SUM(TablaSupervisores[DISPOSITIVOS TOTAL]*INDEX(TablaSeleccionSupervisores[],ROW(TablaSeleccionSupervisores[[#This Row],[ORDEN]])-1,_xlfn.XMATCH(TablaSupervisores[REFERENCIA],TablaSeleccionSupervisores[#Headers])))</f>
        <v>3000</v>
      </c>
      <c r="X35" cm="1">
        <f t="array" ref="X35">SUM(TablaSupervisores[DISPOSITIVOS BACNET MS/TP JC]*INDEX(TablaSeleccionSupervisores[],ROW(TablaSeleccionSupervisores[[#This Row],[ORDEN]])-1,_xlfn.XMATCH(TablaSupervisores[REFERENCIA],TablaSeleccionSupervisores[#Headers])))</f>
        <v>1200</v>
      </c>
      <c r="Y35" cm="1">
        <f t="array" ref="Y35">SUM(TablaSupervisores[DISPOSITIVOS BACNET MS/TP COMPATIBLES]*INDEX(TablaSeleccionSupervisores[],ROW(TablaSeleccionSupervisores[[#This Row],[ORDEN]])-1,_xlfn.XMATCH(TablaSupervisores[REFERENCIA],TablaSeleccionSupervisores[#Headers])))</f>
        <v>768</v>
      </c>
      <c r="Z35" cm="1">
        <f t="array" ref="Z35">SUM(TablaSupervisores[DISPOSITIVOS BACNET IP]*INDEX(TablaSeleccionSupervisores[],ROW(TablaSeleccionSupervisores[[#This Row],[ORDEN]])-1,_xlfn.XMATCH(TablaSupervisores[REFERENCIA],TablaSeleccionSupervisores[#Headers])))</f>
        <v>2400</v>
      </c>
      <c r="AA35" cm="1">
        <f t="array" ref="AA35">SUM(TablaSupervisores[OBJETOS]*INDEX(TablaSeleccionSupervisores[],ROW(TablaSeleccionSupervisores[[#This Row],[ORDEN]])-1,_xlfn.XMATCH(TablaSupervisores[REFERENCIA],TablaSeleccionSupervisores[#Headers])))</f>
        <v>30000</v>
      </c>
      <c r="AB35" s="28" cm="1">
        <f t="array" ref="AB35">SUM(TablaSupervisores[COSTE]*INDEX(TablaSeleccionSupervisores[],ROW(TablaSeleccionSupervisores[[#This Row],[ORDEN]])-1,_xlfn.XMATCH(TablaSupervisores[REFERENCIA],TablaSeleccionSupervisores[#Headers])))</f>
        <v>38621.440000000002</v>
      </c>
      <c r="AC35" cm="1">
        <f t="array" ref="AC35">SUM(INDEX(TablaSeleccionSupervisores[],ROW(TablaSeleccionSupervisores[[#This Row],[ORDEN]])-1,_xlfn.XMATCH(TablaSupervisores[REFERENCIA],TablaSeleccionSupervisores[#Headers])))</f>
        <v>8</v>
      </c>
      <c r="AD35" t="str" cm="1">
        <f t="array" ref="AD35">IF(INDEX(TablaSeleccionSupervisores[],ROW(TablaSeleccionSupervisores[[#This Row],[ORDEN]])-1,_xlfn.XMATCH("ADMITIDO ADSLITE",TablaSeleccionSupervisores[#Headers])+1)=0,"Sí admitido","No admitido")</f>
        <v>No admitido</v>
      </c>
      <c r="AE35">
        <v>4</v>
      </c>
      <c r="AF35">
        <v>4</v>
      </c>
      <c r="AG35">
        <v>0</v>
      </c>
      <c r="AH35">
        <v>0</v>
      </c>
    </row>
    <row r="36" spans="22:34" x14ac:dyDescent="0.25">
      <c r="V36">
        <v>35</v>
      </c>
      <c r="W36" cm="1">
        <f t="array" ref="W36">SUM(TablaSupervisores[DISPOSITIVOS TOTAL]*INDEX(TablaSeleccionSupervisores[],ROW(TablaSeleccionSupervisores[[#This Row],[ORDEN]])-1,_xlfn.XMATCH(TablaSupervisores[REFERENCIA],TablaSeleccionSupervisores[#Headers])))</f>
        <v>750</v>
      </c>
      <c r="X36" cm="1">
        <f t="array" ref="X36">SUM(TablaSupervisores[DISPOSITIVOS BACNET MS/TP JC]*INDEX(TablaSeleccionSupervisores[],ROW(TablaSeleccionSupervisores[[#This Row],[ORDEN]])-1,_xlfn.XMATCH(TablaSupervisores[REFERENCIA],TablaSeleccionSupervisores[#Headers])))</f>
        <v>500</v>
      </c>
      <c r="Y36" cm="1">
        <f t="array" ref="Y36">SUM(TablaSupervisores[DISPOSITIVOS BACNET MS/TP COMPATIBLES]*INDEX(TablaSeleccionSupervisores[],ROW(TablaSeleccionSupervisores[[#This Row],[ORDEN]])-1,_xlfn.XMATCH(TablaSupervisores[REFERENCIA],TablaSeleccionSupervisores[#Headers])))</f>
        <v>320</v>
      </c>
      <c r="Z36" cm="1">
        <f t="array" ref="Z36">SUM(TablaSupervisores[DISPOSITIVOS BACNET IP]*INDEX(TablaSeleccionSupervisores[],ROW(TablaSeleccionSupervisores[[#This Row],[ORDEN]])-1,_xlfn.XMATCH(TablaSupervisores[REFERENCIA],TablaSeleccionSupervisores[#Headers])))</f>
        <v>1000</v>
      </c>
      <c r="AA36" cm="1">
        <f t="array" ref="AA36">SUM(TablaSupervisores[OBJETOS]*INDEX(TablaSeleccionSupervisores[],ROW(TablaSeleccionSupervisores[[#This Row],[ORDEN]])-1,_xlfn.XMATCH(TablaSupervisores[REFERENCIA],TablaSeleccionSupervisores[#Headers])))</f>
        <v>12500</v>
      </c>
      <c r="AB36" s="28" cm="1">
        <f t="array" ref="AB36">SUM(TablaSupervisores[COSTE]*INDEX(TablaSeleccionSupervisores[],ROW(TablaSeleccionSupervisores[[#This Row],[ORDEN]])-1,_xlfn.XMATCH(TablaSupervisores[REFERENCIA],TablaSeleccionSupervisores[#Headers])))</f>
        <v>19943.650000000001</v>
      </c>
      <c r="AC36" cm="1">
        <f t="array" ref="AC36">SUM(INDEX(TablaSeleccionSupervisores[],ROW(TablaSeleccionSupervisores[[#This Row],[ORDEN]])-1,_xlfn.XMATCH(TablaSupervisores[REFERENCIA],TablaSeleccionSupervisores[#Headers])))</f>
        <v>5</v>
      </c>
      <c r="AD36" t="str" cm="1">
        <f t="array" ref="AD36">IF(INDEX(TablaSeleccionSupervisores[],ROW(TablaSeleccionSupervisores[[#This Row],[ORDEN]])-1,_xlfn.XMATCH("ADMITIDO ADSLITE",TablaSeleccionSupervisores[#Headers])+1)=0,"Sí admitido","No admitido")</f>
        <v>Sí admitido</v>
      </c>
      <c r="AE36">
        <v>0</v>
      </c>
      <c r="AF36">
        <v>5</v>
      </c>
      <c r="AG36">
        <v>0</v>
      </c>
      <c r="AH36">
        <v>0</v>
      </c>
    </row>
    <row r="37" spans="22:34" x14ac:dyDescent="0.25">
      <c r="V37">
        <v>36</v>
      </c>
      <c r="W37" cm="1">
        <f t="array" ref="W37">SUM(TablaSupervisores[DISPOSITIVOS TOTAL]*INDEX(TablaSeleccionSupervisores[],ROW(TablaSeleccionSupervisores[[#This Row],[ORDEN]])-1,_xlfn.XMATCH(TablaSupervisores[REFERENCIA],TablaSeleccionSupervisores[#Headers])))</f>
        <v>1350</v>
      </c>
      <c r="X37" cm="1">
        <f t="array" ref="X37">SUM(TablaSupervisores[DISPOSITIVOS BACNET MS/TP JC]*INDEX(TablaSeleccionSupervisores[],ROW(TablaSeleccionSupervisores[[#This Row],[ORDEN]])-1,_xlfn.XMATCH(TablaSupervisores[REFERENCIA],TablaSeleccionSupervisores[#Headers])))</f>
        <v>700</v>
      </c>
      <c r="Y37" cm="1">
        <f t="array" ref="Y37">SUM(TablaSupervisores[DISPOSITIVOS BACNET MS/TP COMPATIBLES]*INDEX(TablaSeleccionSupervisores[],ROW(TablaSeleccionSupervisores[[#This Row],[ORDEN]])-1,_xlfn.XMATCH(TablaSupervisores[REFERENCIA],TablaSeleccionSupervisores[#Headers])))</f>
        <v>448</v>
      </c>
      <c r="Z37" cm="1">
        <f t="array" ref="Z37">SUM(TablaSupervisores[DISPOSITIVOS BACNET IP]*INDEX(TablaSeleccionSupervisores[],ROW(TablaSeleccionSupervisores[[#This Row],[ORDEN]])-1,_xlfn.XMATCH(TablaSupervisores[REFERENCIA],TablaSeleccionSupervisores[#Headers])))</f>
        <v>1400</v>
      </c>
      <c r="AA37" cm="1">
        <f t="array" ref="AA37">SUM(TablaSupervisores[OBJETOS]*INDEX(TablaSeleccionSupervisores[],ROW(TablaSeleccionSupervisores[[#This Row],[ORDEN]])-1,_xlfn.XMATCH(TablaSupervisores[REFERENCIA],TablaSeleccionSupervisores[#Headers])))</f>
        <v>17500</v>
      </c>
      <c r="AB37" s="28" cm="1">
        <f t="array" ref="AB37">SUM(TablaSupervisores[COSTE]*INDEX(TablaSeleccionSupervisores[],ROW(TablaSeleccionSupervisores[[#This Row],[ORDEN]])-1,_xlfn.XMATCH(TablaSupervisores[REFERENCIA],TablaSeleccionSupervisores[#Headers])))</f>
        <v>25610.280000000002</v>
      </c>
      <c r="AC37" cm="1">
        <f t="array" ref="AC37">SUM(INDEX(TablaSeleccionSupervisores[],ROW(TablaSeleccionSupervisores[[#This Row],[ORDEN]])-1,_xlfn.XMATCH(TablaSupervisores[REFERENCIA],TablaSeleccionSupervisores[#Headers])))</f>
        <v>6</v>
      </c>
      <c r="AD37" t="str" cm="1">
        <f t="array" ref="AD37">IF(INDEX(TablaSeleccionSupervisores[],ROW(TablaSeleccionSupervisores[[#This Row],[ORDEN]])-1,_xlfn.XMATCH("ADMITIDO ADSLITE",TablaSeleccionSupervisores[#Headers])+1)=0,"Sí admitido","No admitido")</f>
        <v>No admitido</v>
      </c>
      <c r="AE37">
        <v>1</v>
      </c>
      <c r="AF37">
        <v>5</v>
      </c>
      <c r="AG37">
        <v>0</v>
      </c>
      <c r="AH37">
        <v>0</v>
      </c>
    </row>
    <row r="38" spans="22:34" x14ac:dyDescent="0.25">
      <c r="V38">
        <v>37</v>
      </c>
      <c r="W38" cm="1">
        <f t="array" ref="W38">SUM(TablaSupervisores[DISPOSITIVOS TOTAL]*INDEX(TablaSeleccionSupervisores[],ROW(TablaSeleccionSupervisores[[#This Row],[ORDEN]])-1,_xlfn.XMATCH(TablaSupervisores[REFERENCIA],TablaSeleccionSupervisores[#Headers])))</f>
        <v>1950</v>
      </c>
      <c r="X38" cm="1">
        <f t="array" ref="X38">SUM(TablaSupervisores[DISPOSITIVOS BACNET MS/TP JC]*INDEX(TablaSeleccionSupervisores[],ROW(TablaSeleccionSupervisores[[#This Row],[ORDEN]])-1,_xlfn.XMATCH(TablaSupervisores[REFERENCIA],TablaSeleccionSupervisores[#Headers])))</f>
        <v>900</v>
      </c>
      <c r="Y38" cm="1">
        <f t="array" ref="Y38">SUM(TablaSupervisores[DISPOSITIVOS BACNET MS/TP COMPATIBLES]*INDEX(TablaSeleccionSupervisores[],ROW(TablaSeleccionSupervisores[[#This Row],[ORDEN]])-1,_xlfn.XMATCH(TablaSupervisores[REFERENCIA],TablaSeleccionSupervisores[#Headers])))</f>
        <v>576</v>
      </c>
      <c r="Z38" cm="1">
        <f t="array" ref="Z38">SUM(TablaSupervisores[DISPOSITIVOS BACNET IP]*INDEX(TablaSeleccionSupervisores[],ROW(TablaSeleccionSupervisores[[#This Row],[ORDEN]])-1,_xlfn.XMATCH(TablaSupervisores[REFERENCIA],TablaSeleccionSupervisores[#Headers])))</f>
        <v>1800</v>
      </c>
      <c r="AA38" cm="1">
        <f t="array" ref="AA38">SUM(TablaSupervisores[OBJETOS]*INDEX(TablaSeleccionSupervisores[],ROW(TablaSeleccionSupervisores[[#This Row],[ORDEN]])-1,_xlfn.XMATCH(TablaSupervisores[REFERENCIA],TablaSeleccionSupervisores[#Headers])))</f>
        <v>22500</v>
      </c>
      <c r="AB38" s="28" cm="1">
        <f t="array" ref="AB38">SUM(TablaSupervisores[COSTE]*INDEX(TablaSeleccionSupervisores[],ROW(TablaSeleccionSupervisores[[#This Row],[ORDEN]])-1,_xlfn.XMATCH(TablaSupervisores[REFERENCIA],TablaSeleccionSupervisores[#Headers])))</f>
        <v>31276.910000000003</v>
      </c>
      <c r="AC38" cm="1">
        <f t="array" ref="AC38">SUM(INDEX(TablaSeleccionSupervisores[],ROW(TablaSeleccionSupervisores[[#This Row],[ORDEN]])-1,_xlfn.XMATCH(TablaSupervisores[REFERENCIA],TablaSeleccionSupervisores[#Headers])))</f>
        <v>7</v>
      </c>
      <c r="AD38" t="str" cm="1">
        <f t="array" ref="AD38">IF(INDEX(TablaSeleccionSupervisores[],ROW(TablaSeleccionSupervisores[[#This Row],[ORDEN]])-1,_xlfn.XMATCH("ADMITIDO ADSLITE",TablaSeleccionSupervisores[#Headers])+1)=0,"Sí admitido","No admitido")</f>
        <v>No admitido</v>
      </c>
      <c r="AE38">
        <v>2</v>
      </c>
      <c r="AF38">
        <v>5</v>
      </c>
      <c r="AG38">
        <v>0</v>
      </c>
      <c r="AH38">
        <v>0</v>
      </c>
    </row>
    <row r="39" spans="22:34" x14ac:dyDescent="0.25">
      <c r="V39">
        <v>38</v>
      </c>
      <c r="W39" cm="1">
        <f t="array" ref="W39">SUM(TablaSupervisores[DISPOSITIVOS TOTAL]*INDEX(TablaSeleccionSupervisores[],ROW(TablaSeleccionSupervisores[[#This Row],[ORDEN]])-1,_xlfn.XMATCH(TablaSupervisores[REFERENCIA],TablaSeleccionSupervisores[#Headers])))</f>
        <v>2550</v>
      </c>
      <c r="X39" cm="1">
        <f t="array" ref="X39">SUM(TablaSupervisores[DISPOSITIVOS BACNET MS/TP JC]*INDEX(TablaSeleccionSupervisores[],ROW(TablaSeleccionSupervisores[[#This Row],[ORDEN]])-1,_xlfn.XMATCH(TablaSupervisores[REFERENCIA],TablaSeleccionSupervisores[#Headers])))</f>
        <v>1100</v>
      </c>
      <c r="Y39" cm="1">
        <f t="array" ref="Y39">SUM(TablaSupervisores[DISPOSITIVOS BACNET MS/TP COMPATIBLES]*INDEX(TablaSeleccionSupervisores[],ROW(TablaSeleccionSupervisores[[#This Row],[ORDEN]])-1,_xlfn.XMATCH(TablaSupervisores[REFERENCIA],TablaSeleccionSupervisores[#Headers])))</f>
        <v>704</v>
      </c>
      <c r="Z39" cm="1">
        <f t="array" ref="Z39">SUM(TablaSupervisores[DISPOSITIVOS BACNET IP]*INDEX(TablaSeleccionSupervisores[],ROW(TablaSeleccionSupervisores[[#This Row],[ORDEN]])-1,_xlfn.XMATCH(TablaSupervisores[REFERENCIA],TablaSeleccionSupervisores[#Headers])))</f>
        <v>2200</v>
      </c>
      <c r="AA39" cm="1">
        <f t="array" ref="AA39">SUM(TablaSupervisores[OBJETOS]*INDEX(TablaSeleccionSupervisores[],ROW(TablaSeleccionSupervisores[[#This Row],[ORDEN]])-1,_xlfn.XMATCH(TablaSupervisores[REFERENCIA],TablaSeleccionSupervisores[#Headers])))</f>
        <v>27500</v>
      </c>
      <c r="AB39" s="28" cm="1">
        <f t="array" ref="AB39">SUM(TablaSupervisores[COSTE]*INDEX(TablaSeleccionSupervisores[],ROW(TablaSeleccionSupervisores[[#This Row],[ORDEN]])-1,_xlfn.XMATCH(TablaSupervisores[REFERENCIA],TablaSeleccionSupervisores[#Headers])))</f>
        <v>36943.54</v>
      </c>
      <c r="AC39" cm="1">
        <f t="array" ref="AC39">SUM(INDEX(TablaSeleccionSupervisores[],ROW(TablaSeleccionSupervisores[[#This Row],[ORDEN]])-1,_xlfn.XMATCH(TablaSupervisores[REFERENCIA],TablaSeleccionSupervisores[#Headers])))</f>
        <v>8</v>
      </c>
      <c r="AD39" t="str" cm="1">
        <f t="array" ref="AD39">IF(INDEX(TablaSeleccionSupervisores[],ROW(TablaSeleccionSupervisores[[#This Row],[ORDEN]])-1,_xlfn.XMATCH("ADMITIDO ADSLITE",TablaSeleccionSupervisores[#Headers])+1)=0,"Sí admitido","No admitido")</f>
        <v>No admitido</v>
      </c>
      <c r="AE39">
        <v>3</v>
      </c>
      <c r="AF39">
        <v>5</v>
      </c>
      <c r="AG39">
        <v>0</v>
      </c>
      <c r="AH39">
        <v>0</v>
      </c>
    </row>
    <row r="40" spans="22:34" x14ac:dyDescent="0.25">
      <c r="V40">
        <v>39</v>
      </c>
      <c r="W40" cm="1">
        <f t="array" ref="W40">SUM(TablaSupervisores[DISPOSITIVOS TOTAL]*INDEX(TablaSeleccionSupervisores[],ROW(TablaSeleccionSupervisores[[#This Row],[ORDEN]])-1,_xlfn.XMATCH(TablaSupervisores[REFERENCIA],TablaSeleccionSupervisores[#Headers])))</f>
        <v>900</v>
      </c>
      <c r="X40" cm="1">
        <f t="array" ref="X40">SUM(TablaSupervisores[DISPOSITIVOS BACNET MS/TP JC]*INDEX(TablaSeleccionSupervisores[],ROW(TablaSeleccionSupervisores[[#This Row],[ORDEN]])-1,_xlfn.XMATCH(TablaSupervisores[REFERENCIA],TablaSeleccionSupervisores[#Headers])))</f>
        <v>600</v>
      </c>
      <c r="Y40" cm="1">
        <f t="array" ref="Y40">SUM(TablaSupervisores[DISPOSITIVOS BACNET MS/TP COMPATIBLES]*INDEX(TablaSeleccionSupervisores[],ROW(TablaSeleccionSupervisores[[#This Row],[ORDEN]])-1,_xlfn.XMATCH(TablaSupervisores[REFERENCIA],TablaSeleccionSupervisores[#Headers])))</f>
        <v>384</v>
      </c>
      <c r="Z40" cm="1">
        <f t="array" ref="Z40">SUM(TablaSupervisores[DISPOSITIVOS BACNET IP]*INDEX(TablaSeleccionSupervisores[],ROW(TablaSeleccionSupervisores[[#This Row],[ORDEN]])-1,_xlfn.XMATCH(TablaSupervisores[REFERENCIA],TablaSeleccionSupervisores[#Headers])))</f>
        <v>1200</v>
      </c>
      <c r="AA40" cm="1">
        <f t="array" ref="AA40">SUM(TablaSupervisores[OBJETOS]*INDEX(TablaSeleccionSupervisores[],ROW(TablaSeleccionSupervisores[[#This Row],[ORDEN]])-1,_xlfn.XMATCH(TablaSupervisores[REFERENCIA],TablaSeleccionSupervisores[#Headers])))</f>
        <v>15000</v>
      </c>
      <c r="AB40" s="28" cm="1">
        <f t="array" ref="AB40">SUM(TablaSupervisores[COSTE]*INDEX(TablaSeleccionSupervisores[],ROW(TablaSeleccionSupervisores[[#This Row],[ORDEN]])-1,_xlfn.XMATCH(TablaSupervisores[REFERENCIA],TablaSeleccionSupervisores[#Headers])))</f>
        <v>23932.38</v>
      </c>
      <c r="AC40" cm="1">
        <f t="array" ref="AC40">SUM(INDEX(TablaSeleccionSupervisores[],ROW(TablaSeleccionSupervisores[[#This Row],[ORDEN]])-1,_xlfn.XMATCH(TablaSupervisores[REFERENCIA],TablaSeleccionSupervisores[#Headers])))</f>
        <v>6</v>
      </c>
      <c r="AD40" t="str" cm="1">
        <f t="array" ref="AD40">IF(INDEX(TablaSeleccionSupervisores[],ROW(TablaSeleccionSupervisores[[#This Row],[ORDEN]])-1,_xlfn.XMATCH("ADMITIDO ADSLITE",TablaSeleccionSupervisores[#Headers])+1)=0,"Sí admitido","No admitido")</f>
        <v>Sí admitido</v>
      </c>
      <c r="AE40">
        <v>0</v>
      </c>
      <c r="AF40">
        <v>6</v>
      </c>
      <c r="AG40">
        <v>0</v>
      </c>
      <c r="AH40">
        <v>0</v>
      </c>
    </row>
    <row r="41" spans="22:34" x14ac:dyDescent="0.25">
      <c r="V41">
        <v>40</v>
      </c>
      <c r="W41" cm="1">
        <f t="array" ref="W41">SUM(TablaSupervisores[DISPOSITIVOS TOTAL]*INDEX(TablaSeleccionSupervisores[],ROW(TablaSeleccionSupervisores[[#This Row],[ORDEN]])-1,_xlfn.XMATCH(TablaSupervisores[REFERENCIA],TablaSeleccionSupervisores[#Headers])))</f>
        <v>1500</v>
      </c>
      <c r="X41" cm="1">
        <f t="array" ref="X41">SUM(TablaSupervisores[DISPOSITIVOS BACNET MS/TP JC]*INDEX(TablaSeleccionSupervisores[],ROW(TablaSeleccionSupervisores[[#This Row],[ORDEN]])-1,_xlfn.XMATCH(TablaSupervisores[REFERENCIA],TablaSeleccionSupervisores[#Headers])))</f>
        <v>800</v>
      </c>
      <c r="Y41" cm="1">
        <f t="array" ref="Y41">SUM(TablaSupervisores[DISPOSITIVOS BACNET MS/TP COMPATIBLES]*INDEX(TablaSeleccionSupervisores[],ROW(TablaSeleccionSupervisores[[#This Row],[ORDEN]])-1,_xlfn.XMATCH(TablaSupervisores[REFERENCIA],TablaSeleccionSupervisores[#Headers])))</f>
        <v>512</v>
      </c>
      <c r="Z41" cm="1">
        <f t="array" ref="Z41">SUM(TablaSupervisores[DISPOSITIVOS BACNET IP]*INDEX(TablaSeleccionSupervisores[],ROW(TablaSeleccionSupervisores[[#This Row],[ORDEN]])-1,_xlfn.XMATCH(TablaSupervisores[REFERENCIA],TablaSeleccionSupervisores[#Headers])))</f>
        <v>1600</v>
      </c>
      <c r="AA41" cm="1">
        <f t="array" ref="AA41">SUM(TablaSupervisores[OBJETOS]*INDEX(TablaSeleccionSupervisores[],ROW(TablaSeleccionSupervisores[[#This Row],[ORDEN]])-1,_xlfn.XMATCH(TablaSupervisores[REFERENCIA],TablaSeleccionSupervisores[#Headers])))</f>
        <v>20000</v>
      </c>
      <c r="AB41" s="28" cm="1">
        <f t="array" ref="AB41">SUM(TablaSupervisores[COSTE]*INDEX(TablaSeleccionSupervisores[],ROW(TablaSeleccionSupervisores[[#This Row],[ORDEN]])-1,_xlfn.XMATCH(TablaSupervisores[REFERENCIA],TablaSeleccionSupervisores[#Headers])))</f>
        <v>29599.010000000002</v>
      </c>
      <c r="AC41" cm="1">
        <f t="array" ref="AC41">SUM(INDEX(TablaSeleccionSupervisores[],ROW(TablaSeleccionSupervisores[[#This Row],[ORDEN]])-1,_xlfn.XMATCH(TablaSupervisores[REFERENCIA],TablaSeleccionSupervisores[#Headers])))</f>
        <v>7</v>
      </c>
      <c r="AD41" t="str" cm="1">
        <f t="array" ref="AD41">IF(INDEX(TablaSeleccionSupervisores[],ROW(TablaSeleccionSupervisores[[#This Row],[ORDEN]])-1,_xlfn.XMATCH("ADMITIDO ADSLITE",TablaSeleccionSupervisores[#Headers])+1)=0,"Sí admitido","No admitido")</f>
        <v>No admitido</v>
      </c>
      <c r="AE41">
        <v>1</v>
      </c>
      <c r="AF41">
        <v>6</v>
      </c>
      <c r="AG41">
        <v>0</v>
      </c>
      <c r="AH41">
        <v>0</v>
      </c>
    </row>
    <row r="42" spans="22:34" x14ac:dyDescent="0.25">
      <c r="V42">
        <v>41</v>
      </c>
      <c r="W42" cm="1">
        <f t="array" ref="W42">SUM(TablaSupervisores[DISPOSITIVOS TOTAL]*INDEX(TablaSeleccionSupervisores[],ROW(TablaSeleccionSupervisores[[#This Row],[ORDEN]])-1,_xlfn.XMATCH(TablaSupervisores[REFERENCIA],TablaSeleccionSupervisores[#Headers])))</f>
        <v>2100</v>
      </c>
      <c r="X42" cm="1">
        <f t="array" ref="X42">SUM(TablaSupervisores[DISPOSITIVOS BACNET MS/TP JC]*INDEX(TablaSeleccionSupervisores[],ROW(TablaSeleccionSupervisores[[#This Row],[ORDEN]])-1,_xlfn.XMATCH(TablaSupervisores[REFERENCIA],TablaSeleccionSupervisores[#Headers])))</f>
        <v>1000</v>
      </c>
      <c r="Y42" cm="1">
        <f t="array" ref="Y42">SUM(TablaSupervisores[DISPOSITIVOS BACNET MS/TP COMPATIBLES]*INDEX(TablaSeleccionSupervisores[],ROW(TablaSeleccionSupervisores[[#This Row],[ORDEN]])-1,_xlfn.XMATCH(TablaSupervisores[REFERENCIA],TablaSeleccionSupervisores[#Headers])))</f>
        <v>640</v>
      </c>
      <c r="Z42" cm="1">
        <f t="array" ref="Z42">SUM(TablaSupervisores[DISPOSITIVOS BACNET IP]*INDEX(TablaSeleccionSupervisores[],ROW(TablaSeleccionSupervisores[[#This Row],[ORDEN]])-1,_xlfn.XMATCH(TablaSupervisores[REFERENCIA],TablaSeleccionSupervisores[#Headers])))</f>
        <v>2000</v>
      </c>
      <c r="AA42" cm="1">
        <f t="array" ref="AA42">SUM(TablaSupervisores[OBJETOS]*INDEX(TablaSeleccionSupervisores[],ROW(TablaSeleccionSupervisores[[#This Row],[ORDEN]])-1,_xlfn.XMATCH(TablaSupervisores[REFERENCIA],TablaSeleccionSupervisores[#Headers])))</f>
        <v>25000</v>
      </c>
      <c r="AB42" s="28" cm="1">
        <f t="array" ref="AB42">SUM(TablaSupervisores[COSTE]*INDEX(TablaSeleccionSupervisores[],ROW(TablaSeleccionSupervisores[[#This Row],[ORDEN]])-1,_xlfn.XMATCH(TablaSupervisores[REFERENCIA],TablaSeleccionSupervisores[#Headers])))</f>
        <v>35265.64</v>
      </c>
      <c r="AC42" cm="1">
        <f t="array" ref="AC42">SUM(INDEX(TablaSeleccionSupervisores[],ROW(TablaSeleccionSupervisores[[#This Row],[ORDEN]])-1,_xlfn.XMATCH(TablaSupervisores[REFERENCIA],TablaSeleccionSupervisores[#Headers])))</f>
        <v>8</v>
      </c>
      <c r="AD42" t="str" cm="1">
        <f t="array" ref="AD42">IF(INDEX(TablaSeleccionSupervisores[],ROW(TablaSeleccionSupervisores[[#This Row],[ORDEN]])-1,_xlfn.XMATCH("ADMITIDO ADSLITE",TablaSeleccionSupervisores[#Headers])+1)=0,"Sí admitido","No admitido")</f>
        <v>No admitido</v>
      </c>
      <c r="AE42">
        <v>2</v>
      </c>
      <c r="AF42">
        <v>6</v>
      </c>
      <c r="AG42">
        <v>0</v>
      </c>
      <c r="AH42">
        <v>0</v>
      </c>
    </row>
    <row r="43" spans="22:34" x14ac:dyDescent="0.25">
      <c r="V43">
        <v>42</v>
      </c>
      <c r="W43" cm="1">
        <f t="array" ref="W43">SUM(TablaSupervisores[DISPOSITIVOS TOTAL]*INDEX(TablaSeleccionSupervisores[],ROW(TablaSeleccionSupervisores[[#This Row],[ORDEN]])-1,_xlfn.XMATCH(TablaSupervisores[REFERENCIA],TablaSeleccionSupervisores[#Headers])))</f>
        <v>1050</v>
      </c>
      <c r="X43" cm="1">
        <f t="array" ref="X43">SUM(TablaSupervisores[DISPOSITIVOS BACNET MS/TP JC]*INDEX(TablaSeleccionSupervisores[],ROW(TablaSeleccionSupervisores[[#This Row],[ORDEN]])-1,_xlfn.XMATCH(TablaSupervisores[REFERENCIA],TablaSeleccionSupervisores[#Headers])))</f>
        <v>700</v>
      </c>
      <c r="Y43" cm="1">
        <f t="array" ref="Y43">SUM(TablaSupervisores[DISPOSITIVOS BACNET MS/TP COMPATIBLES]*INDEX(TablaSeleccionSupervisores[],ROW(TablaSeleccionSupervisores[[#This Row],[ORDEN]])-1,_xlfn.XMATCH(TablaSupervisores[REFERENCIA],TablaSeleccionSupervisores[#Headers])))</f>
        <v>448</v>
      </c>
      <c r="Z43" cm="1">
        <f t="array" ref="Z43">SUM(TablaSupervisores[DISPOSITIVOS BACNET IP]*INDEX(TablaSeleccionSupervisores[],ROW(TablaSeleccionSupervisores[[#This Row],[ORDEN]])-1,_xlfn.XMATCH(TablaSupervisores[REFERENCIA],TablaSeleccionSupervisores[#Headers])))</f>
        <v>1400</v>
      </c>
      <c r="AA43" cm="1">
        <f t="array" ref="AA43">SUM(TablaSupervisores[OBJETOS]*INDEX(TablaSeleccionSupervisores[],ROW(TablaSeleccionSupervisores[[#This Row],[ORDEN]])-1,_xlfn.XMATCH(TablaSupervisores[REFERENCIA],TablaSeleccionSupervisores[#Headers])))</f>
        <v>17500</v>
      </c>
      <c r="AB43" s="28" cm="1">
        <f t="array" ref="AB43">SUM(TablaSupervisores[COSTE]*INDEX(TablaSeleccionSupervisores[],ROW(TablaSeleccionSupervisores[[#This Row],[ORDEN]])-1,_xlfn.XMATCH(TablaSupervisores[REFERENCIA],TablaSeleccionSupervisores[#Headers])))</f>
        <v>27921.11</v>
      </c>
      <c r="AC43" cm="1">
        <f t="array" ref="AC43">SUM(INDEX(TablaSeleccionSupervisores[],ROW(TablaSeleccionSupervisores[[#This Row],[ORDEN]])-1,_xlfn.XMATCH(TablaSupervisores[REFERENCIA],TablaSeleccionSupervisores[#Headers])))</f>
        <v>7</v>
      </c>
      <c r="AD43" t="str" cm="1">
        <f t="array" ref="AD43">IF(INDEX(TablaSeleccionSupervisores[],ROW(TablaSeleccionSupervisores[[#This Row],[ORDEN]])-1,_xlfn.XMATCH("ADMITIDO ADSLITE",TablaSeleccionSupervisores[#Headers])+1)=0,"Sí admitido","No admitido")</f>
        <v>Sí admitido</v>
      </c>
      <c r="AE43">
        <v>0</v>
      </c>
      <c r="AF43">
        <v>7</v>
      </c>
      <c r="AG43">
        <v>0</v>
      </c>
      <c r="AH43">
        <v>0</v>
      </c>
    </row>
    <row r="44" spans="22:34" x14ac:dyDescent="0.25">
      <c r="V44">
        <v>43</v>
      </c>
      <c r="W44" cm="1">
        <f t="array" ref="W44">SUM(TablaSupervisores[DISPOSITIVOS TOTAL]*INDEX(TablaSeleccionSupervisores[],ROW(TablaSeleccionSupervisores[[#This Row],[ORDEN]])-1,_xlfn.XMATCH(TablaSupervisores[REFERENCIA],TablaSeleccionSupervisores[#Headers])))</f>
        <v>1650</v>
      </c>
      <c r="X44" cm="1">
        <f t="array" ref="X44">SUM(TablaSupervisores[DISPOSITIVOS BACNET MS/TP JC]*INDEX(TablaSeleccionSupervisores[],ROW(TablaSeleccionSupervisores[[#This Row],[ORDEN]])-1,_xlfn.XMATCH(TablaSupervisores[REFERENCIA],TablaSeleccionSupervisores[#Headers])))</f>
        <v>900</v>
      </c>
      <c r="Y44" cm="1">
        <f t="array" ref="Y44">SUM(TablaSupervisores[DISPOSITIVOS BACNET MS/TP COMPATIBLES]*INDEX(TablaSeleccionSupervisores[],ROW(TablaSeleccionSupervisores[[#This Row],[ORDEN]])-1,_xlfn.XMATCH(TablaSupervisores[REFERENCIA],TablaSeleccionSupervisores[#Headers])))</f>
        <v>576</v>
      </c>
      <c r="Z44" cm="1">
        <f t="array" ref="Z44">SUM(TablaSupervisores[DISPOSITIVOS BACNET IP]*INDEX(TablaSeleccionSupervisores[],ROW(TablaSeleccionSupervisores[[#This Row],[ORDEN]])-1,_xlfn.XMATCH(TablaSupervisores[REFERENCIA],TablaSeleccionSupervisores[#Headers])))</f>
        <v>1800</v>
      </c>
      <c r="AA44" cm="1">
        <f t="array" ref="AA44">SUM(TablaSupervisores[OBJETOS]*INDEX(TablaSeleccionSupervisores[],ROW(TablaSeleccionSupervisores[[#This Row],[ORDEN]])-1,_xlfn.XMATCH(TablaSupervisores[REFERENCIA],TablaSeleccionSupervisores[#Headers])))</f>
        <v>22500</v>
      </c>
      <c r="AB44" s="28" cm="1">
        <f t="array" ref="AB44">SUM(TablaSupervisores[COSTE]*INDEX(TablaSeleccionSupervisores[],ROW(TablaSeleccionSupervisores[[#This Row],[ORDEN]])-1,_xlfn.XMATCH(TablaSupervisores[REFERENCIA],TablaSeleccionSupervisores[#Headers])))</f>
        <v>33587.74</v>
      </c>
      <c r="AC44" cm="1">
        <f t="array" ref="AC44">SUM(INDEX(TablaSeleccionSupervisores[],ROW(TablaSeleccionSupervisores[[#This Row],[ORDEN]])-1,_xlfn.XMATCH(TablaSupervisores[REFERENCIA],TablaSeleccionSupervisores[#Headers])))</f>
        <v>8</v>
      </c>
      <c r="AD44" t="str" cm="1">
        <f t="array" ref="AD44">IF(INDEX(TablaSeleccionSupervisores[],ROW(TablaSeleccionSupervisores[[#This Row],[ORDEN]])-1,_xlfn.XMATCH("ADMITIDO ADSLITE",TablaSeleccionSupervisores[#Headers])+1)=0,"Sí admitido","No admitido")</f>
        <v>No admitido</v>
      </c>
      <c r="AE44">
        <v>1</v>
      </c>
      <c r="AF44">
        <v>7</v>
      </c>
      <c r="AG44">
        <v>0</v>
      </c>
      <c r="AH44">
        <v>0</v>
      </c>
    </row>
    <row r="45" spans="22:34" x14ac:dyDescent="0.25">
      <c r="V45">
        <v>44</v>
      </c>
      <c r="W45" cm="1">
        <f t="array" ref="W45">SUM(TablaSupervisores[DISPOSITIVOS TOTAL]*INDEX(TablaSeleccionSupervisores[],ROW(TablaSeleccionSupervisores[[#This Row],[ORDEN]])-1,_xlfn.XMATCH(TablaSupervisores[REFERENCIA],TablaSeleccionSupervisores[#Headers])))</f>
        <v>1200</v>
      </c>
      <c r="X45" cm="1">
        <f t="array" ref="X45">SUM(TablaSupervisores[DISPOSITIVOS BACNET MS/TP JC]*INDEX(TablaSeleccionSupervisores[],ROW(TablaSeleccionSupervisores[[#This Row],[ORDEN]])-1,_xlfn.XMATCH(TablaSupervisores[REFERENCIA],TablaSeleccionSupervisores[#Headers])))</f>
        <v>800</v>
      </c>
      <c r="Y45" cm="1">
        <f t="array" ref="Y45">SUM(TablaSupervisores[DISPOSITIVOS BACNET MS/TP COMPATIBLES]*INDEX(TablaSeleccionSupervisores[],ROW(TablaSeleccionSupervisores[[#This Row],[ORDEN]])-1,_xlfn.XMATCH(TablaSupervisores[REFERENCIA],TablaSeleccionSupervisores[#Headers])))</f>
        <v>512</v>
      </c>
      <c r="Z45" cm="1">
        <f t="array" ref="Z45">SUM(TablaSupervisores[DISPOSITIVOS BACNET IP]*INDEX(TablaSeleccionSupervisores[],ROW(TablaSeleccionSupervisores[[#This Row],[ORDEN]])-1,_xlfn.XMATCH(TablaSupervisores[REFERENCIA],TablaSeleccionSupervisores[#Headers])))</f>
        <v>1600</v>
      </c>
      <c r="AA45" cm="1">
        <f t="array" ref="AA45">SUM(TablaSupervisores[OBJETOS]*INDEX(TablaSeleccionSupervisores[],ROW(TablaSeleccionSupervisores[[#This Row],[ORDEN]])-1,_xlfn.XMATCH(TablaSupervisores[REFERENCIA],TablaSeleccionSupervisores[#Headers])))</f>
        <v>20000</v>
      </c>
      <c r="AB45" s="28" cm="1">
        <f t="array" ref="AB45">SUM(TablaSupervisores[COSTE]*INDEX(TablaSeleccionSupervisores[],ROW(TablaSeleccionSupervisores[[#This Row],[ORDEN]])-1,_xlfn.XMATCH(TablaSupervisores[REFERENCIA],TablaSeleccionSupervisores[#Headers])))</f>
        <v>31909.84</v>
      </c>
      <c r="AC45" cm="1">
        <f t="array" ref="AC45">SUM(INDEX(TablaSeleccionSupervisores[],ROW(TablaSeleccionSupervisores[[#This Row],[ORDEN]])-1,_xlfn.XMATCH(TablaSupervisores[REFERENCIA],TablaSeleccionSupervisores[#Headers])))</f>
        <v>8</v>
      </c>
      <c r="AD45" t="str" cm="1">
        <f t="array" ref="AD45">IF(INDEX(TablaSeleccionSupervisores[],ROW(TablaSeleccionSupervisores[[#This Row],[ORDEN]])-1,_xlfn.XMATCH("ADMITIDO ADSLITE",TablaSeleccionSupervisores[#Headers])+1)=0,"Sí admitido","No admitido")</f>
        <v>Sí admitido</v>
      </c>
      <c r="AE45">
        <v>0</v>
      </c>
      <c r="AF45">
        <v>8</v>
      </c>
      <c r="AG45">
        <v>0</v>
      </c>
      <c r="AH45">
        <v>0</v>
      </c>
    </row>
    <row r="46" spans="22:34" x14ac:dyDescent="0.25">
      <c r="V46">
        <v>45</v>
      </c>
      <c r="W46" cm="1">
        <f t="array" ref="W46">SUM(TablaSupervisores[DISPOSITIVOS TOTAL]*INDEX(TablaSeleccionSupervisores[],ROW(TablaSeleccionSupervisores[[#This Row],[ORDEN]])-1,_xlfn.XMATCH(TablaSupervisores[REFERENCIA],TablaSeleccionSupervisores[#Headers])))</f>
        <v>60</v>
      </c>
      <c r="X46" cm="1">
        <f t="array" ref="X46">SUM(TablaSupervisores[DISPOSITIVOS BACNET MS/TP JC]*INDEX(TablaSeleccionSupervisores[],ROW(TablaSeleccionSupervisores[[#This Row],[ORDEN]])-1,_xlfn.XMATCH(TablaSupervisores[REFERENCIA],TablaSeleccionSupervisores[#Headers])))</f>
        <v>50</v>
      </c>
      <c r="Y46" cm="1">
        <f t="array" ref="Y46">SUM(TablaSupervisores[DISPOSITIVOS BACNET MS/TP COMPATIBLES]*INDEX(TablaSeleccionSupervisores[],ROW(TablaSeleccionSupervisores[[#This Row],[ORDEN]])-1,_xlfn.XMATCH(TablaSupervisores[REFERENCIA],TablaSeleccionSupervisores[#Headers])))</f>
        <v>32</v>
      </c>
      <c r="Z46" cm="1">
        <f t="array" ref="Z46">SUM(TablaSupervisores[DISPOSITIVOS BACNET IP]*INDEX(TablaSeleccionSupervisores[],ROW(TablaSeleccionSupervisores[[#This Row],[ORDEN]])-1,_xlfn.XMATCH(TablaSupervisores[REFERENCIA],TablaSeleccionSupervisores[#Headers])))</f>
        <v>100</v>
      </c>
      <c r="AA46" cm="1">
        <f t="array" ref="AA46">SUM(TablaSupervisores[OBJETOS]*INDEX(TablaSeleccionSupervisores[],ROW(TablaSeleccionSupervisores[[#This Row],[ORDEN]])-1,_xlfn.XMATCH(TablaSupervisores[REFERENCIA],TablaSeleccionSupervisores[#Headers])))</f>
        <v>2500</v>
      </c>
      <c r="AB46" s="28" cm="1">
        <f t="array" ref="AB46">SUM(TablaSupervisores[COSTE]*INDEX(TablaSeleccionSupervisores[],ROW(TablaSeleccionSupervisores[[#This Row],[ORDEN]])-1,_xlfn.XMATCH(TablaSupervisores[REFERENCIA],TablaSeleccionSupervisores[#Headers])))</f>
        <v>1423.48</v>
      </c>
      <c r="AC46" cm="1">
        <f t="array" ref="AC46">SUM(INDEX(TablaSeleccionSupervisores[],ROW(TablaSeleccionSupervisores[[#This Row],[ORDEN]])-1,_xlfn.XMATCH(TablaSupervisores[REFERENCIA],TablaSeleccionSupervisores[#Headers])))</f>
        <v>1</v>
      </c>
      <c r="AD46" t="str" cm="1">
        <f t="array" ref="AD46">IF(INDEX(TablaSeleccionSupervisores[],ROW(TablaSeleccionSupervisores[[#This Row],[ORDEN]])-1,_xlfn.XMATCH("ADMITIDO ADSLITE",TablaSeleccionSupervisores[#Headers])+1)=0,"Sí admitido","No admitido")</f>
        <v>Sí admitido</v>
      </c>
      <c r="AE46">
        <v>0</v>
      </c>
      <c r="AF46">
        <v>0</v>
      </c>
      <c r="AG46">
        <v>1</v>
      </c>
      <c r="AH46">
        <v>0</v>
      </c>
    </row>
    <row r="47" spans="22:34" x14ac:dyDescent="0.25">
      <c r="V47">
        <v>46</v>
      </c>
      <c r="W47" cm="1">
        <f t="array" ref="W47">SUM(TablaSupervisores[DISPOSITIVOS TOTAL]*INDEX(TablaSeleccionSupervisores[],ROW(TablaSeleccionSupervisores[[#This Row],[ORDEN]])-1,_xlfn.XMATCH(TablaSupervisores[REFERENCIA],TablaSeleccionSupervisores[#Headers])))</f>
        <v>660</v>
      </c>
      <c r="X47" cm="1">
        <f t="array" ref="X47">SUM(TablaSupervisores[DISPOSITIVOS BACNET MS/TP JC]*INDEX(TablaSeleccionSupervisores[],ROW(TablaSeleccionSupervisores[[#This Row],[ORDEN]])-1,_xlfn.XMATCH(TablaSupervisores[REFERENCIA],TablaSeleccionSupervisores[#Headers])))</f>
        <v>250</v>
      </c>
      <c r="Y47" cm="1">
        <f t="array" ref="Y47">SUM(TablaSupervisores[DISPOSITIVOS BACNET MS/TP COMPATIBLES]*INDEX(TablaSeleccionSupervisores[],ROW(TablaSeleccionSupervisores[[#This Row],[ORDEN]])-1,_xlfn.XMATCH(TablaSupervisores[REFERENCIA],TablaSeleccionSupervisores[#Headers])))</f>
        <v>160</v>
      </c>
      <c r="Z47" cm="1">
        <f t="array" ref="Z47">SUM(TablaSupervisores[DISPOSITIVOS BACNET IP]*INDEX(TablaSeleccionSupervisores[],ROW(TablaSeleccionSupervisores[[#This Row],[ORDEN]])-1,_xlfn.XMATCH(TablaSupervisores[REFERENCIA],TablaSeleccionSupervisores[#Headers])))</f>
        <v>500</v>
      </c>
      <c r="AA47" cm="1">
        <f t="array" ref="AA47">SUM(TablaSupervisores[OBJETOS]*INDEX(TablaSeleccionSupervisores[],ROW(TablaSeleccionSupervisores[[#This Row],[ORDEN]])-1,_xlfn.XMATCH(TablaSupervisores[REFERENCIA],TablaSeleccionSupervisores[#Headers])))</f>
        <v>7500</v>
      </c>
      <c r="AB47" s="28" cm="1">
        <f t="array" ref="AB47">SUM(TablaSupervisores[COSTE]*INDEX(TablaSeleccionSupervisores[],ROW(TablaSeleccionSupervisores[[#This Row],[ORDEN]])-1,_xlfn.XMATCH(TablaSupervisores[REFERENCIA],TablaSeleccionSupervisores[#Headers])))</f>
        <v>7090.1100000000006</v>
      </c>
      <c r="AC47" cm="1">
        <f t="array" ref="AC47">SUM(INDEX(TablaSeleccionSupervisores[],ROW(TablaSeleccionSupervisores[[#This Row],[ORDEN]])-1,_xlfn.XMATCH(TablaSupervisores[REFERENCIA],TablaSeleccionSupervisores[#Headers])))</f>
        <v>2</v>
      </c>
      <c r="AD47" t="str" cm="1">
        <f t="array" ref="AD47">IF(INDEX(TablaSeleccionSupervisores[],ROW(TablaSeleccionSupervisores[[#This Row],[ORDEN]])-1,_xlfn.XMATCH("ADMITIDO ADSLITE",TablaSeleccionSupervisores[#Headers])+1)=0,"Sí admitido","No admitido")</f>
        <v>No admitido</v>
      </c>
      <c r="AE47">
        <v>1</v>
      </c>
      <c r="AF47">
        <v>0</v>
      </c>
      <c r="AG47">
        <v>1</v>
      </c>
      <c r="AH47">
        <v>0</v>
      </c>
    </row>
    <row r="48" spans="22:34" x14ac:dyDescent="0.25">
      <c r="V48">
        <v>47</v>
      </c>
      <c r="W48" cm="1">
        <f t="array" ref="W48">SUM(TablaSupervisores[DISPOSITIVOS TOTAL]*INDEX(TablaSeleccionSupervisores[],ROW(TablaSeleccionSupervisores[[#This Row],[ORDEN]])-1,_xlfn.XMATCH(TablaSupervisores[REFERENCIA],TablaSeleccionSupervisores[#Headers])))</f>
        <v>1260</v>
      </c>
      <c r="X48" cm="1">
        <f t="array" ref="X48">SUM(TablaSupervisores[DISPOSITIVOS BACNET MS/TP JC]*INDEX(TablaSeleccionSupervisores[],ROW(TablaSeleccionSupervisores[[#This Row],[ORDEN]])-1,_xlfn.XMATCH(TablaSupervisores[REFERENCIA],TablaSeleccionSupervisores[#Headers])))</f>
        <v>450</v>
      </c>
      <c r="Y48" cm="1">
        <f t="array" ref="Y48">SUM(TablaSupervisores[DISPOSITIVOS BACNET MS/TP COMPATIBLES]*INDEX(TablaSeleccionSupervisores[],ROW(TablaSeleccionSupervisores[[#This Row],[ORDEN]])-1,_xlfn.XMATCH(TablaSupervisores[REFERENCIA],TablaSeleccionSupervisores[#Headers])))</f>
        <v>288</v>
      </c>
      <c r="Z48" cm="1">
        <f t="array" ref="Z48">SUM(TablaSupervisores[DISPOSITIVOS BACNET IP]*INDEX(TablaSeleccionSupervisores[],ROW(TablaSeleccionSupervisores[[#This Row],[ORDEN]])-1,_xlfn.XMATCH(TablaSupervisores[REFERENCIA],TablaSeleccionSupervisores[#Headers])))</f>
        <v>900</v>
      </c>
      <c r="AA48" cm="1">
        <f t="array" ref="AA48">SUM(TablaSupervisores[OBJETOS]*INDEX(TablaSeleccionSupervisores[],ROW(TablaSeleccionSupervisores[[#This Row],[ORDEN]])-1,_xlfn.XMATCH(TablaSupervisores[REFERENCIA],TablaSeleccionSupervisores[#Headers])))</f>
        <v>12500</v>
      </c>
      <c r="AB48" s="28" cm="1">
        <f t="array" ref="AB48">SUM(TablaSupervisores[COSTE]*INDEX(TablaSeleccionSupervisores[],ROW(TablaSeleccionSupervisores[[#This Row],[ORDEN]])-1,_xlfn.XMATCH(TablaSupervisores[REFERENCIA],TablaSeleccionSupervisores[#Headers])))</f>
        <v>12756.74</v>
      </c>
      <c r="AC48" cm="1">
        <f t="array" ref="AC48">SUM(INDEX(TablaSeleccionSupervisores[],ROW(TablaSeleccionSupervisores[[#This Row],[ORDEN]])-1,_xlfn.XMATCH(TablaSupervisores[REFERENCIA],TablaSeleccionSupervisores[#Headers])))</f>
        <v>3</v>
      </c>
      <c r="AD48" t="str" cm="1">
        <f t="array" ref="AD48">IF(INDEX(TablaSeleccionSupervisores[],ROW(TablaSeleccionSupervisores[[#This Row],[ORDEN]])-1,_xlfn.XMATCH("ADMITIDO ADSLITE",TablaSeleccionSupervisores[#Headers])+1)=0,"Sí admitido","No admitido")</f>
        <v>No admitido</v>
      </c>
      <c r="AE48">
        <v>2</v>
      </c>
      <c r="AF48">
        <v>0</v>
      </c>
      <c r="AG48">
        <v>1</v>
      </c>
      <c r="AH48">
        <v>0</v>
      </c>
    </row>
    <row r="49" spans="22:34" x14ac:dyDescent="0.25">
      <c r="V49">
        <v>48</v>
      </c>
      <c r="W49" cm="1">
        <f t="array" ref="W49">SUM(TablaSupervisores[DISPOSITIVOS TOTAL]*INDEX(TablaSeleccionSupervisores[],ROW(TablaSeleccionSupervisores[[#This Row],[ORDEN]])-1,_xlfn.XMATCH(TablaSupervisores[REFERENCIA],TablaSeleccionSupervisores[#Headers])))</f>
        <v>1860</v>
      </c>
      <c r="X49" cm="1">
        <f t="array" ref="X49">SUM(TablaSupervisores[DISPOSITIVOS BACNET MS/TP JC]*INDEX(TablaSeleccionSupervisores[],ROW(TablaSeleccionSupervisores[[#This Row],[ORDEN]])-1,_xlfn.XMATCH(TablaSupervisores[REFERENCIA],TablaSeleccionSupervisores[#Headers])))</f>
        <v>650</v>
      </c>
      <c r="Y49" cm="1">
        <f t="array" ref="Y49">SUM(TablaSupervisores[DISPOSITIVOS BACNET MS/TP COMPATIBLES]*INDEX(TablaSeleccionSupervisores[],ROW(TablaSeleccionSupervisores[[#This Row],[ORDEN]])-1,_xlfn.XMATCH(TablaSupervisores[REFERENCIA],TablaSeleccionSupervisores[#Headers])))</f>
        <v>416</v>
      </c>
      <c r="Z49" cm="1">
        <f t="array" ref="Z49">SUM(TablaSupervisores[DISPOSITIVOS BACNET IP]*INDEX(TablaSeleccionSupervisores[],ROW(TablaSeleccionSupervisores[[#This Row],[ORDEN]])-1,_xlfn.XMATCH(TablaSupervisores[REFERENCIA],TablaSeleccionSupervisores[#Headers])))</f>
        <v>1300</v>
      </c>
      <c r="AA49" cm="1">
        <f t="array" ref="AA49">SUM(TablaSupervisores[OBJETOS]*INDEX(TablaSeleccionSupervisores[],ROW(TablaSeleccionSupervisores[[#This Row],[ORDEN]])-1,_xlfn.XMATCH(TablaSupervisores[REFERENCIA],TablaSeleccionSupervisores[#Headers])))</f>
        <v>17500</v>
      </c>
      <c r="AB49" s="28" cm="1">
        <f t="array" ref="AB49">SUM(TablaSupervisores[COSTE]*INDEX(TablaSeleccionSupervisores[],ROW(TablaSeleccionSupervisores[[#This Row],[ORDEN]])-1,_xlfn.XMATCH(TablaSupervisores[REFERENCIA],TablaSeleccionSupervisores[#Headers])))</f>
        <v>18423.37</v>
      </c>
      <c r="AC49" cm="1">
        <f t="array" ref="AC49">SUM(INDEX(TablaSeleccionSupervisores[],ROW(TablaSeleccionSupervisores[[#This Row],[ORDEN]])-1,_xlfn.XMATCH(TablaSupervisores[REFERENCIA],TablaSeleccionSupervisores[#Headers])))</f>
        <v>4</v>
      </c>
      <c r="AD49" t="str" cm="1">
        <f t="array" ref="AD49">IF(INDEX(TablaSeleccionSupervisores[],ROW(TablaSeleccionSupervisores[[#This Row],[ORDEN]])-1,_xlfn.XMATCH("ADMITIDO ADSLITE",TablaSeleccionSupervisores[#Headers])+1)=0,"Sí admitido","No admitido")</f>
        <v>No admitido</v>
      </c>
      <c r="AE49">
        <v>3</v>
      </c>
      <c r="AF49">
        <v>0</v>
      </c>
      <c r="AG49">
        <v>1</v>
      </c>
      <c r="AH49">
        <v>0</v>
      </c>
    </row>
    <row r="50" spans="22:34" x14ac:dyDescent="0.25">
      <c r="V50">
        <v>49</v>
      </c>
      <c r="W50" cm="1">
        <f t="array" ref="W50">SUM(TablaSupervisores[DISPOSITIVOS TOTAL]*INDEX(TablaSeleccionSupervisores[],ROW(TablaSeleccionSupervisores[[#This Row],[ORDEN]])-1,_xlfn.XMATCH(TablaSupervisores[REFERENCIA],TablaSeleccionSupervisores[#Headers])))</f>
        <v>2460</v>
      </c>
      <c r="X50" cm="1">
        <f t="array" ref="X50">SUM(TablaSupervisores[DISPOSITIVOS BACNET MS/TP JC]*INDEX(TablaSeleccionSupervisores[],ROW(TablaSeleccionSupervisores[[#This Row],[ORDEN]])-1,_xlfn.XMATCH(TablaSupervisores[REFERENCIA],TablaSeleccionSupervisores[#Headers])))</f>
        <v>850</v>
      </c>
      <c r="Y50" cm="1">
        <f t="array" ref="Y50">SUM(TablaSupervisores[DISPOSITIVOS BACNET MS/TP COMPATIBLES]*INDEX(TablaSeleccionSupervisores[],ROW(TablaSeleccionSupervisores[[#This Row],[ORDEN]])-1,_xlfn.XMATCH(TablaSupervisores[REFERENCIA],TablaSeleccionSupervisores[#Headers])))</f>
        <v>544</v>
      </c>
      <c r="Z50" cm="1">
        <f t="array" ref="Z50">SUM(TablaSupervisores[DISPOSITIVOS BACNET IP]*INDEX(TablaSeleccionSupervisores[],ROW(TablaSeleccionSupervisores[[#This Row],[ORDEN]])-1,_xlfn.XMATCH(TablaSupervisores[REFERENCIA],TablaSeleccionSupervisores[#Headers])))</f>
        <v>1700</v>
      </c>
      <c r="AA50" cm="1">
        <f t="array" ref="AA50">SUM(TablaSupervisores[OBJETOS]*INDEX(TablaSeleccionSupervisores[],ROW(TablaSeleccionSupervisores[[#This Row],[ORDEN]])-1,_xlfn.XMATCH(TablaSupervisores[REFERENCIA],TablaSeleccionSupervisores[#Headers])))</f>
        <v>22500</v>
      </c>
      <c r="AB50" s="28" cm="1">
        <f t="array" ref="AB50">SUM(TablaSupervisores[COSTE]*INDEX(TablaSeleccionSupervisores[],ROW(TablaSeleccionSupervisores[[#This Row],[ORDEN]])-1,_xlfn.XMATCH(TablaSupervisores[REFERENCIA],TablaSeleccionSupervisores[#Headers])))</f>
        <v>24090</v>
      </c>
      <c r="AC50" cm="1">
        <f t="array" ref="AC50">SUM(INDEX(TablaSeleccionSupervisores[],ROW(TablaSeleccionSupervisores[[#This Row],[ORDEN]])-1,_xlfn.XMATCH(TablaSupervisores[REFERENCIA],TablaSeleccionSupervisores[#Headers])))</f>
        <v>5</v>
      </c>
      <c r="AD50" t="str" cm="1">
        <f t="array" ref="AD50">IF(INDEX(TablaSeleccionSupervisores[],ROW(TablaSeleccionSupervisores[[#This Row],[ORDEN]])-1,_xlfn.XMATCH("ADMITIDO ADSLITE",TablaSeleccionSupervisores[#Headers])+1)=0,"Sí admitido","No admitido")</f>
        <v>No admitido</v>
      </c>
      <c r="AE50">
        <v>4</v>
      </c>
      <c r="AF50">
        <v>0</v>
      </c>
      <c r="AG50">
        <v>1</v>
      </c>
      <c r="AH50">
        <v>0</v>
      </c>
    </row>
    <row r="51" spans="22:34" x14ac:dyDescent="0.25">
      <c r="V51">
        <v>50</v>
      </c>
      <c r="W51" cm="1">
        <f t="array" ref="W51">SUM(TablaSupervisores[DISPOSITIVOS TOTAL]*INDEX(TablaSeleccionSupervisores[],ROW(TablaSeleccionSupervisores[[#This Row],[ORDEN]])-1,_xlfn.XMATCH(TablaSupervisores[REFERENCIA],TablaSeleccionSupervisores[#Headers])))</f>
        <v>3060</v>
      </c>
      <c r="X51" cm="1">
        <f t="array" ref="X51">SUM(TablaSupervisores[DISPOSITIVOS BACNET MS/TP JC]*INDEX(TablaSeleccionSupervisores[],ROW(TablaSeleccionSupervisores[[#This Row],[ORDEN]])-1,_xlfn.XMATCH(TablaSupervisores[REFERENCIA],TablaSeleccionSupervisores[#Headers])))</f>
        <v>1050</v>
      </c>
      <c r="Y51" cm="1">
        <f t="array" ref="Y51">SUM(TablaSupervisores[DISPOSITIVOS BACNET MS/TP COMPATIBLES]*INDEX(TablaSeleccionSupervisores[],ROW(TablaSeleccionSupervisores[[#This Row],[ORDEN]])-1,_xlfn.XMATCH(TablaSupervisores[REFERENCIA],TablaSeleccionSupervisores[#Headers])))</f>
        <v>672</v>
      </c>
      <c r="Z51" cm="1">
        <f t="array" ref="Z51">SUM(TablaSupervisores[DISPOSITIVOS BACNET IP]*INDEX(TablaSeleccionSupervisores[],ROW(TablaSeleccionSupervisores[[#This Row],[ORDEN]])-1,_xlfn.XMATCH(TablaSupervisores[REFERENCIA],TablaSeleccionSupervisores[#Headers])))</f>
        <v>2100</v>
      </c>
      <c r="AA51" cm="1">
        <f t="array" ref="AA51">SUM(TablaSupervisores[OBJETOS]*INDEX(TablaSeleccionSupervisores[],ROW(TablaSeleccionSupervisores[[#This Row],[ORDEN]])-1,_xlfn.XMATCH(TablaSupervisores[REFERENCIA],TablaSeleccionSupervisores[#Headers])))</f>
        <v>27500</v>
      </c>
      <c r="AB51" s="28" cm="1">
        <f t="array" ref="AB51">SUM(TablaSupervisores[COSTE]*INDEX(TablaSeleccionSupervisores[],ROW(TablaSeleccionSupervisores[[#This Row],[ORDEN]])-1,_xlfn.XMATCH(TablaSupervisores[REFERENCIA],TablaSeleccionSupervisores[#Headers])))</f>
        <v>29756.63</v>
      </c>
      <c r="AC51" cm="1">
        <f t="array" ref="AC51">SUM(INDEX(TablaSeleccionSupervisores[],ROW(TablaSeleccionSupervisores[[#This Row],[ORDEN]])-1,_xlfn.XMATCH(TablaSupervisores[REFERENCIA],TablaSeleccionSupervisores[#Headers])))</f>
        <v>6</v>
      </c>
      <c r="AD51" t="str" cm="1">
        <f t="array" ref="AD51">IF(INDEX(TablaSeleccionSupervisores[],ROW(TablaSeleccionSupervisores[[#This Row],[ORDEN]])-1,_xlfn.XMATCH("ADMITIDO ADSLITE",TablaSeleccionSupervisores[#Headers])+1)=0,"Sí admitido","No admitido")</f>
        <v>No admitido</v>
      </c>
      <c r="AE51">
        <v>5</v>
      </c>
      <c r="AF51">
        <v>0</v>
      </c>
      <c r="AG51">
        <v>1</v>
      </c>
      <c r="AH51">
        <v>0</v>
      </c>
    </row>
    <row r="52" spans="22:34" x14ac:dyDescent="0.25">
      <c r="V52">
        <v>51</v>
      </c>
      <c r="W52" cm="1">
        <f t="array" ref="W52">SUM(TablaSupervisores[DISPOSITIVOS TOTAL]*INDEX(TablaSeleccionSupervisores[],ROW(TablaSeleccionSupervisores[[#This Row],[ORDEN]])-1,_xlfn.XMATCH(TablaSupervisores[REFERENCIA],TablaSeleccionSupervisores[#Headers])))</f>
        <v>3660</v>
      </c>
      <c r="X52" cm="1">
        <f t="array" ref="X52">SUM(TablaSupervisores[DISPOSITIVOS BACNET MS/TP JC]*INDEX(TablaSeleccionSupervisores[],ROW(TablaSeleccionSupervisores[[#This Row],[ORDEN]])-1,_xlfn.XMATCH(TablaSupervisores[REFERENCIA],TablaSeleccionSupervisores[#Headers])))</f>
        <v>1250</v>
      </c>
      <c r="Y52" cm="1">
        <f t="array" ref="Y52">SUM(TablaSupervisores[DISPOSITIVOS BACNET MS/TP COMPATIBLES]*INDEX(TablaSeleccionSupervisores[],ROW(TablaSeleccionSupervisores[[#This Row],[ORDEN]])-1,_xlfn.XMATCH(TablaSupervisores[REFERENCIA],TablaSeleccionSupervisores[#Headers])))</f>
        <v>800</v>
      </c>
      <c r="Z52" cm="1">
        <f t="array" ref="Z52">SUM(TablaSupervisores[DISPOSITIVOS BACNET IP]*INDEX(TablaSeleccionSupervisores[],ROW(TablaSeleccionSupervisores[[#This Row],[ORDEN]])-1,_xlfn.XMATCH(TablaSupervisores[REFERENCIA],TablaSeleccionSupervisores[#Headers])))</f>
        <v>2500</v>
      </c>
      <c r="AA52" cm="1">
        <f t="array" ref="AA52">SUM(TablaSupervisores[OBJETOS]*INDEX(TablaSeleccionSupervisores[],ROW(TablaSeleccionSupervisores[[#This Row],[ORDEN]])-1,_xlfn.XMATCH(TablaSupervisores[REFERENCIA],TablaSeleccionSupervisores[#Headers])))</f>
        <v>32500</v>
      </c>
      <c r="AB52" s="28" cm="1">
        <f t="array" ref="AB52">SUM(TablaSupervisores[COSTE]*INDEX(TablaSeleccionSupervisores[],ROW(TablaSeleccionSupervisores[[#This Row],[ORDEN]])-1,_xlfn.XMATCH(TablaSupervisores[REFERENCIA],TablaSeleccionSupervisores[#Headers])))</f>
        <v>35423.26</v>
      </c>
      <c r="AC52" cm="1">
        <f t="array" ref="AC52">SUM(INDEX(TablaSeleccionSupervisores[],ROW(TablaSeleccionSupervisores[[#This Row],[ORDEN]])-1,_xlfn.XMATCH(TablaSupervisores[REFERENCIA],TablaSeleccionSupervisores[#Headers])))</f>
        <v>7</v>
      </c>
      <c r="AD52" t="str" cm="1">
        <f t="array" ref="AD52">IF(INDEX(TablaSeleccionSupervisores[],ROW(TablaSeleccionSupervisores[[#This Row],[ORDEN]])-1,_xlfn.XMATCH("ADMITIDO ADSLITE",TablaSeleccionSupervisores[#Headers])+1)=0,"Sí admitido","No admitido")</f>
        <v>No admitido</v>
      </c>
      <c r="AE52">
        <v>6</v>
      </c>
      <c r="AF52">
        <v>0</v>
      </c>
      <c r="AG52">
        <v>1</v>
      </c>
      <c r="AH52">
        <v>0</v>
      </c>
    </row>
    <row r="53" spans="22:34" x14ac:dyDescent="0.25">
      <c r="V53">
        <v>52</v>
      </c>
      <c r="W53" cm="1">
        <f t="array" ref="W53">SUM(TablaSupervisores[DISPOSITIVOS TOTAL]*INDEX(TablaSeleccionSupervisores[],ROW(TablaSeleccionSupervisores[[#This Row],[ORDEN]])-1,_xlfn.XMATCH(TablaSupervisores[REFERENCIA],TablaSeleccionSupervisores[#Headers])))</f>
        <v>4260</v>
      </c>
      <c r="X53" cm="1">
        <f t="array" ref="X53">SUM(TablaSupervisores[DISPOSITIVOS BACNET MS/TP JC]*INDEX(TablaSeleccionSupervisores[],ROW(TablaSeleccionSupervisores[[#This Row],[ORDEN]])-1,_xlfn.XMATCH(TablaSupervisores[REFERENCIA],TablaSeleccionSupervisores[#Headers])))</f>
        <v>1450</v>
      </c>
      <c r="Y53" cm="1">
        <f t="array" ref="Y53">SUM(TablaSupervisores[DISPOSITIVOS BACNET MS/TP COMPATIBLES]*INDEX(TablaSeleccionSupervisores[],ROW(TablaSeleccionSupervisores[[#This Row],[ORDEN]])-1,_xlfn.XMATCH(TablaSupervisores[REFERENCIA],TablaSeleccionSupervisores[#Headers])))</f>
        <v>928</v>
      </c>
      <c r="Z53" cm="1">
        <f t="array" ref="Z53">SUM(TablaSupervisores[DISPOSITIVOS BACNET IP]*INDEX(TablaSeleccionSupervisores[],ROW(TablaSeleccionSupervisores[[#This Row],[ORDEN]])-1,_xlfn.XMATCH(TablaSupervisores[REFERENCIA],TablaSeleccionSupervisores[#Headers])))</f>
        <v>2900</v>
      </c>
      <c r="AA53" cm="1">
        <f t="array" ref="AA53">SUM(TablaSupervisores[OBJETOS]*INDEX(TablaSeleccionSupervisores[],ROW(TablaSeleccionSupervisores[[#This Row],[ORDEN]])-1,_xlfn.XMATCH(TablaSupervisores[REFERENCIA],TablaSeleccionSupervisores[#Headers])))</f>
        <v>37500</v>
      </c>
      <c r="AB53" s="28" cm="1">
        <f t="array" ref="AB53">SUM(TablaSupervisores[COSTE]*INDEX(TablaSeleccionSupervisores[],ROW(TablaSeleccionSupervisores[[#This Row],[ORDEN]])-1,_xlfn.XMATCH(TablaSupervisores[REFERENCIA],TablaSeleccionSupervisores[#Headers])))</f>
        <v>41089.890000000007</v>
      </c>
      <c r="AC53" cm="1">
        <f t="array" ref="AC53">SUM(INDEX(TablaSeleccionSupervisores[],ROW(TablaSeleccionSupervisores[[#This Row],[ORDEN]])-1,_xlfn.XMATCH(TablaSupervisores[REFERENCIA],TablaSeleccionSupervisores[#Headers])))</f>
        <v>8</v>
      </c>
      <c r="AD53" t="str" cm="1">
        <f t="array" ref="AD53">IF(INDEX(TablaSeleccionSupervisores[],ROW(TablaSeleccionSupervisores[[#This Row],[ORDEN]])-1,_xlfn.XMATCH("ADMITIDO ADSLITE",TablaSeleccionSupervisores[#Headers])+1)=0,"Sí admitido","No admitido")</f>
        <v>No admitido</v>
      </c>
      <c r="AE53">
        <v>7</v>
      </c>
      <c r="AF53">
        <v>0</v>
      </c>
      <c r="AG53">
        <v>1</v>
      </c>
      <c r="AH53">
        <v>0</v>
      </c>
    </row>
    <row r="54" spans="22:34" x14ac:dyDescent="0.25">
      <c r="V54">
        <v>53</v>
      </c>
      <c r="W54" cm="1">
        <f t="array" ref="W54">SUM(TablaSupervisores[DISPOSITIVOS TOTAL]*INDEX(TablaSeleccionSupervisores[],ROW(TablaSeleccionSupervisores[[#This Row],[ORDEN]])-1,_xlfn.XMATCH(TablaSupervisores[REFERENCIA],TablaSeleccionSupervisores[#Headers])))</f>
        <v>210</v>
      </c>
      <c r="X54" cm="1">
        <f t="array" ref="X54">SUM(TablaSupervisores[DISPOSITIVOS BACNET MS/TP JC]*INDEX(TablaSeleccionSupervisores[],ROW(TablaSeleccionSupervisores[[#This Row],[ORDEN]])-1,_xlfn.XMATCH(TablaSupervisores[REFERENCIA],TablaSeleccionSupervisores[#Headers])))</f>
        <v>150</v>
      </c>
      <c r="Y54" cm="1">
        <f t="array" ref="Y54">SUM(TablaSupervisores[DISPOSITIVOS BACNET MS/TP COMPATIBLES]*INDEX(TablaSeleccionSupervisores[],ROW(TablaSeleccionSupervisores[[#This Row],[ORDEN]])-1,_xlfn.XMATCH(TablaSupervisores[REFERENCIA],TablaSeleccionSupervisores[#Headers])))</f>
        <v>96</v>
      </c>
      <c r="Z54" cm="1">
        <f t="array" ref="Z54">SUM(TablaSupervisores[DISPOSITIVOS BACNET IP]*INDEX(TablaSeleccionSupervisores[],ROW(TablaSeleccionSupervisores[[#This Row],[ORDEN]])-1,_xlfn.XMATCH(TablaSupervisores[REFERENCIA],TablaSeleccionSupervisores[#Headers])))</f>
        <v>300</v>
      </c>
      <c r="AA54" cm="1">
        <f t="array" ref="AA54">SUM(TablaSupervisores[OBJETOS]*INDEX(TablaSeleccionSupervisores[],ROW(TablaSeleccionSupervisores[[#This Row],[ORDEN]])-1,_xlfn.XMATCH(TablaSupervisores[REFERENCIA],TablaSeleccionSupervisores[#Headers])))</f>
        <v>5000</v>
      </c>
      <c r="AB54" s="28" cm="1">
        <f t="array" ref="AB54">SUM(TablaSupervisores[COSTE]*INDEX(TablaSeleccionSupervisores[],ROW(TablaSeleccionSupervisores[[#This Row],[ORDEN]])-1,_xlfn.XMATCH(TablaSupervisores[REFERENCIA],TablaSeleccionSupervisores[#Headers])))</f>
        <v>5412.21</v>
      </c>
      <c r="AC54" cm="1">
        <f t="array" ref="AC54">SUM(INDEX(TablaSeleccionSupervisores[],ROW(TablaSeleccionSupervisores[[#This Row],[ORDEN]])-1,_xlfn.XMATCH(TablaSupervisores[REFERENCIA],TablaSeleccionSupervisores[#Headers])))</f>
        <v>2</v>
      </c>
      <c r="AD54" t="str" cm="1">
        <f t="array" ref="AD54">IF(INDEX(TablaSeleccionSupervisores[],ROW(TablaSeleccionSupervisores[[#This Row],[ORDEN]])-1,_xlfn.XMATCH("ADMITIDO ADSLITE",TablaSeleccionSupervisores[#Headers])+1)=0,"Sí admitido","No admitido")</f>
        <v>Sí admitido</v>
      </c>
      <c r="AE54">
        <v>0</v>
      </c>
      <c r="AF54">
        <v>1</v>
      </c>
      <c r="AG54">
        <v>1</v>
      </c>
      <c r="AH54">
        <v>0</v>
      </c>
    </row>
    <row r="55" spans="22:34" x14ac:dyDescent="0.25">
      <c r="V55">
        <v>54</v>
      </c>
      <c r="W55" cm="1">
        <f t="array" ref="W55">SUM(TablaSupervisores[DISPOSITIVOS TOTAL]*INDEX(TablaSeleccionSupervisores[],ROW(TablaSeleccionSupervisores[[#This Row],[ORDEN]])-1,_xlfn.XMATCH(TablaSupervisores[REFERENCIA],TablaSeleccionSupervisores[#Headers])))</f>
        <v>810</v>
      </c>
      <c r="X55" cm="1">
        <f t="array" ref="X55">SUM(TablaSupervisores[DISPOSITIVOS BACNET MS/TP JC]*INDEX(TablaSeleccionSupervisores[],ROW(TablaSeleccionSupervisores[[#This Row],[ORDEN]])-1,_xlfn.XMATCH(TablaSupervisores[REFERENCIA],TablaSeleccionSupervisores[#Headers])))</f>
        <v>350</v>
      </c>
      <c r="Y55" cm="1">
        <f t="array" ref="Y55">SUM(TablaSupervisores[DISPOSITIVOS BACNET MS/TP COMPATIBLES]*INDEX(TablaSeleccionSupervisores[],ROW(TablaSeleccionSupervisores[[#This Row],[ORDEN]])-1,_xlfn.XMATCH(TablaSupervisores[REFERENCIA],TablaSeleccionSupervisores[#Headers])))</f>
        <v>224</v>
      </c>
      <c r="Z55" cm="1">
        <f t="array" ref="Z55">SUM(TablaSupervisores[DISPOSITIVOS BACNET IP]*INDEX(TablaSeleccionSupervisores[],ROW(TablaSeleccionSupervisores[[#This Row],[ORDEN]])-1,_xlfn.XMATCH(TablaSupervisores[REFERENCIA],TablaSeleccionSupervisores[#Headers])))</f>
        <v>700</v>
      </c>
      <c r="AA55" cm="1">
        <f t="array" ref="AA55">SUM(TablaSupervisores[OBJETOS]*INDEX(TablaSeleccionSupervisores[],ROW(TablaSeleccionSupervisores[[#This Row],[ORDEN]])-1,_xlfn.XMATCH(TablaSupervisores[REFERENCIA],TablaSeleccionSupervisores[#Headers])))</f>
        <v>10000</v>
      </c>
      <c r="AB55" s="28" cm="1">
        <f t="array" ref="AB55">SUM(TablaSupervisores[COSTE]*INDEX(TablaSeleccionSupervisores[],ROW(TablaSeleccionSupervisores[[#This Row],[ORDEN]])-1,_xlfn.XMATCH(TablaSupervisores[REFERENCIA],TablaSeleccionSupervisores[#Headers])))</f>
        <v>11078.84</v>
      </c>
      <c r="AC55" cm="1">
        <f t="array" ref="AC55">SUM(INDEX(TablaSeleccionSupervisores[],ROW(TablaSeleccionSupervisores[[#This Row],[ORDEN]])-1,_xlfn.XMATCH(TablaSupervisores[REFERENCIA],TablaSeleccionSupervisores[#Headers])))</f>
        <v>3</v>
      </c>
      <c r="AD55" t="str" cm="1">
        <f t="array" ref="AD55">IF(INDEX(TablaSeleccionSupervisores[],ROW(TablaSeleccionSupervisores[[#This Row],[ORDEN]])-1,_xlfn.XMATCH("ADMITIDO ADSLITE",TablaSeleccionSupervisores[#Headers])+1)=0,"Sí admitido","No admitido")</f>
        <v>No admitido</v>
      </c>
      <c r="AE55">
        <v>1</v>
      </c>
      <c r="AF55">
        <v>1</v>
      </c>
      <c r="AG55">
        <v>1</v>
      </c>
      <c r="AH55">
        <v>0</v>
      </c>
    </row>
    <row r="56" spans="22:34" x14ac:dyDescent="0.25">
      <c r="V56">
        <v>55</v>
      </c>
      <c r="W56" cm="1">
        <f t="array" ref="W56">SUM(TablaSupervisores[DISPOSITIVOS TOTAL]*INDEX(TablaSeleccionSupervisores[],ROW(TablaSeleccionSupervisores[[#This Row],[ORDEN]])-1,_xlfn.XMATCH(TablaSupervisores[REFERENCIA],TablaSeleccionSupervisores[#Headers])))</f>
        <v>1410</v>
      </c>
      <c r="X56" cm="1">
        <f t="array" ref="X56">SUM(TablaSupervisores[DISPOSITIVOS BACNET MS/TP JC]*INDEX(TablaSeleccionSupervisores[],ROW(TablaSeleccionSupervisores[[#This Row],[ORDEN]])-1,_xlfn.XMATCH(TablaSupervisores[REFERENCIA],TablaSeleccionSupervisores[#Headers])))</f>
        <v>550</v>
      </c>
      <c r="Y56" cm="1">
        <f t="array" ref="Y56">SUM(TablaSupervisores[DISPOSITIVOS BACNET MS/TP COMPATIBLES]*INDEX(TablaSeleccionSupervisores[],ROW(TablaSeleccionSupervisores[[#This Row],[ORDEN]])-1,_xlfn.XMATCH(TablaSupervisores[REFERENCIA],TablaSeleccionSupervisores[#Headers])))</f>
        <v>352</v>
      </c>
      <c r="Z56" cm="1">
        <f t="array" ref="Z56">SUM(TablaSupervisores[DISPOSITIVOS BACNET IP]*INDEX(TablaSeleccionSupervisores[],ROW(TablaSeleccionSupervisores[[#This Row],[ORDEN]])-1,_xlfn.XMATCH(TablaSupervisores[REFERENCIA],TablaSeleccionSupervisores[#Headers])))</f>
        <v>1100</v>
      </c>
      <c r="AA56" cm="1">
        <f t="array" ref="AA56">SUM(TablaSupervisores[OBJETOS]*INDEX(TablaSeleccionSupervisores[],ROW(TablaSeleccionSupervisores[[#This Row],[ORDEN]])-1,_xlfn.XMATCH(TablaSupervisores[REFERENCIA],TablaSeleccionSupervisores[#Headers])))</f>
        <v>15000</v>
      </c>
      <c r="AB56" s="28" cm="1">
        <f t="array" ref="AB56">SUM(TablaSupervisores[COSTE]*INDEX(TablaSeleccionSupervisores[],ROW(TablaSeleccionSupervisores[[#This Row],[ORDEN]])-1,_xlfn.XMATCH(TablaSupervisores[REFERENCIA],TablaSeleccionSupervisores[#Headers])))</f>
        <v>16745.47</v>
      </c>
      <c r="AC56" cm="1">
        <f t="array" ref="AC56">SUM(INDEX(TablaSeleccionSupervisores[],ROW(TablaSeleccionSupervisores[[#This Row],[ORDEN]])-1,_xlfn.XMATCH(TablaSupervisores[REFERENCIA],TablaSeleccionSupervisores[#Headers])))</f>
        <v>4</v>
      </c>
      <c r="AD56" t="str" cm="1">
        <f t="array" ref="AD56">IF(INDEX(TablaSeleccionSupervisores[],ROW(TablaSeleccionSupervisores[[#This Row],[ORDEN]])-1,_xlfn.XMATCH("ADMITIDO ADSLITE",TablaSeleccionSupervisores[#Headers])+1)=0,"Sí admitido","No admitido")</f>
        <v>No admitido</v>
      </c>
      <c r="AE56">
        <v>2</v>
      </c>
      <c r="AF56">
        <v>1</v>
      </c>
      <c r="AG56">
        <v>1</v>
      </c>
      <c r="AH56">
        <v>0</v>
      </c>
    </row>
    <row r="57" spans="22:34" x14ac:dyDescent="0.25">
      <c r="V57">
        <v>56</v>
      </c>
      <c r="W57" cm="1">
        <f t="array" ref="W57">SUM(TablaSupervisores[DISPOSITIVOS TOTAL]*INDEX(TablaSeleccionSupervisores[],ROW(TablaSeleccionSupervisores[[#This Row],[ORDEN]])-1,_xlfn.XMATCH(TablaSupervisores[REFERENCIA],TablaSeleccionSupervisores[#Headers])))</f>
        <v>2010</v>
      </c>
      <c r="X57" cm="1">
        <f t="array" ref="X57">SUM(TablaSupervisores[DISPOSITIVOS BACNET MS/TP JC]*INDEX(TablaSeleccionSupervisores[],ROW(TablaSeleccionSupervisores[[#This Row],[ORDEN]])-1,_xlfn.XMATCH(TablaSupervisores[REFERENCIA],TablaSeleccionSupervisores[#Headers])))</f>
        <v>750</v>
      </c>
      <c r="Y57" cm="1">
        <f t="array" ref="Y57">SUM(TablaSupervisores[DISPOSITIVOS BACNET MS/TP COMPATIBLES]*INDEX(TablaSeleccionSupervisores[],ROW(TablaSeleccionSupervisores[[#This Row],[ORDEN]])-1,_xlfn.XMATCH(TablaSupervisores[REFERENCIA],TablaSeleccionSupervisores[#Headers])))</f>
        <v>480</v>
      </c>
      <c r="Z57" cm="1">
        <f t="array" ref="Z57">SUM(TablaSupervisores[DISPOSITIVOS BACNET IP]*INDEX(TablaSeleccionSupervisores[],ROW(TablaSeleccionSupervisores[[#This Row],[ORDEN]])-1,_xlfn.XMATCH(TablaSupervisores[REFERENCIA],TablaSeleccionSupervisores[#Headers])))</f>
        <v>1500</v>
      </c>
      <c r="AA57" cm="1">
        <f t="array" ref="AA57">SUM(TablaSupervisores[OBJETOS]*INDEX(TablaSeleccionSupervisores[],ROW(TablaSeleccionSupervisores[[#This Row],[ORDEN]])-1,_xlfn.XMATCH(TablaSupervisores[REFERENCIA],TablaSeleccionSupervisores[#Headers])))</f>
        <v>20000</v>
      </c>
      <c r="AB57" s="28" cm="1">
        <f t="array" ref="AB57">SUM(TablaSupervisores[COSTE]*INDEX(TablaSeleccionSupervisores[],ROW(TablaSeleccionSupervisores[[#This Row],[ORDEN]])-1,_xlfn.XMATCH(TablaSupervisores[REFERENCIA],TablaSeleccionSupervisores[#Headers])))</f>
        <v>22412.1</v>
      </c>
      <c r="AC57" cm="1">
        <f t="array" ref="AC57">SUM(INDEX(TablaSeleccionSupervisores[],ROW(TablaSeleccionSupervisores[[#This Row],[ORDEN]])-1,_xlfn.XMATCH(TablaSupervisores[REFERENCIA],TablaSeleccionSupervisores[#Headers])))</f>
        <v>5</v>
      </c>
      <c r="AD57" t="str" cm="1">
        <f t="array" ref="AD57">IF(INDEX(TablaSeleccionSupervisores[],ROW(TablaSeleccionSupervisores[[#This Row],[ORDEN]])-1,_xlfn.XMATCH("ADMITIDO ADSLITE",TablaSeleccionSupervisores[#Headers])+1)=0,"Sí admitido","No admitido")</f>
        <v>No admitido</v>
      </c>
      <c r="AE57">
        <v>3</v>
      </c>
      <c r="AF57">
        <v>1</v>
      </c>
      <c r="AG57">
        <v>1</v>
      </c>
      <c r="AH57">
        <v>0</v>
      </c>
    </row>
    <row r="58" spans="22:34" x14ac:dyDescent="0.25">
      <c r="V58">
        <v>57</v>
      </c>
      <c r="W58" cm="1">
        <f t="array" ref="W58">SUM(TablaSupervisores[DISPOSITIVOS TOTAL]*INDEX(TablaSeleccionSupervisores[],ROW(TablaSeleccionSupervisores[[#This Row],[ORDEN]])-1,_xlfn.XMATCH(TablaSupervisores[REFERENCIA],TablaSeleccionSupervisores[#Headers])))</f>
        <v>2610</v>
      </c>
      <c r="X58" cm="1">
        <f t="array" ref="X58">SUM(TablaSupervisores[DISPOSITIVOS BACNET MS/TP JC]*INDEX(TablaSeleccionSupervisores[],ROW(TablaSeleccionSupervisores[[#This Row],[ORDEN]])-1,_xlfn.XMATCH(TablaSupervisores[REFERENCIA],TablaSeleccionSupervisores[#Headers])))</f>
        <v>950</v>
      </c>
      <c r="Y58" cm="1">
        <f t="array" ref="Y58">SUM(TablaSupervisores[DISPOSITIVOS BACNET MS/TP COMPATIBLES]*INDEX(TablaSeleccionSupervisores[],ROW(TablaSeleccionSupervisores[[#This Row],[ORDEN]])-1,_xlfn.XMATCH(TablaSupervisores[REFERENCIA],TablaSeleccionSupervisores[#Headers])))</f>
        <v>608</v>
      </c>
      <c r="Z58" cm="1">
        <f t="array" ref="Z58">SUM(TablaSupervisores[DISPOSITIVOS BACNET IP]*INDEX(TablaSeleccionSupervisores[],ROW(TablaSeleccionSupervisores[[#This Row],[ORDEN]])-1,_xlfn.XMATCH(TablaSupervisores[REFERENCIA],TablaSeleccionSupervisores[#Headers])))</f>
        <v>1900</v>
      </c>
      <c r="AA58" cm="1">
        <f t="array" ref="AA58">SUM(TablaSupervisores[OBJETOS]*INDEX(TablaSeleccionSupervisores[],ROW(TablaSeleccionSupervisores[[#This Row],[ORDEN]])-1,_xlfn.XMATCH(TablaSupervisores[REFERENCIA],TablaSeleccionSupervisores[#Headers])))</f>
        <v>25000</v>
      </c>
      <c r="AB58" s="28" cm="1">
        <f t="array" ref="AB58">SUM(TablaSupervisores[COSTE]*INDEX(TablaSeleccionSupervisores[],ROW(TablaSeleccionSupervisores[[#This Row],[ORDEN]])-1,_xlfn.XMATCH(TablaSupervisores[REFERENCIA],TablaSeleccionSupervisores[#Headers])))</f>
        <v>28078.73</v>
      </c>
      <c r="AC58" cm="1">
        <f t="array" ref="AC58">SUM(INDEX(TablaSeleccionSupervisores[],ROW(TablaSeleccionSupervisores[[#This Row],[ORDEN]])-1,_xlfn.XMATCH(TablaSupervisores[REFERENCIA],TablaSeleccionSupervisores[#Headers])))</f>
        <v>6</v>
      </c>
      <c r="AD58" t="str" cm="1">
        <f t="array" ref="AD58">IF(INDEX(TablaSeleccionSupervisores[],ROW(TablaSeleccionSupervisores[[#This Row],[ORDEN]])-1,_xlfn.XMATCH("ADMITIDO ADSLITE",TablaSeleccionSupervisores[#Headers])+1)=0,"Sí admitido","No admitido")</f>
        <v>No admitido</v>
      </c>
      <c r="AE58">
        <v>4</v>
      </c>
      <c r="AF58">
        <v>1</v>
      </c>
      <c r="AG58">
        <v>1</v>
      </c>
      <c r="AH58">
        <v>0</v>
      </c>
    </row>
    <row r="59" spans="22:34" x14ac:dyDescent="0.25">
      <c r="V59">
        <v>58</v>
      </c>
      <c r="W59" cm="1">
        <f t="array" ref="W59">SUM(TablaSupervisores[DISPOSITIVOS TOTAL]*INDEX(TablaSeleccionSupervisores[],ROW(TablaSeleccionSupervisores[[#This Row],[ORDEN]])-1,_xlfn.XMATCH(TablaSupervisores[REFERENCIA],TablaSeleccionSupervisores[#Headers])))</f>
        <v>3210</v>
      </c>
      <c r="X59" cm="1">
        <f t="array" ref="X59">SUM(TablaSupervisores[DISPOSITIVOS BACNET MS/TP JC]*INDEX(TablaSeleccionSupervisores[],ROW(TablaSeleccionSupervisores[[#This Row],[ORDEN]])-1,_xlfn.XMATCH(TablaSupervisores[REFERENCIA],TablaSeleccionSupervisores[#Headers])))</f>
        <v>1150</v>
      </c>
      <c r="Y59" cm="1">
        <f t="array" ref="Y59">SUM(TablaSupervisores[DISPOSITIVOS BACNET MS/TP COMPATIBLES]*INDEX(TablaSeleccionSupervisores[],ROW(TablaSeleccionSupervisores[[#This Row],[ORDEN]])-1,_xlfn.XMATCH(TablaSupervisores[REFERENCIA],TablaSeleccionSupervisores[#Headers])))</f>
        <v>736</v>
      </c>
      <c r="Z59" cm="1">
        <f t="array" ref="Z59">SUM(TablaSupervisores[DISPOSITIVOS BACNET IP]*INDEX(TablaSeleccionSupervisores[],ROW(TablaSeleccionSupervisores[[#This Row],[ORDEN]])-1,_xlfn.XMATCH(TablaSupervisores[REFERENCIA],TablaSeleccionSupervisores[#Headers])))</f>
        <v>2300</v>
      </c>
      <c r="AA59" cm="1">
        <f t="array" ref="AA59">SUM(TablaSupervisores[OBJETOS]*INDEX(TablaSeleccionSupervisores[],ROW(TablaSeleccionSupervisores[[#This Row],[ORDEN]])-1,_xlfn.XMATCH(TablaSupervisores[REFERENCIA],TablaSeleccionSupervisores[#Headers])))</f>
        <v>30000</v>
      </c>
      <c r="AB59" s="28" cm="1">
        <f t="array" ref="AB59">SUM(TablaSupervisores[COSTE]*INDEX(TablaSeleccionSupervisores[],ROW(TablaSeleccionSupervisores[[#This Row],[ORDEN]])-1,_xlfn.XMATCH(TablaSupervisores[REFERENCIA],TablaSeleccionSupervisores[#Headers])))</f>
        <v>33745.360000000001</v>
      </c>
      <c r="AC59" cm="1">
        <f t="array" ref="AC59">SUM(INDEX(TablaSeleccionSupervisores[],ROW(TablaSeleccionSupervisores[[#This Row],[ORDEN]])-1,_xlfn.XMATCH(TablaSupervisores[REFERENCIA],TablaSeleccionSupervisores[#Headers])))</f>
        <v>7</v>
      </c>
      <c r="AD59" t="str" cm="1">
        <f t="array" ref="AD59">IF(INDEX(TablaSeleccionSupervisores[],ROW(TablaSeleccionSupervisores[[#This Row],[ORDEN]])-1,_xlfn.XMATCH("ADMITIDO ADSLITE",TablaSeleccionSupervisores[#Headers])+1)=0,"Sí admitido","No admitido")</f>
        <v>No admitido</v>
      </c>
      <c r="AE59">
        <v>5</v>
      </c>
      <c r="AF59">
        <v>1</v>
      </c>
      <c r="AG59">
        <v>1</v>
      </c>
      <c r="AH59">
        <v>0</v>
      </c>
    </row>
    <row r="60" spans="22:34" x14ac:dyDescent="0.25">
      <c r="V60">
        <v>59</v>
      </c>
      <c r="W60" cm="1">
        <f t="array" ref="W60">SUM(TablaSupervisores[DISPOSITIVOS TOTAL]*INDEX(TablaSeleccionSupervisores[],ROW(TablaSeleccionSupervisores[[#This Row],[ORDEN]])-1,_xlfn.XMATCH(TablaSupervisores[REFERENCIA],TablaSeleccionSupervisores[#Headers])))</f>
        <v>3810</v>
      </c>
      <c r="X60" cm="1">
        <f t="array" ref="X60">SUM(TablaSupervisores[DISPOSITIVOS BACNET MS/TP JC]*INDEX(TablaSeleccionSupervisores[],ROW(TablaSeleccionSupervisores[[#This Row],[ORDEN]])-1,_xlfn.XMATCH(TablaSupervisores[REFERENCIA],TablaSeleccionSupervisores[#Headers])))</f>
        <v>1350</v>
      </c>
      <c r="Y60" cm="1">
        <f t="array" ref="Y60">SUM(TablaSupervisores[DISPOSITIVOS BACNET MS/TP COMPATIBLES]*INDEX(TablaSeleccionSupervisores[],ROW(TablaSeleccionSupervisores[[#This Row],[ORDEN]])-1,_xlfn.XMATCH(TablaSupervisores[REFERENCIA],TablaSeleccionSupervisores[#Headers])))</f>
        <v>864</v>
      </c>
      <c r="Z60" cm="1">
        <f t="array" ref="Z60">SUM(TablaSupervisores[DISPOSITIVOS BACNET IP]*INDEX(TablaSeleccionSupervisores[],ROW(TablaSeleccionSupervisores[[#This Row],[ORDEN]])-1,_xlfn.XMATCH(TablaSupervisores[REFERENCIA],TablaSeleccionSupervisores[#Headers])))</f>
        <v>2700</v>
      </c>
      <c r="AA60" cm="1">
        <f t="array" ref="AA60">SUM(TablaSupervisores[OBJETOS]*INDEX(TablaSeleccionSupervisores[],ROW(TablaSeleccionSupervisores[[#This Row],[ORDEN]])-1,_xlfn.XMATCH(TablaSupervisores[REFERENCIA],TablaSeleccionSupervisores[#Headers])))</f>
        <v>35000</v>
      </c>
      <c r="AB60" s="28" cm="1">
        <f t="array" ref="AB60">SUM(TablaSupervisores[COSTE]*INDEX(TablaSeleccionSupervisores[],ROW(TablaSeleccionSupervisores[[#This Row],[ORDEN]])-1,_xlfn.XMATCH(TablaSupervisores[REFERENCIA],TablaSeleccionSupervisores[#Headers])))</f>
        <v>39411.990000000005</v>
      </c>
      <c r="AC60" cm="1">
        <f t="array" ref="AC60">SUM(INDEX(TablaSeleccionSupervisores[],ROW(TablaSeleccionSupervisores[[#This Row],[ORDEN]])-1,_xlfn.XMATCH(TablaSupervisores[REFERENCIA],TablaSeleccionSupervisores[#Headers])))</f>
        <v>8</v>
      </c>
      <c r="AD60" t="str" cm="1">
        <f t="array" ref="AD60">IF(INDEX(TablaSeleccionSupervisores[],ROW(TablaSeleccionSupervisores[[#This Row],[ORDEN]])-1,_xlfn.XMATCH("ADMITIDO ADSLITE",TablaSeleccionSupervisores[#Headers])+1)=0,"Sí admitido","No admitido")</f>
        <v>No admitido</v>
      </c>
      <c r="AE60">
        <v>6</v>
      </c>
      <c r="AF60">
        <v>1</v>
      </c>
      <c r="AG60">
        <v>1</v>
      </c>
      <c r="AH60">
        <v>0</v>
      </c>
    </row>
    <row r="61" spans="22:34" x14ac:dyDescent="0.25">
      <c r="V61">
        <v>60</v>
      </c>
      <c r="W61" cm="1">
        <f t="array" ref="W61">SUM(TablaSupervisores[DISPOSITIVOS TOTAL]*INDEX(TablaSeleccionSupervisores[],ROW(TablaSeleccionSupervisores[[#This Row],[ORDEN]])-1,_xlfn.XMATCH(TablaSupervisores[REFERENCIA],TablaSeleccionSupervisores[#Headers])))</f>
        <v>360</v>
      </c>
      <c r="X61" cm="1">
        <f t="array" ref="X61">SUM(TablaSupervisores[DISPOSITIVOS BACNET MS/TP JC]*INDEX(TablaSeleccionSupervisores[],ROW(TablaSeleccionSupervisores[[#This Row],[ORDEN]])-1,_xlfn.XMATCH(TablaSupervisores[REFERENCIA],TablaSeleccionSupervisores[#Headers])))</f>
        <v>250</v>
      </c>
      <c r="Y61" cm="1">
        <f t="array" ref="Y61">SUM(TablaSupervisores[DISPOSITIVOS BACNET MS/TP COMPATIBLES]*INDEX(TablaSeleccionSupervisores[],ROW(TablaSeleccionSupervisores[[#This Row],[ORDEN]])-1,_xlfn.XMATCH(TablaSupervisores[REFERENCIA],TablaSeleccionSupervisores[#Headers])))</f>
        <v>160</v>
      </c>
      <c r="Z61" cm="1">
        <f t="array" ref="Z61">SUM(TablaSupervisores[DISPOSITIVOS BACNET IP]*INDEX(TablaSeleccionSupervisores[],ROW(TablaSeleccionSupervisores[[#This Row],[ORDEN]])-1,_xlfn.XMATCH(TablaSupervisores[REFERENCIA],TablaSeleccionSupervisores[#Headers])))</f>
        <v>500</v>
      </c>
      <c r="AA61" cm="1">
        <f t="array" ref="AA61">SUM(TablaSupervisores[OBJETOS]*INDEX(TablaSeleccionSupervisores[],ROW(TablaSeleccionSupervisores[[#This Row],[ORDEN]])-1,_xlfn.XMATCH(TablaSupervisores[REFERENCIA],TablaSeleccionSupervisores[#Headers])))</f>
        <v>7500</v>
      </c>
      <c r="AB61" s="28" cm="1">
        <f t="array" ref="AB61">SUM(TablaSupervisores[COSTE]*INDEX(TablaSeleccionSupervisores[],ROW(TablaSeleccionSupervisores[[#This Row],[ORDEN]])-1,_xlfn.XMATCH(TablaSupervisores[REFERENCIA],TablaSeleccionSupervisores[#Headers])))</f>
        <v>9400.94</v>
      </c>
      <c r="AC61" cm="1">
        <f t="array" ref="AC61">SUM(INDEX(TablaSeleccionSupervisores[],ROW(TablaSeleccionSupervisores[[#This Row],[ORDEN]])-1,_xlfn.XMATCH(TablaSupervisores[REFERENCIA],TablaSeleccionSupervisores[#Headers])))</f>
        <v>3</v>
      </c>
      <c r="AD61" t="str" cm="1">
        <f t="array" ref="AD61">IF(INDEX(TablaSeleccionSupervisores[],ROW(TablaSeleccionSupervisores[[#This Row],[ORDEN]])-1,_xlfn.XMATCH("ADMITIDO ADSLITE",TablaSeleccionSupervisores[#Headers])+1)=0,"Sí admitido","No admitido")</f>
        <v>Sí admitido</v>
      </c>
      <c r="AE61">
        <v>0</v>
      </c>
      <c r="AF61">
        <v>2</v>
      </c>
      <c r="AG61">
        <v>1</v>
      </c>
      <c r="AH61">
        <v>0</v>
      </c>
    </row>
    <row r="62" spans="22:34" x14ac:dyDescent="0.25">
      <c r="V62">
        <v>61</v>
      </c>
      <c r="W62" cm="1">
        <f t="array" ref="W62">SUM(TablaSupervisores[DISPOSITIVOS TOTAL]*INDEX(TablaSeleccionSupervisores[],ROW(TablaSeleccionSupervisores[[#This Row],[ORDEN]])-1,_xlfn.XMATCH(TablaSupervisores[REFERENCIA],TablaSeleccionSupervisores[#Headers])))</f>
        <v>960</v>
      </c>
      <c r="X62" cm="1">
        <f t="array" ref="X62">SUM(TablaSupervisores[DISPOSITIVOS BACNET MS/TP JC]*INDEX(TablaSeleccionSupervisores[],ROW(TablaSeleccionSupervisores[[#This Row],[ORDEN]])-1,_xlfn.XMATCH(TablaSupervisores[REFERENCIA],TablaSeleccionSupervisores[#Headers])))</f>
        <v>450</v>
      </c>
      <c r="Y62" cm="1">
        <f t="array" ref="Y62">SUM(TablaSupervisores[DISPOSITIVOS BACNET MS/TP COMPATIBLES]*INDEX(TablaSeleccionSupervisores[],ROW(TablaSeleccionSupervisores[[#This Row],[ORDEN]])-1,_xlfn.XMATCH(TablaSupervisores[REFERENCIA],TablaSeleccionSupervisores[#Headers])))</f>
        <v>288</v>
      </c>
      <c r="Z62" cm="1">
        <f t="array" ref="Z62">SUM(TablaSupervisores[DISPOSITIVOS BACNET IP]*INDEX(TablaSeleccionSupervisores[],ROW(TablaSeleccionSupervisores[[#This Row],[ORDEN]])-1,_xlfn.XMATCH(TablaSupervisores[REFERENCIA],TablaSeleccionSupervisores[#Headers])))</f>
        <v>900</v>
      </c>
      <c r="AA62" cm="1">
        <f t="array" ref="AA62">SUM(TablaSupervisores[OBJETOS]*INDEX(TablaSeleccionSupervisores[],ROW(TablaSeleccionSupervisores[[#This Row],[ORDEN]])-1,_xlfn.XMATCH(TablaSupervisores[REFERENCIA],TablaSeleccionSupervisores[#Headers])))</f>
        <v>12500</v>
      </c>
      <c r="AB62" s="28" cm="1">
        <f t="array" ref="AB62">SUM(TablaSupervisores[COSTE]*INDEX(TablaSeleccionSupervisores[],ROW(TablaSeleccionSupervisores[[#This Row],[ORDEN]])-1,_xlfn.XMATCH(TablaSupervisores[REFERENCIA],TablaSeleccionSupervisores[#Headers])))</f>
        <v>15067.57</v>
      </c>
      <c r="AC62" cm="1">
        <f t="array" ref="AC62">SUM(INDEX(TablaSeleccionSupervisores[],ROW(TablaSeleccionSupervisores[[#This Row],[ORDEN]])-1,_xlfn.XMATCH(TablaSupervisores[REFERENCIA],TablaSeleccionSupervisores[#Headers])))</f>
        <v>4</v>
      </c>
      <c r="AD62" t="str" cm="1">
        <f t="array" ref="AD62">IF(INDEX(TablaSeleccionSupervisores[],ROW(TablaSeleccionSupervisores[[#This Row],[ORDEN]])-1,_xlfn.XMATCH("ADMITIDO ADSLITE",TablaSeleccionSupervisores[#Headers])+1)=0,"Sí admitido","No admitido")</f>
        <v>No admitido</v>
      </c>
      <c r="AE62">
        <v>1</v>
      </c>
      <c r="AF62">
        <v>2</v>
      </c>
      <c r="AG62">
        <v>1</v>
      </c>
      <c r="AH62">
        <v>0</v>
      </c>
    </row>
    <row r="63" spans="22:34" x14ac:dyDescent="0.25">
      <c r="V63">
        <v>62</v>
      </c>
      <c r="W63" cm="1">
        <f t="array" ref="W63">SUM(TablaSupervisores[DISPOSITIVOS TOTAL]*INDEX(TablaSeleccionSupervisores[],ROW(TablaSeleccionSupervisores[[#This Row],[ORDEN]])-1,_xlfn.XMATCH(TablaSupervisores[REFERENCIA],TablaSeleccionSupervisores[#Headers])))</f>
        <v>1560</v>
      </c>
      <c r="X63" cm="1">
        <f t="array" ref="X63">SUM(TablaSupervisores[DISPOSITIVOS BACNET MS/TP JC]*INDEX(TablaSeleccionSupervisores[],ROW(TablaSeleccionSupervisores[[#This Row],[ORDEN]])-1,_xlfn.XMATCH(TablaSupervisores[REFERENCIA],TablaSeleccionSupervisores[#Headers])))</f>
        <v>650</v>
      </c>
      <c r="Y63" cm="1">
        <f t="array" ref="Y63">SUM(TablaSupervisores[DISPOSITIVOS BACNET MS/TP COMPATIBLES]*INDEX(TablaSeleccionSupervisores[],ROW(TablaSeleccionSupervisores[[#This Row],[ORDEN]])-1,_xlfn.XMATCH(TablaSupervisores[REFERENCIA],TablaSeleccionSupervisores[#Headers])))</f>
        <v>416</v>
      </c>
      <c r="Z63" cm="1">
        <f t="array" ref="Z63">SUM(TablaSupervisores[DISPOSITIVOS BACNET IP]*INDEX(TablaSeleccionSupervisores[],ROW(TablaSeleccionSupervisores[[#This Row],[ORDEN]])-1,_xlfn.XMATCH(TablaSupervisores[REFERENCIA],TablaSeleccionSupervisores[#Headers])))</f>
        <v>1300</v>
      </c>
      <c r="AA63" cm="1">
        <f t="array" ref="AA63">SUM(TablaSupervisores[OBJETOS]*INDEX(TablaSeleccionSupervisores[],ROW(TablaSeleccionSupervisores[[#This Row],[ORDEN]])-1,_xlfn.XMATCH(TablaSupervisores[REFERENCIA],TablaSeleccionSupervisores[#Headers])))</f>
        <v>17500</v>
      </c>
      <c r="AB63" s="28" cm="1">
        <f t="array" ref="AB63">SUM(TablaSupervisores[COSTE]*INDEX(TablaSeleccionSupervisores[],ROW(TablaSeleccionSupervisores[[#This Row],[ORDEN]])-1,_xlfn.XMATCH(TablaSupervisores[REFERENCIA],TablaSeleccionSupervisores[#Headers])))</f>
        <v>20734.2</v>
      </c>
      <c r="AC63" cm="1">
        <f t="array" ref="AC63">SUM(INDEX(TablaSeleccionSupervisores[],ROW(TablaSeleccionSupervisores[[#This Row],[ORDEN]])-1,_xlfn.XMATCH(TablaSupervisores[REFERENCIA],TablaSeleccionSupervisores[#Headers])))</f>
        <v>5</v>
      </c>
      <c r="AD63" t="str" cm="1">
        <f t="array" ref="AD63">IF(INDEX(TablaSeleccionSupervisores[],ROW(TablaSeleccionSupervisores[[#This Row],[ORDEN]])-1,_xlfn.XMATCH("ADMITIDO ADSLITE",TablaSeleccionSupervisores[#Headers])+1)=0,"Sí admitido","No admitido")</f>
        <v>No admitido</v>
      </c>
      <c r="AE63">
        <v>2</v>
      </c>
      <c r="AF63">
        <v>2</v>
      </c>
      <c r="AG63">
        <v>1</v>
      </c>
      <c r="AH63">
        <v>0</v>
      </c>
    </row>
    <row r="64" spans="22:34" x14ac:dyDescent="0.25">
      <c r="V64">
        <v>63</v>
      </c>
      <c r="W64" cm="1">
        <f t="array" ref="W64">SUM(TablaSupervisores[DISPOSITIVOS TOTAL]*INDEX(TablaSeleccionSupervisores[],ROW(TablaSeleccionSupervisores[[#This Row],[ORDEN]])-1,_xlfn.XMATCH(TablaSupervisores[REFERENCIA],TablaSeleccionSupervisores[#Headers])))</f>
        <v>2160</v>
      </c>
      <c r="X64" cm="1">
        <f t="array" ref="X64">SUM(TablaSupervisores[DISPOSITIVOS BACNET MS/TP JC]*INDEX(TablaSeleccionSupervisores[],ROW(TablaSeleccionSupervisores[[#This Row],[ORDEN]])-1,_xlfn.XMATCH(TablaSupervisores[REFERENCIA],TablaSeleccionSupervisores[#Headers])))</f>
        <v>850</v>
      </c>
      <c r="Y64" cm="1">
        <f t="array" ref="Y64">SUM(TablaSupervisores[DISPOSITIVOS BACNET MS/TP COMPATIBLES]*INDEX(TablaSeleccionSupervisores[],ROW(TablaSeleccionSupervisores[[#This Row],[ORDEN]])-1,_xlfn.XMATCH(TablaSupervisores[REFERENCIA],TablaSeleccionSupervisores[#Headers])))</f>
        <v>544</v>
      </c>
      <c r="Z64" cm="1">
        <f t="array" ref="Z64">SUM(TablaSupervisores[DISPOSITIVOS BACNET IP]*INDEX(TablaSeleccionSupervisores[],ROW(TablaSeleccionSupervisores[[#This Row],[ORDEN]])-1,_xlfn.XMATCH(TablaSupervisores[REFERENCIA],TablaSeleccionSupervisores[#Headers])))</f>
        <v>1700</v>
      </c>
      <c r="AA64" cm="1">
        <f t="array" ref="AA64">SUM(TablaSupervisores[OBJETOS]*INDEX(TablaSeleccionSupervisores[],ROW(TablaSeleccionSupervisores[[#This Row],[ORDEN]])-1,_xlfn.XMATCH(TablaSupervisores[REFERENCIA],TablaSeleccionSupervisores[#Headers])))</f>
        <v>22500</v>
      </c>
      <c r="AB64" s="28" cm="1">
        <f t="array" ref="AB64">SUM(TablaSupervisores[COSTE]*INDEX(TablaSeleccionSupervisores[],ROW(TablaSeleccionSupervisores[[#This Row],[ORDEN]])-1,_xlfn.XMATCH(TablaSupervisores[REFERENCIA],TablaSeleccionSupervisores[#Headers])))</f>
        <v>26400.829999999998</v>
      </c>
      <c r="AC64" cm="1">
        <f t="array" ref="AC64">SUM(INDEX(TablaSeleccionSupervisores[],ROW(TablaSeleccionSupervisores[[#This Row],[ORDEN]])-1,_xlfn.XMATCH(TablaSupervisores[REFERENCIA],TablaSeleccionSupervisores[#Headers])))</f>
        <v>6</v>
      </c>
      <c r="AD64" t="str" cm="1">
        <f t="array" ref="AD64">IF(INDEX(TablaSeleccionSupervisores[],ROW(TablaSeleccionSupervisores[[#This Row],[ORDEN]])-1,_xlfn.XMATCH("ADMITIDO ADSLITE",TablaSeleccionSupervisores[#Headers])+1)=0,"Sí admitido","No admitido")</f>
        <v>No admitido</v>
      </c>
      <c r="AE64">
        <v>3</v>
      </c>
      <c r="AF64">
        <v>2</v>
      </c>
      <c r="AG64">
        <v>1</v>
      </c>
      <c r="AH64">
        <v>0</v>
      </c>
    </row>
    <row r="65" spans="22:34" x14ac:dyDescent="0.25">
      <c r="V65">
        <v>64</v>
      </c>
      <c r="W65" cm="1">
        <f t="array" ref="W65">SUM(TablaSupervisores[DISPOSITIVOS TOTAL]*INDEX(TablaSeleccionSupervisores[],ROW(TablaSeleccionSupervisores[[#This Row],[ORDEN]])-1,_xlfn.XMATCH(TablaSupervisores[REFERENCIA],TablaSeleccionSupervisores[#Headers])))</f>
        <v>2760</v>
      </c>
      <c r="X65" cm="1">
        <f t="array" ref="X65">SUM(TablaSupervisores[DISPOSITIVOS BACNET MS/TP JC]*INDEX(TablaSeleccionSupervisores[],ROW(TablaSeleccionSupervisores[[#This Row],[ORDEN]])-1,_xlfn.XMATCH(TablaSupervisores[REFERENCIA],TablaSeleccionSupervisores[#Headers])))</f>
        <v>1050</v>
      </c>
      <c r="Y65" cm="1">
        <f t="array" ref="Y65">SUM(TablaSupervisores[DISPOSITIVOS BACNET MS/TP COMPATIBLES]*INDEX(TablaSeleccionSupervisores[],ROW(TablaSeleccionSupervisores[[#This Row],[ORDEN]])-1,_xlfn.XMATCH(TablaSupervisores[REFERENCIA],TablaSeleccionSupervisores[#Headers])))</f>
        <v>672</v>
      </c>
      <c r="Z65" cm="1">
        <f t="array" ref="Z65">SUM(TablaSupervisores[DISPOSITIVOS BACNET IP]*INDEX(TablaSeleccionSupervisores[],ROW(TablaSeleccionSupervisores[[#This Row],[ORDEN]])-1,_xlfn.XMATCH(TablaSupervisores[REFERENCIA],TablaSeleccionSupervisores[#Headers])))</f>
        <v>2100</v>
      </c>
      <c r="AA65" cm="1">
        <f t="array" ref="AA65">SUM(TablaSupervisores[OBJETOS]*INDEX(TablaSeleccionSupervisores[],ROW(TablaSeleccionSupervisores[[#This Row],[ORDEN]])-1,_xlfn.XMATCH(TablaSupervisores[REFERENCIA],TablaSeleccionSupervisores[#Headers])))</f>
        <v>27500</v>
      </c>
      <c r="AB65" s="28" cm="1">
        <f t="array" ref="AB65">SUM(TablaSupervisores[COSTE]*INDEX(TablaSeleccionSupervisores[],ROW(TablaSeleccionSupervisores[[#This Row],[ORDEN]])-1,_xlfn.XMATCH(TablaSupervisores[REFERENCIA],TablaSeleccionSupervisores[#Headers])))</f>
        <v>32067.46</v>
      </c>
      <c r="AC65" cm="1">
        <f t="array" ref="AC65">SUM(INDEX(TablaSeleccionSupervisores[],ROW(TablaSeleccionSupervisores[[#This Row],[ORDEN]])-1,_xlfn.XMATCH(TablaSupervisores[REFERENCIA],TablaSeleccionSupervisores[#Headers])))</f>
        <v>7</v>
      </c>
      <c r="AD65" t="str" cm="1">
        <f t="array" ref="AD65">IF(INDEX(TablaSeleccionSupervisores[],ROW(TablaSeleccionSupervisores[[#This Row],[ORDEN]])-1,_xlfn.XMATCH("ADMITIDO ADSLITE",TablaSeleccionSupervisores[#Headers])+1)=0,"Sí admitido","No admitido")</f>
        <v>No admitido</v>
      </c>
      <c r="AE65">
        <v>4</v>
      </c>
      <c r="AF65">
        <v>2</v>
      </c>
      <c r="AG65">
        <v>1</v>
      </c>
      <c r="AH65">
        <v>0</v>
      </c>
    </row>
    <row r="66" spans="22:34" x14ac:dyDescent="0.25">
      <c r="V66">
        <v>65</v>
      </c>
      <c r="W66" cm="1">
        <f t="array" ref="W66">SUM(TablaSupervisores[DISPOSITIVOS TOTAL]*INDEX(TablaSeleccionSupervisores[],ROW(TablaSeleccionSupervisores[[#This Row],[ORDEN]])-1,_xlfn.XMATCH(TablaSupervisores[REFERENCIA],TablaSeleccionSupervisores[#Headers])))</f>
        <v>3360</v>
      </c>
      <c r="X66" cm="1">
        <f t="array" ref="X66">SUM(TablaSupervisores[DISPOSITIVOS BACNET MS/TP JC]*INDEX(TablaSeleccionSupervisores[],ROW(TablaSeleccionSupervisores[[#This Row],[ORDEN]])-1,_xlfn.XMATCH(TablaSupervisores[REFERENCIA],TablaSeleccionSupervisores[#Headers])))</f>
        <v>1250</v>
      </c>
      <c r="Y66" cm="1">
        <f t="array" ref="Y66">SUM(TablaSupervisores[DISPOSITIVOS BACNET MS/TP COMPATIBLES]*INDEX(TablaSeleccionSupervisores[],ROW(TablaSeleccionSupervisores[[#This Row],[ORDEN]])-1,_xlfn.XMATCH(TablaSupervisores[REFERENCIA],TablaSeleccionSupervisores[#Headers])))</f>
        <v>800</v>
      </c>
      <c r="Z66" cm="1">
        <f t="array" ref="Z66">SUM(TablaSupervisores[DISPOSITIVOS BACNET IP]*INDEX(TablaSeleccionSupervisores[],ROW(TablaSeleccionSupervisores[[#This Row],[ORDEN]])-1,_xlfn.XMATCH(TablaSupervisores[REFERENCIA],TablaSeleccionSupervisores[#Headers])))</f>
        <v>2500</v>
      </c>
      <c r="AA66" cm="1">
        <f t="array" ref="AA66">SUM(TablaSupervisores[OBJETOS]*INDEX(TablaSeleccionSupervisores[],ROW(TablaSeleccionSupervisores[[#This Row],[ORDEN]])-1,_xlfn.XMATCH(TablaSupervisores[REFERENCIA],TablaSeleccionSupervisores[#Headers])))</f>
        <v>32500</v>
      </c>
      <c r="AB66" s="28" cm="1">
        <f t="array" ref="AB66">SUM(TablaSupervisores[COSTE]*INDEX(TablaSeleccionSupervisores[],ROW(TablaSeleccionSupervisores[[#This Row],[ORDEN]])-1,_xlfn.XMATCH(TablaSupervisores[REFERENCIA],TablaSeleccionSupervisores[#Headers])))</f>
        <v>37734.090000000004</v>
      </c>
      <c r="AC66" cm="1">
        <f t="array" ref="AC66">SUM(INDEX(TablaSeleccionSupervisores[],ROW(TablaSeleccionSupervisores[[#This Row],[ORDEN]])-1,_xlfn.XMATCH(TablaSupervisores[REFERENCIA],TablaSeleccionSupervisores[#Headers])))</f>
        <v>8</v>
      </c>
      <c r="AD66" t="str" cm="1">
        <f t="array" ref="AD66">IF(INDEX(TablaSeleccionSupervisores[],ROW(TablaSeleccionSupervisores[[#This Row],[ORDEN]])-1,_xlfn.XMATCH("ADMITIDO ADSLITE",TablaSeleccionSupervisores[#Headers])+1)=0,"Sí admitido","No admitido")</f>
        <v>No admitido</v>
      </c>
      <c r="AE66">
        <v>5</v>
      </c>
      <c r="AF66">
        <v>2</v>
      </c>
      <c r="AG66">
        <v>1</v>
      </c>
      <c r="AH66">
        <v>0</v>
      </c>
    </row>
    <row r="67" spans="22:34" x14ac:dyDescent="0.25">
      <c r="V67">
        <v>66</v>
      </c>
      <c r="W67" cm="1">
        <f t="array" ref="W67">SUM(TablaSupervisores[DISPOSITIVOS TOTAL]*INDEX(TablaSeleccionSupervisores[],ROW(TablaSeleccionSupervisores[[#This Row],[ORDEN]])-1,_xlfn.XMATCH(TablaSupervisores[REFERENCIA],TablaSeleccionSupervisores[#Headers])))</f>
        <v>510</v>
      </c>
      <c r="X67" cm="1">
        <f t="array" ref="X67">SUM(TablaSupervisores[DISPOSITIVOS BACNET MS/TP JC]*INDEX(TablaSeleccionSupervisores[],ROW(TablaSeleccionSupervisores[[#This Row],[ORDEN]])-1,_xlfn.XMATCH(TablaSupervisores[REFERENCIA],TablaSeleccionSupervisores[#Headers])))</f>
        <v>350</v>
      </c>
      <c r="Y67" cm="1">
        <f t="array" ref="Y67">SUM(TablaSupervisores[DISPOSITIVOS BACNET MS/TP COMPATIBLES]*INDEX(TablaSeleccionSupervisores[],ROW(TablaSeleccionSupervisores[[#This Row],[ORDEN]])-1,_xlfn.XMATCH(TablaSupervisores[REFERENCIA],TablaSeleccionSupervisores[#Headers])))</f>
        <v>224</v>
      </c>
      <c r="Z67" cm="1">
        <f t="array" ref="Z67">SUM(TablaSupervisores[DISPOSITIVOS BACNET IP]*INDEX(TablaSeleccionSupervisores[],ROW(TablaSeleccionSupervisores[[#This Row],[ORDEN]])-1,_xlfn.XMATCH(TablaSupervisores[REFERENCIA],TablaSeleccionSupervisores[#Headers])))</f>
        <v>700</v>
      </c>
      <c r="AA67" cm="1">
        <f t="array" ref="AA67">SUM(TablaSupervisores[OBJETOS]*INDEX(TablaSeleccionSupervisores[],ROW(TablaSeleccionSupervisores[[#This Row],[ORDEN]])-1,_xlfn.XMATCH(TablaSupervisores[REFERENCIA],TablaSeleccionSupervisores[#Headers])))</f>
        <v>10000</v>
      </c>
      <c r="AB67" s="28" cm="1">
        <f t="array" ref="AB67">SUM(TablaSupervisores[COSTE]*INDEX(TablaSeleccionSupervisores[],ROW(TablaSeleccionSupervisores[[#This Row],[ORDEN]])-1,_xlfn.XMATCH(TablaSupervisores[REFERENCIA],TablaSeleccionSupervisores[#Headers])))</f>
        <v>13389.67</v>
      </c>
      <c r="AC67" cm="1">
        <f t="array" ref="AC67">SUM(INDEX(TablaSeleccionSupervisores[],ROW(TablaSeleccionSupervisores[[#This Row],[ORDEN]])-1,_xlfn.XMATCH(TablaSupervisores[REFERENCIA],TablaSeleccionSupervisores[#Headers])))</f>
        <v>4</v>
      </c>
      <c r="AD67" t="str" cm="1">
        <f t="array" ref="AD67">IF(INDEX(TablaSeleccionSupervisores[],ROW(TablaSeleccionSupervisores[[#This Row],[ORDEN]])-1,_xlfn.XMATCH("ADMITIDO ADSLITE",TablaSeleccionSupervisores[#Headers])+1)=0,"Sí admitido","No admitido")</f>
        <v>Sí admitido</v>
      </c>
      <c r="AE67">
        <v>0</v>
      </c>
      <c r="AF67">
        <v>3</v>
      </c>
      <c r="AG67">
        <v>1</v>
      </c>
      <c r="AH67">
        <v>0</v>
      </c>
    </row>
    <row r="68" spans="22:34" x14ac:dyDescent="0.25">
      <c r="V68">
        <v>67</v>
      </c>
      <c r="W68" cm="1">
        <f t="array" ref="W68">SUM(TablaSupervisores[DISPOSITIVOS TOTAL]*INDEX(TablaSeleccionSupervisores[],ROW(TablaSeleccionSupervisores[[#This Row],[ORDEN]])-1,_xlfn.XMATCH(TablaSupervisores[REFERENCIA],TablaSeleccionSupervisores[#Headers])))</f>
        <v>1110</v>
      </c>
      <c r="X68" cm="1">
        <f t="array" ref="X68">SUM(TablaSupervisores[DISPOSITIVOS BACNET MS/TP JC]*INDEX(TablaSeleccionSupervisores[],ROW(TablaSeleccionSupervisores[[#This Row],[ORDEN]])-1,_xlfn.XMATCH(TablaSupervisores[REFERENCIA],TablaSeleccionSupervisores[#Headers])))</f>
        <v>550</v>
      </c>
      <c r="Y68" cm="1">
        <f t="array" ref="Y68">SUM(TablaSupervisores[DISPOSITIVOS BACNET MS/TP COMPATIBLES]*INDEX(TablaSeleccionSupervisores[],ROW(TablaSeleccionSupervisores[[#This Row],[ORDEN]])-1,_xlfn.XMATCH(TablaSupervisores[REFERENCIA],TablaSeleccionSupervisores[#Headers])))</f>
        <v>352</v>
      </c>
      <c r="Z68" cm="1">
        <f t="array" ref="Z68">SUM(TablaSupervisores[DISPOSITIVOS BACNET IP]*INDEX(TablaSeleccionSupervisores[],ROW(TablaSeleccionSupervisores[[#This Row],[ORDEN]])-1,_xlfn.XMATCH(TablaSupervisores[REFERENCIA],TablaSeleccionSupervisores[#Headers])))</f>
        <v>1100</v>
      </c>
      <c r="AA68" cm="1">
        <f t="array" ref="AA68">SUM(TablaSupervisores[OBJETOS]*INDEX(TablaSeleccionSupervisores[],ROW(TablaSeleccionSupervisores[[#This Row],[ORDEN]])-1,_xlfn.XMATCH(TablaSupervisores[REFERENCIA],TablaSeleccionSupervisores[#Headers])))</f>
        <v>15000</v>
      </c>
      <c r="AB68" s="28" cm="1">
        <f t="array" ref="AB68">SUM(TablaSupervisores[COSTE]*INDEX(TablaSeleccionSupervisores[],ROW(TablaSeleccionSupervisores[[#This Row],[ORDEN]])-1,_xlfn.XMATCH(TablaSupervisores[REFERENCIA],TablaSeleccionSupervisores[#Headers])))</f>
        <v>19056.3</v>
      </c>
      <c r="AC68" cm="1">
        <f t="array" ref="AC68">SUM(INDEX(TablaSeleccionSupervisores[],ROW(TablaSeleccionSupervisores[[#This Row],[ORDEN]])-1,_xlfn.XMATCH(TablaSupervisores[REFERENCIA],TablaSeleccionSupervisores[#Headers])))</f>
        <v>5</v>
      </c>
      <c r="AD68" t="str" cm="1">
        <f t="array" ref="AD68">IF(INDEX(TablaSeleccionSupervisores[],ROW(TablaSeleccionSupervisores[[#This Row],[ORDEN]])-1,_xlfn.XMATCH("ADMITIDO ADSLITE",TablaSeleccionSupervisores[#Headers])+1)=0,"Sí admitido","No admitido")</f>
        <v>No admitido</v>
      </c>
      <c r="AE68">
        <v>1</v>
      </c>
      <c r="AF68">
        <v>3</v>
      </c>
      <c r="AG68">
        <v>1</v>
      </c>
      <c r="AH68">
        <v>0</v>
      </c>
    </row>
    <row r="69" spans="22:34" x14ac:dyDescent="0.25">
      <c r="V69">
        <v>68</v>
      </c>
      <c r="W69" cm="1">
        <f t="array" ref="W69">SUM(TablaSupervisores[DISPOSITIVOS TOTAL]*INDEX(TablaSeleccionSupervisores[],ROW(TablaSeleccionSupervisores[[#This Row],[ORDEN]])-1,_xlfn.XMATCH(TablaSupervisores[REFERENCIA],TablaSeleccionSupervisores[#Headers])))</f>
        <v>1710</v>
      </c>
      <c r="X69" cm="1">
        <f t="array" ref="X69">SUM(TablaSupervisores[DISPOSITIVOS BACNET MS/TP JC]*INDEX(TablaSeleccionSupervisores[],ROW(TablaSeleccionSupervisores[[#This Row],[ORDEN]])-1,_xlfn.XMATCH(TablaSupervisores[REFERENCIA],TablaSeleccionSupervisores[#Headers])))</f>
        <v>750</v>
      </c>
      <c r="Y69" cm="1">
        <f t="array" ref="Y69">SUM(TablaSupervisores[DISPOSITIVOS BACNET MS/TP COMPATIBLES]*INDEX(TablaSeleccionSupervisores[],ROW(TablaSeleccionSupervisores[[#This Row],[ORDEN]])-1,_xlfn.XMATCH(TablaSupervisores[REFERENCIA],TablaSeleccionSupervisores[#Headers])))</f>
        <v>480</v>
      </c>
      <c r="Z69" cm="1">
        <f t="array" ref="Z69">SUM(TablaSupervisores[DISPOSITIVOS BACNET IP]*INDEX(TablaSeleccionSupervisores[],ROW(TablaSeleccionSupervisores[[#This Row],[ORDEN]])-1,_xlfn.XMATCH(TablaSupervisores[REFERENCIA],TablaSeleccionSupervisores[#Headers])))</f>
        <v>1500</v>
      </c>
      <c r="AA69" cm="1">
        <f t="array" ref="AA69">SUM(TablaSupervisores[OBJETOS]*INDEX(TablaSeleccionSupervisores[],ROW(TablaSeleccionSupervisores[[#This Row],[ORDEN]])-1,_xlfn.XMATCH(TablaSupervisores[REFERENCIA],TablaSeleccionSupervisores[#Headers])))</f>
        <v>20000</v>
      </c>
      <c r="AB69" s="28" cm="1">
        <f t="array" ref="AB69">SUM(TablaSupervisores[COSTE]*INDEX(TablaSeleccionSupervisores[],ROW(TablaSeleccionSupervisores[[#This Row],[ORDEN]])-1,_xlfn.XMATCH(TablaSupervisores[REFERENCIA],TablaSeleccionSupervisores[#Headers])))</f>
        <v>24722.93</v>
      </c>
      <c r="AC69" cm="1">
        <f t="array" ref="AC69">SUM(INDEX(TablaSeleccionSupervisores[],ROW(TablaSeleccionSupervisores[[#This Row],[ORDEN]])-1,_xlfn.XMATCH(TablaSupervisores[REFERENCIA],TablaSeleccionSupervisores[#Headers])))</f>
        <v>6</v>
      </c>
      <c r="AD69" t="str" cm="1">
        <f t="array" ref="AD69">IF(INDEX(TablaSeleccionSupervisores[],ROW(TablaSeleccionSupervisores[[#This Row],[ORDEN]])-1,_xlfn.XMATCH("ADMITIDO ADSLITE",TablaSeleccionSupervisores[#Headers])+1)=0,"Sí admitido","No admitido")</f>
        <v>No admitido</v>
      </c>
      <c r="AE69">
        <v>2</v>
      </c>
      <c r="AF69">
        <v>3</v>
      </c>
      <c r="AG69">
        <v>1</v>
      </c>
      <c r="AH69">
        <v>0</v>
      </c>
    </row>
    <row r="70" spans="22:34" x14ac:dyDescent="0.25">
      <c r="V70">
        <v>69</v>
      </c>
      <c r="W70" cm="1">
        <f t="array" ref="W70">SUM(TablaSupervisores[DISPOSITIVOS TOTAL]*INDEX(TablaSeleccionSupervisores[],ROW(TablaSeleccionSupervisores[[#This Row],[ORDEN]])-1,_xlfn.XMATCH(TablaSupervisores[REFERENCIA],TablaSeleccionSupervisores[#Headers])))</f>
        <v>2310</v>
      </c>
      <c r="X70" cm="1">
        <f t="array" ref="X70">SUM(TablaSupervisores[DISPOSITIVOS BACNET MS/TP JC]*INDEX(TablaSeleccionSupervisores[],ROW(TablaSeleccionSupervisores[[#This Row],[ORDEN]])-1,_xlfn.XMATCH(TablaSupervisores[REFERENCIA],TablaSeleccionSupervisores[#Headers])))</f>
        <v>950</v>
      </c>
      <c r="Y70" cm="1">
        <f t="array" ref="Y70">SUM(TablaSupervisores[DISPOSITIVOS BACNET MS/TP COMPATIBLES]*INDEX(TablaSeleccionSupervisores[],ROW(TablaSeleccionSupervisores[[#This Row],[ORDEN]])-1,_xlfn.XMATCH(TablaSupervisores[REFERENCIA],TablaSeleccionSupervisores[#Headers])))</f>
        <v>608</v>
      </c>
      <c r="Z70" cm="1">
        <f t="array" ref="Z70">SUM(TablaSupervisores[DISPOSITIVOS BACNET IP]*INDEX(TablaSeleccionSupervisores[],ROW(TablaSeleccionSupervisores[[#This Row],[ORDEN]])-1,_xlfn.XMATCH(TablaSupervisores[REFERENCIA],TablaSeleccionSupervisores[#Headers])))</f>
        <v>1900</v>
      </c>
      <c r="AA70" cm="1">
        <f t="array" ref="AA70">SUM(TablaSupervisores[OBJETOS]*INDEX(TablaSeleccionSupervisores[],ROW(TablaSeleccionSupervisores[[#This Row],[ORDEN]])-1,_xlfn.XMATCH(TablaSupervisores[REFERENCIA],TablaSeleccionSupervisores[#Headers])))</f>
        <v>25000</v>
      </c>
      <c r="AB70" s="28" cm="1">
        <f t="array" ref="AB70">SUM(TablaSupervisores[COSTE]*INDEX(TablaSeleccionSupervisores[],ROW(TablaSeleccionSupervisores[[#This Row],[ORDEN]])-1,_xlfn.XMATCH(TablaSupervisores[REFERENCIA],TablaSeleccionSupervisores[#Headers])))</f>
        <v>30389.56</v>
      </c>
      <c r="AC70" cm="1">
        <f t="array" ref="AC70">SUM(INDEX(TablaSeleccionSupervisores[],ROW(TablaSeleccionSupervisores[[#This Row],[ORDEN]])-1,_xlfn.XMATCH(TablaSupervisores[REFERENCIA],TablaSeleccionSupervisores[#Headers])))</f>
        <v>7</v>
      </c>
      <c r="AD70" t="str" cm="1">
        <f t="array" ref="AD70">IF(INDEX(TablaSeleccionSupervisores[],ROW(TablaSeleccionSupervisores[[#This Row],[ORDEN]])-1,_xlfn.XMATCH("ADMITIDO ADSLITE",TablaSeleccionSupervisores[#Headers])+1)=0,"Sí admitido","No admitido")</f>
        <v>No admitido</v>
      </c>
      <c r="AE70">
        <v>3</v>
      </c>
      <c r="AF70">
        <v>3</v>
      </c>
      <c r="AG70">
        <v>1</v>
      </c>
      <c r="AH70">
        <v>0</v>
      </c>
    </row>
    <row r="71" spans="22:34" x14ac:dyDescent="0.25">
      <c r="V71">
        <v>70</v>
      </c>
      <c r="W71" cm="1">
        <f t="array" ref="W71">SUM(TablaSupervisores[DISPOSITIVOS TOTAL]*INDEX(TablaSeleccionSupervisores[],ROW(TablaSeleccionSupervisores[[#This Row],[ORDEN]])-1,_xlfn.XMATCH(TablaSupervisores[REFERENCIA],TablaSeleccionSupervisores[#Headers])))</f>
        <v>2910</v>
      </c>
      <c r="X71" cm="1">
        <f t="array" ref="X71">SUM(TablaSupervisores[DISPOSITIVOS BACNET MS/TP JC]*INDEX(TablaSeleccionSupervisores[],ROW(TablaSeleccionSupervisores[[#This Row],[ORDEN]])-1,_xlfn.XMATCH(TablaSupervisores[REFERENCIA],TablaSeleccionSupervisores[#Headers])))</f>
        <v>1150</v>
      </c>
      <c r="Y71" cm="1">
        <f t="array" ref="Y71">SUM(TablaSupervisores[DISPOSITIVOS BACNET MS/TP COMPATIBLES]*INDEX(TablaSeleccionSupervisores[],ROW(TablaSeleccionSupervisores[[#This Row],[ORDEN]])-1,_xlfn.XMATCH(TablaSupervisores[REFERENCIA],TablaSeleccionSupervisores[#Headers])))</f>
        <v>736</v>
      </c>
      <c r="Z71" cm="1">
        <f t="array" ref="Z71">SUM(TablaSupervisores[DISPOSITIVOS BACNET IP]*INDEX(TablaSeleccionSupervisores[],ROW(TablaSeleccionSupervisores[[#This Row],[ORDEN]])-1,_xlfn.XMATCH(TablaSupervisores[REFERENCIA],TablaSeleccionSupervisores[#Headers])))</f>
        <v>2300</v>
      </c>
      <c r="AA71" cm="1">
        <f t="array" ref="AA71">SUM(TablaSupervisores[OBJETOS]*INDEX(TablaSeleccionSupervisores[],ROW(TablaSeleccionSupervisores[[#This Row],[ORDEN]])-1,_xlfn.XMATCH(TablaSupervisores[REFERENCIA],TablaSeleccionSupervisores[#Headers])))</f>
        <v>30000</v>
      </c>
      <c r="AB71" s="28" cm="1">
        <f t="array" ref="AB71">SUM(TablaSupervisores[COSTE]*INDEX(TablaSeleccionSupervisores[],ROW(TablaSeleccionSupervisores[[#This Row],[ORDEN]])-1,_xlfn.XMATCH(TablaSupervisores[REFERENCIA],TablaSeleccionSupervisores[#Headers])))</f>
        <v>36056.19</v>
      </c>
      <c r="AC71" cm="1">
        <f t="array" ref="AC71">SUM(INDEX(TablaSeleccionSupervisores[],ROW(TablaSeleccionSupervisores[[#This Row],[ORDEN]])-1,_xlfn.XMATCH(TablaSupervisores[REFERENCIA],TablaSeleccionSupervisores[#Headers])))</f>
        <v>8</v>
      </c>
      <c r="AD71" t="str" cm="1">
        <f t="array" ref="AD71">IF(INDEX(TablaSeleccionSupervisores[],ROW(TablaSeleccionSupervisores[[#This Row],[ORDEN]])-1,_xlfn.XMATCH("ADMITIDO ADSLITE",TablaSeleccionSupervisores[#Headers])+1)=0,"Sí admitido","No admitido")</f>
        <v>No admitido</v>
      </c>
      <c r="AE71">
        <v>4</v>
      </c>
      <c r="AF71">
        <v>3</v>
      </c>
      <c r="AG71">
        <v>1</v>
      </c>
      <c r="AH71">
        <v>0</v>
      </c>
    </row>
    <row r="72" spans="22:34" x14ac:dyDescent="0.25">
      <c r="V72">
        <v>71</v>
      </c>
      <c r="W72" cm="1">
        <f t="array" ref="W72">SUM(TablaSupervisores[DISPOSITIVOS TOTAL]*INDEX(TablaSeleccionSupervisores[],ROW(TablaSeleccionSupervisores[[#This Row],[ORDEN]])-1,_xlfn.XMATCH(TablaSupervisores[REFERENCIA],TablaSeleccionSupervisores[#Headers])))</f>
        <v>660</v>
      </c>
      <c r="X72" cm="1">
        <f t="array" ref="X72">SUM(TablaSupervisores[DISPOSITIVOS BACNET MS/TP JC]*INDEX(TablaSeleccionSupervisores[],ROW(TablaSeleccionSupervisores[[#This Row],[ORDEN]])-1,_xlfn.XMATCH(TablaSupervisores[REFERENCIA],TablaSeleccionSupervisores[#Headers])))</f>
        <v>450</v>
      </c>
      <c r="Y72" cm="1">
        <f t="array" ref="Y72">SUM(TablaSupervisores[DISPOSITIVOS BACNET MS/TP COMPATIBLES]*INDEX(TablaSeleccionSupervisores[],ROW(TablaSeleccionSupervisores[[#This Row],[ORDEN]])-1,_xlfn.XMATCH(TablaSupervisores[REFERENCIA],TablaSeleccionSupervisores[#Headers])))</f>
        <v>288</v>
      </c>
      <c r="Z72" cm="1">
        <f t="array" ref="Z72">SUM(TablaSupervisores[DISPOSITIVOS BACNET IP]*INDEX(TablaSeleccionSupervisores[],ROW(TablaSeleccionSupervisores[[#This Row],[ORDEN]])-1,_xlfn.XMATCH(TablaSupervisores[REFERENCIA],TablaSeleccionSupervisores[#Headers])))</f>
        <v>900</v>
      </c>
      <c r="AA72" cm="1">
        <f t="array" ref="AA72">SUM(TablaSupervisores[OBJETOS]*INDEX(TablaSeleccionSupervisores[],ROW(TablaSeleccionSupervisores[[#This Row],[ORDEN]])-1,_xlfn.XMATCH(TablaSupervisores[REFERENCIA],TablaSeleccionSupervisores[#Headers])))</f>
        <v>12500</v>
      </c>
      <c r="AB72" s="28" cm="1">
        <f t="array" ref="AB72">SUM(TablaSupervisores[COSTE]*INDEX(TablaSeleccionSupervisores[],ROW(TablaSeleccionSupervisores[[#This Row],[ORDEN]])-1,_xlfn.XMATCH(TablaSupervisores[REFERENCIA],TablaSeleccionSupervisores[#Headers])))</f>
        <v>17378.400000000001</v>
      </c>
      <c r="AC72" cm="1">
        <f t="array" ref="AC72">SUM(INDEX(TablaSeleccionSupervisores[],ROW(TablaSeleccionSupervisores[[#This Row],[ORDEN]])-1,_xlfn.XMATCH(TablaSupervisores[REFERENCIA],TablaSeleccionSupervisores[#Headers])))</f>
        <v>5</v>
      </c>
      <c r="AD72" t="str" cm="1">
        <f t="array" ref="AD72">IF(INDEX(TablaSeleccionSupervisores[],ROW(TablaSeleccionSupervisores[[#This Row],[ORDEN]])-1,_xlfn.XMATCH("ADMITIDO ADSLITE",TablaSeleccionSupervisores[#Headers])+1)=0,"Sí admitido","No admitido")</f>
        <v>Sí admitido</v>
      </c>
      <c r="AE72">
        <v>0</v>
      </c>
      <c r="AF72">
        <v>4</v>
      </c>
      <c r="AG72">
        <v>1</v>
      </c>
      <c r="AH72">
        <v>0</v>
      </c>
    </row>
    <row r="73" spans="22:34" x14ac:dyDescent="0.25">
      <c r="V73">
        <v>72</v>
      </c>
      <c r="W73" cm="1">
        <f t="array" ref="W73">SUM(TablaSupervisores[DISPOSITIVOS TOTAL]*INDEX(TablaSeleccionSupervisores[],ROW(TablaSeleccionSupervisores[[#This Row],[ORDEN]])-1,_xlfn.XMATCH(TablaSupervisores[REFERENCIA],TablaSeleccionSupervisores[#Headers])))</f>
        <v>1260</v>
      </c>
      <c r="X73" cm="1">
        <f t="array" ref="X73">SUM(TablaSupervisores[DISPOSITIVOS BACNET MS/TP JC]*INDEX(TablaSeleccionSupervisores[],ROW(TablaSeleccionSupervisores[[#This Row],[ORDEN]])-1,_xlfn.XMATCH(TablaSupervisores[REFERENCIA],TablaSeleccionSupervisores[#Headers])))</f>
        <v>650</v>
      </c>
      <c r="Y73" cm="1">
        <f t="array" ref="Y73">SUM(TablaSupervisores[DISPOSITIVOS BACNET MS/TP COMPATIBLES]*INDEX(TablaSeleccionSupervisores[],ROW(TablaSeleccionSupervisores[[#This Row],[ORDEN]])-1,_xlfn.XMATCH(TablaSupervisores[REFERENCIA],TablaSeleccionSupervisores[#Headers])))</f>
        <v>416</v>
      </c>
      <c r="Z73" cm="1">
        <f t="array" ref="Z73">SUM(TablaSupervisores[DISPOSITIVOS BACNET IP]*INDEX(TablaSeleccionSupervisores[],ROW(TablaSeleccionSupervisores[[#This Row],[ORDEN]])-1,_xlfn.XMATCH(TablaSupervisores[REFERENCIA],TablaSeleccionSupervisores[#Headers])))</f>
        <v>1300</v>
      </c>
      <c r="AA73" cm="1">
        <f t="array" ref="AA73">SUM(TablaSupervisores[OBJETOS]*INDEX(TablaSeleccionSupervisores[],ROW(TablaSeleccionSupervisores[[#This Row],[ORDEN]])-1,_xlfn.XMATCH(TablaSupervisores[REFERENCIA],TablaSeleccionSupervisores[#Headers])))</f>
        <v>17500</v>
      </c>
      <c r="AB73" s="28" cm="1">
        <f t="array" ref="AB73">SUM(TablaSupervisores[COSTE]*INDEX(TablaSeleccionSupervisores[],ROW(TablaSeleccionSupervisores[[#This Row],[ORDEN]])-1,_xlfn.XMATCH(TablaSupervisores[REFERENCIA],TablaSeleccionSupervisores[#Headers])))</f>
        <v>23045.03</v>
      </c>
      <c r="AC73" cm="1">
        <f t="array" ref="AC73">SUM(INDEX(TablaSeleccionSupervisores[],ROW(TablaSeleccionSupervisores[[#This Row],[ORDEN]])-1,_xlfn.XMATCH(TablaSupervisores[REFERENCIA],TablaSeleccionSupervisores[#Headers])))</f>
        <v>6</v>
      </c>
      <c r="AD73" t="str" cm="1">
        <f t="array" ref="AD73">IF(INDEX(TablaSeleccionSupervisores[],ROW(TablaSeleccionSupervisores[[#This Row],[ORDEN]])-1,_xlfn.XMATCH("ADMITIDO ADSLITE",TablaSeleccionSupervisores[#Headers])+1)=0,"Sí admitido","No admitido")</f>
        <v>No admitido</v>
      </c>
      <c r="AE73">
        <v>1</v>
      </c>
      <c r="AF73">
        <v>4</v>
      </c>
      <c r="AG73">
        <v>1</v>
      </c>
      <c r="AH73">
        <v>0</v>
      </c>
    </row>
    <row r="74" spans="22:34" x14ac:dyDescent="0.25">
      <c r="V74">
        <v>73</v>
      </c>
      <c r="W74" cm="1">
        <f t="array" ref="W74">SUM(TablaSupervisores[DISPOSITIVOS TOTAL]*INDEX(TablaSeleccionSupervisores[],ROW(TablaSeleccionSupervisores[[#This Row],[ORDEN]])-1,_xlfn.XMATCH(TablaSupervisores[REFERENCIA],TablaSeleccionSupervisores[#Headers])))</f>
        <v>1860</v>
      </c>
      <c r="X74" cm="1">
        <f t="array" ref="X74">SUM(TablaSupervisores[DISPOSITIVOS BACNET MS/TP JC]*INDEX(TablaSeleccionSupervisores[],ROW(TablaSeleccionSupervisores[[#This Row],[ORDEN]])-1,_xlfn.XMATCH(TablaSupervisores[REFERENCIA],TablaSeleccionSupervisores[#Headers])))</f>
        <v>850</v>
      </c>
      <c r="Y74" cm="1">
        <f t="array" ref="Y74">SUM(TablaSupervisores[DISPOSITIVOS BACNET MS/TP COMPATIBLES]*INDEX(TablaSeleccionSupervisores[],ROW(TablaSeleccionSupervisores[[#This Row],[ORDEN]])-1,_xlfn.XMATCH(TablaSupervisores[REFERENCIA],TablaSeleccionSupervisores[#Headers])))</f>
        <v>544</v>
      </c>
      <c r="Z74" cm="1">
        <f t="array" ref="Z74">SUM(TablaSupervisores[DISPOSITIVOS BACNET IP]*INDEX(TablaSeleccionSupervisores[],ROW(TablaSeleccionSupervisores[[#This Row],[ORDEN]])-1,_xlfn.XMATCH(TablaSupervisores[REFERENCIA],TablaSeleccionSupervisores[#Headers])))</f>
        <v>1700</v>
      </c>
      <c r="AA74" cm="1">
        <f t="array" ref="AA74">SUM(TablaSupervisores[OBJETOS]*INDEX(TablaSeleccionSupervisores[],ROW(TablaSeleccionSupervisores[[#This Row],[ORDEN]])-1,_xlfn.XMATCH(TablaSupervisores[REFERENCIA],TablaSeleccionSupervisores[#Headers])))</f>
        <v>22500</v>
      </c>
      <c r="AB74" s="28" cm="1">
        <f t="array" ref="AB74">SUM(TablaSupervisores[COSTE]*INDEX(TablaSeleccionSupervisores[],ROW(TablaSeleccionSupervisores[[#This Row],[ORDEN]])-1,_xlfn.XMATCH(TablaSupervisores[REFERENCIA],TablaSeleccionSupervisores[#Headers])))</f>
        <v>28711.66</v>
      </c>
      <c r="AC74" cm="1">
        <f t="array" ref="AC74">SUM(INDEX(TablaSeleccionSupervisores[],ROW(TablaSeleccionSupervisores[[#This Row],[ORDEN]])-1,_xlfn.XMATCH(TablaSupervisores[REFERENCIA],TablaSeleccionSupervisores[#Headers])))</f>
        <v>7</v>
      </c>
      <c r="AD74" t="str" cm="1">
        <f t="array" ref="AD74">IF(INDEX(TablaSeleccionSupervisores[],ROW(TablaSeleccionSupervisores[[#This Row],[ORDEN]])-1,_xlfn.XMATCH("ADMITIDO ADSLITE",TablaSeleccionSupervisores[#Headers])+1)=0,"Sí admitido","No admitido")</f>
        <v>No admitido</v>
      </c>
      <c r="AE74">
        <v>2</v>
      </c>
      <c r="AF74">
        <v>4</v>
      </c>
      <c r="AG74">
        <v>1</v>
      </c>
      <c r="AH74">
        <v>0</v>
      </c>
    </row>
    <row r="75" spans="22:34" x14ac:dyDescent="0.25">
      <c r="V75">
        <v>74</v>
      </c>
      <c r="W75" cm="1">
        <f t="array" ref="W75">SUM(TablaSupervisores[DISPOSITIVOS TOTAL]*INDEX(TablaSeleccionSupervisores[],ROW(TablaSeleccionSupervisores[[#This Row],[ORDEN]])-1,_xlfn.XMATCH(TablaSupervisores[REFERENCIA],TablaSeleccionSupervisores[#Headers])))</f>
        <v>2460</v>
      </c>
      <c r="X75" cm="1">
        <f t="array" ref="X75">SUM(TablaSupervisores[DISPOSITIVOS BACNET MS/TP JC]*INDEX(TablaSeleccionSupervisores[],ROW(TablaSeleccionSupervisores[[#This Row],[ORDEN]])-1,_xlfn.XMATCH(TablaSupervisores[REFERENCIA],TablaSeleccionSupervisores[#Headers])))</f>
        <v>1050</v>
      </c>
      <c r="Y75" cm="1">
        <f t="array" ref="Y75">SUM(TablaSupervisores[DISPOSITIVOS BACNET MS/TP COMPATIBLES]*INDEX(TablaSeleccionSupervisores[],ROW(TablaSeleccionSupervisores[[#This Row],[ORDEN]])-1,_xlfn.XMATCH(TablaSupervisores[REFERENCIA],TablaSeleccionSupervisores[#Headers])))</f>
        <v>672</v>
      </c>
      <c r="Z75" cm="1">
        <f t="array" ref="Z75">SUM(TablaSupervisores[DISPOSITIVOS BACNET IP]*INDEX(TablaSeleccionSupervisores[],ROW(TablaSeleccionSupervisores[[#This Row],[ORDEN]])-1,_xlfn.XMATCH(TablaSupervisores[REFERENCIA],TablaSeleccionSupervisores[#Headers])))</f>
        <v>2100</v>
      </c>
      <c r="AA75" cm="1">
        <f t="array" ref="AA75">SUM(TablaSupervisores[OBJETOS]*INDEX(TablaSeleccionSupervisores[],ROW(TablaSeleccionSupervisores[[#This Row],[ORDEN]])-1,_xlfn.XMATCH(TablaSupervisores[REFERENCIA],TablaSeleccionSupervisores[#Headers])))</f>
        <v>27500</v>
      </c>
      <c r="AB75" s="28" cm="1">
        <f t="array" ref="AB75">SUM(TablaSupervisores[COSTE]*INDEX(TablaSeleccionSupervisores[],ROW(TablaSeleccionSupervisores[[#This Row],[ORDEN]])-1,_xlfn.XMATCH(TablaSupervisores[REFERENCIA],TablaSeleccionSupervisores[#Headers])))</f>
        <v>34378.29</v>
      </c>
      <c r="AC75" cm="1">
        <f t="array" ref="AC75">SUM(INDEX(TablaSeleccionSupervisores[],ROW(TablaSeleccionSupervisores[[#This Row],[ORDEN]])-1,_xlfn.XMATCH(TablaSupervisores[REFERENCIA],TablaSeleccionSupervisores[#Headers])))</f>
        <v>8</v>
      </c>
      <c r="AD75" t="str" cm="1">
        <f t="array" ref="AD75">IF(INDEX(TablaSeleccionSupervisores[],ROW(TablaSeleccionSupervisores[[#This Row],[ORDEN]])-1,_xlfn.XMATCH("ADMITIDO ADSLITE",TablaSeleccionSupervisores[#Headers])+1)=0,"Sí admitido","No admitido")</f>
        <v>No admitido</v>
      </c>
      <c r="AE75">
        <v>3</v>
      </c>
      <c r="AF75">
        <v>4</v>
      </c>
      <c r="AG75">
        <v>1</v>
      </c>
      <c r="AH75">
        <v>0</v>
      </c>
    </row>
    <row r="76" spans="22:34" x14ac:dyDescent="0.25">
      <c r="V76">
        <v>75</v>
      </c>
      <c r="W76" cm="1">
        <f t="array" ref="W76">SUM(TablaSupervisores[DISPOSITIVOS TOTAL]*INDEX(TablaSeleccionSupervisores[],ROW(TablaSeleccionSupervisores[[#This Row],[ORDEN]])-1,_xlfn.XMATCH(TablaSupervisores[REFERENCIA],TablaSeleccionSupervisores[#Headers])))</f>
        <v>810</v>
      </c>
      <c r="X76" cm="1">
        <f t="array" ref="X76">SUM(TablaSupervisores[DISPOSITIVOS BACNET MS/TP JC]*INDEX(TablaSeleccionSupervisores[],ROW(TablaSeleccionSupervisores[[#This Row],[ORDEN]])-1,_xlfn.XMATCH(TablaSupervisores[REFERENCIA],TablaSeleccionSupervisores[#Headers])))</f>
        <v>550</v>
      </c>
      <c r="Y76" cm="1">
        <f t="array" ref="Y76">SUM(TablaSupervisores[DISPOSITIVOS BACNET MS/TP COMPATIBLES]*INDEX(TablaSeleccionSupervisores[],ROW(TablaSeleccionSupervisores[[#This Row],[ORDEN]])-1,_xlfn.XMATCH(TablaSupervisores[REFERENCIA],TablaSeleccionSupervisores[#Headers])))</f>
        <v>352</v>
      </c>
      <c r="Z76" cm="1">
        <f t="array" ref="Z76">SUM(TablaSupervisores[DISPOSITIVOS BACNET IP]*INDEX(TablaSeleccionSupervisores[],ROW(TablaSeleccionSupervisores[[#This Row],[ORDEN]])-1,_xlfn.XMATCH(TablaSupervisores[REFERENCIA],TablaSeleccionSupervisores[#Headers])))</f>
        <v>1100</v>
      </c>
      <c r="AA76" cm="1">
        <f t="array" ref="AA76">SUM(TablaSupervisores[OBJETOS]*INDEX(TablaSeleccionSupervisores[],ROW(TablaSeleccionSupervisores[[#This Row],[ORDEN]])-1,_xlfn.XMATCH(TablaSupervisores[REFERENCIA],TablaSeleccionSupervisores[#Headers])))</f>
        <v>15000</v>
      </c>
      <c r="AB76" s="28" cm="1">
        <f t="array" ref="AB76">SUM(TablaSupervisores[COSTE]*INDEX(TablaSeleccionSupervisores[],ROW(TablaSeleccionSupervisores[[#This Row],[ORDEN]])-1,_xlfn.XMATCH(TablaSupervisores[REFERENCIA],TablaSeleccionSupervisores[#Headers])))</f>
        <v>21367.13</v>
      </c>
      <c r="AC76" cm="1">
        <f t="array" ref="AC76">SUM(INDEX(TablaSeleccionSupervisores[],ROW(TablaSeleccionSupervisores[[#This Row],[ORDEN]])-1,_xlfn.XMATCH(TablaSupervisores[REFERENCIA],TablaSeleccionSupervisores[#Headers])))</f>
        <v>6</v>
      </c>
      <c r="AD76" t="str" cm="1">
        <f t="array" ref="AD76">IF(INDEX(TablaSeleccionSupervisores[],ROW(TablaSeleccionSupervisores[[#This Row],[ORDEN]])-1,_xlfn.XMATCH("ADMITIDO ADSLITE",TablaSeleccionSupervisores[#Headers])+1)=0,"Sí admitido","No admitido")</f>
        <v>Sí admitido</v>
      </c>
      <c r="AE76">
        <v>0</v>
      </c>
      <c r="AF76">
        <v>5</v>
      </c>
      <c r="AG76">
        <v>1</v>
      </c>
      <c r="AH76">
        <v>0</v>
      </c>
    </row>
    <row r="77" spans="22:34" x14ac:dyDescent="0.25">
      <c r="V77">
        <v>76</v>
      </c>
      <c r="W77" cm="1">
        <f t="array" ref="W77">SUM(TablaSupervisores[DISPOSITIVOS TOTAL]*INDEX(TablaSeleccionSupervisores[],ROW(TablaSeleccionSupervisores[[#This Row],[ORDEN]])-1,_xlfn.XMATCH(TablaSupervisores[REFERENCIA],TablaSeleccionSupervisores[#Headers])))</f>
        <v>1410</v>
      </c>
      <c r="X77" cm="1">
        <f t="array" ref="X77">SUM(TablaSupervisores[DISPOSITIVOS BACNET MS/TP JC]*INDEX(TablaSeleccionSupervisores[],ROW(TablaSeleccionSupervisores[[#This Row],[ORDEN]])-1,_xlfn.XMATCH(TablaSupervisores[REFERENCIA],TablaSeleccionSupervisores[#Headers])))</f>
        <v>750</v>
      </c>
      <c r="Y77" cm="1">
        <f t="array" ref="Y77">SUM(TablaSupervisores[DISPOSITIVOS BACNET MS/TP COMPATIBLES]*INDEX(TablaSeleccionSupervisores[],ROW(TablaSeleccionSupervisores[[#This Row],[ORDEN]])-1,_xlfn.XMATCH(TablaSupervisores[REFERENCIA],TablaSeleccionSupervisores[#Headers])))</f>
        <v>480</v>
      </c>
      <c r="Z77" cm="1">
        <f t="array" ref="Z77">SUM(TablaSupervisores[DISPOSITIVOS BACNET IP]*INDEX(TablaSeleccionSupervisores[],ROW(TablaSeleccionSupervisores[[#This Row],[ORDEN]])-1,_xlfn.XMATCH(TablaSupervisores[REFERENCIA],TablaSeleccionSupervisores[#Headers])))</f>
        <v>1500</v>
      </c>
      <c r="AA77" cm="1">
        <f t="array" ref="AA77">SUM(TablaSupervisores[OBJETOS]*INDEX(TablaSeleccionSupervisores[],ROW(TablaSeleccionSupervisores[[#This Row],[ORDEN]])-1,_xlfn.XMATCH(TablaSupervisores[REFERENCIA],TablaSeleccionSupervisores[#Headers])))</f>
        <v>20000</v>
      </c>
      <c r="AB77" s="28" cm="1">
        <f t="array" ref="AB77">SUM(TablaSupervisores[COSTE]*INDEX(TablaSeleccionSupervisores[],ROW(TablaSeleccionSupervisores[[#This Row],[ORDEN]])-1,_xlfn.XMATCH(TablaSupervisores[REFERENCIA],TablaSeleccionSupervisores[#Headers])))</f>
        <v>27033.760000000002</v>
      </c>
      <c r="AC77" cm="1">
        <f t="array" ref="AC77">SUM(INDEX(TablaSeleccionSupervisores[],ROW(TablaSeleccionSupervisores[[#This Row],[ORDEN]])-1,_xlfn.XMATCH(TablaSupervisores[REFERENCIA],TablaSeleccionSupervisores[#Headers])))</f>
        <v>7</v>
      </c>
      <c r="AD77" t="str" cm="1">
        <f t="array" ref="AD77">IF(INDEX(TablaSeleccionSupervisores[],ROW(TablaSeleccionSupervisores[[#This Row],[ORDEN]])-1,_xlfn.XMATCH("ADMITIDO ADSLITE",TablaSeleccionSupervisores[#Headers])+1)=0,"Sí admitido","No admitido")</f>
        <v>No admitido</v>
      </c>
      <c r="AE77">
        <v>1</v>
      </c>
      <c r="AF77">
        <v>5</v>
      </c>
      <c r="AG77">
        <v>1</v>
      </c>
      <c r="AH77">
        <v>0</v>
      </c>
    </row>
    <row r="78" spans="22:34" x14ac:dyDescent="0.25">
      <c r="V78">
        <v>77</v>
      </c>
      <c r="W78" cm="1">
        <f t="array" ref="W78">SUM(TablaSupervisores[DISPOSITIVOS TOTAL]*INDEX(TablaSeleccionSupervisores[],ROW(TablaSeleccionSupervisores[[#This Row],[ORDEN]])-1,_xlfn.XMATCH(TablaSupervisores[REFERENCIA],TablaSeleccionSupervisores[#Headers])))</f>
        <v>2010</v>
      </c>
      <c r="X78" cm="1">
        <f t="array" ref="X78">SUM(TablaSupervisores[DISPOSITIVOS BACNET MS/TP JC]*INDEX(TablaSeleccionSupervisores[],ROW(TablaSeleccionSupervisores[[#This Row],[ORDEN]])-1,_xlfn.XMATCH(TablaSupervisores[REFERENCIA],TablaSeleccionSupervisores[#Headers])))</f>
        <v>950</v>
      </c>
      <c r="Y78" cm="1">
        <f t="array" ref="Y78">SUM(TablaSupervisores[DISPOSITIVOS BACNET MS/TP COMPATIBLES]*INDEX(TablaSeleccionSupervisores[],ROW(TablaSeleccionSupervisores[[#This Row],[ORDEN]])-1,_xlfn.XMATCH(TablaSupervisores[REFERENCIA],TablaSeleccionSupervisores[#Headers])))</f>
        <v>608</v>
      </c>
      <c r="Z78" cm="1">
        <f t="array" ref="Z78">SUM(TablaSupervisores[DISPOSITIVOS BACNET IP]*INDEX(TablaSeleccionSupervisores[],ROW(TablaSeleccionSupervisores[[#This Row],[ORDEN]])-1,_xlfn.XMATCH(TablaSupervisores[REFERENCIA],TablaSeleccionSupervisores[#Headers])))</f>
        <v>1900</v>
      </c>
      <c r="AA78" cm="1">
        <f t="array" ref="AA78">SUM(TablaSupervisores[OBJETOS]*INDEX(TablaSeleccionSupervisores[],ROW(TablaSeleccionSupervisores[[#This Row],[ORDEN]])-1,_xlfn.XMATCH(TablaSupervisores[REFERENCIA],TablaSeleccionSupervisores[#Headers])))</f>
        <v>25000</v>
      </c>
      <c r="AB78" s="28" cm="1">
        <f t="array" ref="AB78">SUM(TablaSupervisores[COSTE]*INDEX(TablaSeleccionSupervisores[],ROW(TablaSeleccionSupervisores[[#This Row],[ORDEN]])-1,_xlfn.XMATCH(TablaSupervisores[REFERENCIA],TablaSeleccionSupervisores[#Headers])))</f>
        <v>32700.390000000003</v>
      </c>
      <c r="AC78" cm="1">
        <f t="array" ref="AC78">SUM(INDEX(TablaSeleccionSupervisores[],ROW(TablaSeleccionSupervisores[[#This Row],[ORDEN]])-1,_xlfn.XMATCH(TablaSupervisores[REFERENCIA],TablaSeleccionSupervisores[#Headers])))</f>
        <v>8</v>
      </c>
      <c r="AD78" t="str" cm="1">
        <f t="array" ref="AD78">IF(INDEX(TablaSeleccionSupervisores[],ROW(TablaSeleccionSupervisores[[#This Row],[ORDEN]])-1,_xlfn.XMATCH("ADMITIDO ADSLITE",TablaSeleccionSupervisores[#Headers])+1)=0,"Sí admitido","No admitido")</f>
        <v>No admitido</v>
      </c>
      <c r="AE78">
        <v>2</v>
      </c>
      <c r="AF78">
        <v>5</v>
      </c>
      <c r="AG78">
        <v>1</v>
      </c>
      <c r="AH78">
        <v>0</v>
      </c>
    </row>
    <row r="79" spans="22:34" x14ac:dyDescent="0.25">
      <c r="V79">
        <v>78</v>
      </c>
      <c r="W79" cm="1">
        <f t="array" ref="W79">SUM(TablaSupervisores[DISPOSITIVOS TOTAL]*INDEX(TablaSeleccionSupervisores[],ROW(TablaSeleccionSupervisores[[#This Row],[ORDEN]])-1,_xlfn.XMATCH(TablaSupervisores[REFERENCIA],TablaSeleccionSupervisores[#Headers])))</f>
        <v>960</v>
      </c>
      <c r="X79" cm="1">
        <f t="array" ref="X79">SUM(TablaSupervisores[DISPOSITIVOS BACNET MS/TP JC]*INDEX(TablaSeleccionSupervisores[],ROW(TablaSeleccionSupervisores[[#This Row],[ORDEN]])-1,_xlfn.XMATCH(TablaSupervisores[REFERENCIA],TablaSeleccionSupervisores[#Headers])))</f>
        <v>650</v>
      </c>
      <c r="Y79" cm="1">
        <f t="array" ref="Y79">SUM(TablaSupervisores[DISPOSITIVOS BACNET MS/TP COMPATIBLES]*INDEX(TablaSeleccionSupervisores[],ROW(TablaSeleccionSupervisores[[#This Row],[ORDEN]])-1,_xlfn.XMATCH(TablaSupervisores[REFERENCIA],TablaSeleccionSupervisores[#Headers])))</f>
        <v>416</v>
      </c>
      <c r="Z79" cm="1">
        <f t="array" ref="Z79">SUM(TablaSupervisores[DISPOSITIVOS BACNET IP]*INDEX(TablaSeleccionSupervisores[],ROW(TablaSeleccionSupervisores[[#This Row],[ORDEN]])-1,_xlfn.XMATCH(TablaSupervisores[REFERENCIA],TablaSeleccionSupervisores[#Headers])))</f>
        <v>1300</v>
      </c>
      <c r="AA79" cm="1">
        <f t="array" ref="AA79">SUM(TablaSupervisores[OBJETOS]*INDEX(TablaSeleccionSupervisores[],ROW(TablaSeleccionSupervisores[[#This Row],[ORDEN]])-1,_xlfn.XMATCH(TablaSupervisores[REFERENCIA],TablaSeleccionSupervisores[#Headers])))</f>
        <v>17500</v>
      </c>
      <c r="AB79" s="28" cm="1">
        <f t="array" ref="AB79">SUM(TablaSupervisores[COSTE]*INDEX(TablaSeleccionSupervisores[],ROW(TablaSeleccionSupervisores[[#This Row],[ORDEN]])-1,_xlfn.XMATCH(TablaSupervisores[REFERENCIA],TablaSeleccionSupervisores[#Headers])))</f>
        <v>25355.86</v>
      </c>
      <c r="AC79" cm="1">
        <f t="array" ref="AC79">SUM(INDEX(TablaSeleccionSupervisores[],ROW(TablaSeleccionSupervisores[[#This Row],[ORDEN]])-1,_xlfn.XMATCH(TablaSupervisores[REFERENCIA],TablaSeleccionSupervisores[#Headers])))</f>
        <v>7</v>
      </c>
      <c r="AD79" t="str" cm="1">
        <f t="array" ref="AD79">IF(INDEX(TablaSeleccionSupervisores[],ROW(TablaSeleccionSupervisores[[#This Row],[ORDEN]])-1,_xlfn.XMATCH("ADMITIDO ADSLITE",TablaSeleccionSupervisores[#Headers])+1)=0,"Sí admitido","No admitido")</f>
        <v>Sí admitido</v>
      </c>
      <c r="AE79">
        <v>0</v>
      </c>
      <c r="AF79">
        <v>6</v>
      </c>
      <c r="AG79">
        <v>1</v>
      </c>
      <c r="AH79">
        <v>0</v>
      </c>
    </row>
    <row r="80" spans="22:34" x14ac:dyDescent="0.25">
      <c r="V80">
        <v>79</v>
      </c>
      <c r="W80" cm="1">
        <f t="array" ref="W80">SUM(TablaSupervisores[DISPOSITIVOS TOTAL]*INDEX(TablaSeleccionSupervisores[],ROW(TablaSeleccionSupervisores[[#This Row],[ORDEN]])-1,_xlfn.XMATCH(TablaSupervisores[REFERENCIA],TablaSeleccionSupervisores[#Headers])))</f>
        <v>1560</v>
      </c>
      <c r="X80" cm="1">
        <f t="array" ref="X80">SUM(TablaSupervisores[DISPOSITIVOS BACNET MS/TP JC]*INDEX(TablaSeleccionSupervisores[],ROW(TablaSeleccionSupervisores[[#This Row],[ORDEN]])-1,_xlfn.XMATCH(TablaSupervisores[REFERENCIA],TablaSeleccionSupervisores[#Headers])))</f>
        <v>850</v>
      </c>
      <c r="Y80" cm="1">
        <f t="array" ref="Y80">SUM(TablaSupervisores[DISPOSITIVOS BACNET MS/TP COMPATIBLES]*INDEX(TablaSeleccionSupervisores[],ROW(TablaSeleccionSupervisores[[#This Row],[ORDEN]])-1,_xlfn.XMATCH(TablaSupervisores[REFERENCIA],TablaSeleccionSupervisores[#Headers])))</f>
        <v>544</v>
      </c>
      <c r="Z80" cm="1">
        <f t="array" ref="Z80">SUM(TablaSupervisores[DISPOSITIVOS BACNET IP]*INDEX(TablaSeleccionSupervisores[],ROW(TablaSeleccionSupervisores[[#This Row],[ORDEN]])-1,_xlfn.XMATCH(TablaSupervisores[REFERENCIA],TablaSeleccionSupervisores[#Headers])))</f>
        <v>1700</v>
      </c>
      <c r="AA80" cm="1">
        <f t="array" ref="AA80">SUM(TablaSupervisores[OBJETOS]*INDEX(TablaSeleccionSupervisores[],ROW(TablaSeleccionSupervisores[[#This Row],[ORDEN]])-1,_xlfn.XMATCH(TablaSupervisores[REFERENCIA],TablaSeleccionSupervisores[#Headers])))</f>
        <v>22500</v>
      </c>
      <c r="AB80" s="28" cm="1">
        <f t="array" ref="AB80">SUM(TablaSupervisores[COSTE]*INDEX(TablaSeleccionSupervisores[],ROW(TablaSeleccionSupervisores[[#This Row],[ORDEN]])-1,_xlfn.XMATCH(TablaSupervisores[REFERENCIA],TablaSeleccionSupervisores[#Headers])))</f>
        <v>31022.49</v>
      </c>
      <c r="AC80" cm="1">
        <f t="array" ref="AC80">SUM(INDEX(TablaSeleccionSupervisores[],ROW(TablaSeleccionSupervisores[[#This Row],[ORDEN]])-1,_xlfn.XMATCH(TablaSupervisores[REFERENCIA],TablaSeleccionSupervisores[#Headers])))</f>
        <v>8</v>
      </c>
      <c r="AD80" t="str" cm="1">
        <f t="array" ref="AD80">IF(INDEX(TablaSeleccionSupervisores[],ROW(TablaSeleccionSupervisores[[#This Row],[ORDEN]])-1,_xlfn.XMATCH("ADMITIDO ADSLITE",TablaSeleccionSupervisores[#Headers])+1)=0,"Sí admitido","No admitido")</f>
        <v>No admitido</v>
      </c>
      <c r="AE80">
        <v>1</v>
      </c>
      <c r="AF80">
        <v>6</v>
      </c>
      <c r="AG80">
        <v>1</v>
      </c>
      <c r="AH80">
        <v>0</v>
      </c>
    </row>
    <row r="81" spans="22:34" x14ac:dyDescent="0.25">
      <c r="V81">
        <v>80</v>
      </c>
      <c r="W81" cm="1">
        <f t="array" ref="W81">SUM(TablaSupervisores[DISPOSITIVOS TOTAL]*INDEX(TablaSeleccionSupervisores[],ROW(TablaSeleccionSupervisores[[#This Row],[ORDEN]])-1,_xlfn.XMATCH(TablaSupervisores[REFERENCIA],TablaSeleccionSupervisores[#Headers])))</f>
        <v>1110</v>
      </c>
      <c r="X81" cm="1">
        <f t="array" ref="X81">SUM(TablaSupervisores[DISPOSITIVOS BACNET MS/TP JC]*INDEX(TablaSeleccionSupervisores[],ROW(TablaSeleccionSupervisores[[#This Row],[ORDEN]])-1,_xlfn.XMATCH(TablaSupervisores[REFERENCIA],TablaSeleccionSupervisores[#Headers])))</f>
        <v>750</v>
      </c>
      <c r="Y81" cm="1">
        <f t="array" ref="Y81">SUM(TablaSupervisores[DISPOSITIVOS BACNET MS/TP COMPATIBLES]*INDEX(TablaSeleccionSupervisores[],ROW(TablaSeleccionSupervisores[[#This Row],[ORDEN]])-1,_xlfn.XMATCH(TablaSupervisores[REFERENCIA],TablaSeleccionSupervisores[#Headers])))</f>
        <v>480</v>
      </c>
      <c r="Z81" cm="1">
        <f t="array" ref="Z81">SUM(TablaSupervisores[DISPOSITIVOS BACNET IP]*INDEX(TablaSeleccionSupervisores[],ROW(TablaSeleccionSupervisores[[#This Row],[ORDEN]])-1,_xlfn.XMATCH(TablaSupervisores[REFERENCIA],TablaSeleccionSupervisores[#Headers])))</f>
        <v>1500</v>
      </c>
      <c r="AA81" cm="1">
        <f t="array" ref="AA81">SUM(TablaSupervisores[OBJETOS]*INDEX(TablaSeleccionSupervisores[],ROW(TablaSeleccionSupervisores[[#This Row],[ORDEN]])-1,_xlfn.XMATCH(TablaSupervisores[REFERENCIA],TablaSeleccionSupervisores[#Headers])))</f>
        <v>20000</v>
      </c>
      <c r="AB81" s="28" cm="1">
        <f t="array" ref="AB81">SUM(TablaSupervisores[COSTE]*INDEX(TablaSeleccionSupervisores[],ROW(TablaSeleccionSupervisores[[#This Row],[ORDEN]])-1,_xlfn.XMATCH(TablaSupervisores[REFERENCIA],TablaSeleccionSupervisores[#Headers])))</f>
        <v>29344.59</v>
      </c>
      <c r="AC81" cm="1">
        <f t="array" ref="AC81">SUM(INDEX(TablaSeleccionSupervisores[],ROW(TablaSeleccionSupervisores[[#This Row],[ORDEN]])-1,_xlfn.XMATCH(TablaSupervisores[REFERENCIA],TablaSeleccionSupervisores[#Headers])))</f>
        <v>8</v>
      </c>
      <c r="AD81" t="str" cm="1">
        <f t="array" ref="AD81">IF(INDEX(TablaSeleccionSupervisores[],ROW(TablaSeleccionSupervisores[[#This Row],[ORDEN]])-1,_xlfn.XMATCH("ADMITIDO ADSLITE",TablaSeleccionSupervisores[#Headers])+1)=0,"Sí admitido","No admitido")</f>
        <v>Sí admitido</v>
      </c>
      <c r="AE81">
        <v>0</v>
      </c>
      <c r="AF81">
        <v>7</v>
      </c>
      <c r="AG81">
        <v>1</v>
      </c>
      <c r="AH81">
        <v>0</v>
      </c>
    </row>
    <row r="82" spans="22:34" x14ac:dyDescent="0.25">
      <c r="V82">
        <v>81</v>
      </c>
      <c r="W82" cm="1">
        <f t="array" ref="W82">SUM(TablaSupervisores[DISPOSITIVOS TOTAL]*INDEX(TablaSeleccionSupervisores[],ROW(TablaSeleccionSupervisores[[#This Row],[ORDEN]])-1,_xlfn.XMATCH(TablaSupervisores[REFERENCIA],TablaSeleccionSupervisores[#Headers])))</f>
        <v>120</v>
      </c>
      <c r="X82" cm="1">
        <f t="array" ref="X82">SUM(TablaSupervisores[DISPOSITIVOS BACNET MS/TP JC]*INDEX(TablaSeleccionSupervisores[],ROW(TablaSeleccionSupervisores[[#This Row],[ORDEN]])-1,_xlfn.XMATCH(TablaSupervisores[REFERENCIA],TablaSeleccionSupervisores[#Headers])))</f>
        <v>100</v>
      </c>
      <c r="Y82" cm="1">
        <f t="array" ref="Y82">SUM(TablaSupervisores[DISPOSITIVOS BACNET MS/TP COMPATIBLES]*INDEX(TablaSeleccionSupervisores[],ROW(TablaSeleccionSupervisores[[#This Row],[ORDEN]])-1,_xlfn.XMATCH(TablaSupervisores[REFERENCIA],TablaSeleccionSupervisores[#Headers])))</f>
        <v>64</v>
      </c>
      <c r="Z82" cm="1">
        <f t="array" ref="Z82">SUM(TablaSupervisores[DISPOSITIVOS BACNET IP]*INDEX(TablaSeleccionSupervisores[],ROW(TablaSeleccionSupervisores[[#This Row],[ORDEN]])-1,_xlfn.XMATCH(TablaSupervisores[REFERENCIA],TablaSeleccionSupervisores[#Headers])))</f>
        <v>200</v>
      </c>
      <c r="AA82" cm="1">
        <f t="array" ref="AA82">SUM(TablaSupervisores[OBJETOS]*INDEX(TablaSeleccionSupervisores[],ROW(TablaSeleccionSupervisores[[#This Row],[ORDEN]])-1,_xlfn.XMATCH(TablaSupervisores[REFERENCIA],TablaSeleccionSupervisores[#Headers])))</f>
        <v>5000</v>
      </c>
      <c r="AB82" s="28" cm="1">
        <f t="array" ref="AB82">SUM(TablaSupervisores[COSTE]*INDEX(TablaSeleccionSupervisores[],ROW(TablaSeleccionSupervisores[[#This Row],[ORDEN]])-1,_xlfn.XMATCH(TablaSupervisores[REFERENCIA],TablaSeleccionSupervisores[#Headers])))</f>
        <v>2846.96</v>
      </c>
      <c r="AC82" cm="1">
        <f t="array" ref="AC82">SUM(INDEX(TablaSeleccionSupervisores[],ROW(TablaSeleccionSupervisores[[#This Row],[ORDEN]])-1,_xlfn.XMATCH(TablaSupervisores[REFERENCIA],TablaSeleccionSupervisores[#Headers])))</f>
        <v>2</v>
      </c>
      <c r="AD82" t="str" cm="1">
        <f t="array" ref="AD82">IF(INDEX(TablaSeleccionSupervisores[],ROW(TablaSeleccionSupervisores[[#This Row],[ORDEN]])-1,_xlfn.XMATCH("ADMITIDO ADSLITE",TablaSeleccionSupervisores[#Headers])+1)=0,"Sí admitido","No admitido")</f>
        <v>Sí admitido</v>
      </c>
      <c r="AE82">
        <v>0</v>
      </c>
      <c r="AF82">
        <v>0</v>
      </c>
      <c r="AG82">
        <v>2</v>
      </c>
      <c r="AH82">
        <v>0</v>
      </c>
    </row>
    <row r="83" spans="22:34" x14ac:dyDescent="0.25">
      <c r="V83">
        <v>82</v>
      </c>
      <c r="W83" cm="1">
        <f t="array" ref="W83">SUM(TablaSupervisores[DISPOSITIVOS TOTAL]*INDEX(TablaSeleccionSupervisores[],ROW(TablaSeleccionSupervisores[[#This Row],[ORDEN]])-1,_xlfn.XMATCH(TablaSupervisores[REFERENCIA],TablaSeleccionSupervisores[#Headers])))</f>
        <v>720</v>
      </c>
      <c r="X83" cm="1">
        <f t="array" ref="X83">SUM(TablaSupervisores[DISPOSITIVOS BACNET MS/TP JC]*INDEX(TablaSeleccionSupervisores[],ROW(TablaSeleccionSupervisores[[#This Row],[ORDEN]])-1,_xlfn.XMATCH(TablaSupervisores[REFERENCIA],TablaSeleccionSupervisores[#Headers])))</f>
        <v>300</v>
      </c>
      <c r="Y83" cm="1">
        <f t="array" ref="Y83">SUM(TablaSupervisores[DISPOSITIVOS BACNET MS/TP COMPATIBLES]*INDEX(TablaSeleccionSupervisores[],ROW(TablaSeleccionSupervisores[[#This Row],[ORDEN]])-1,_xlfn.XMATCH(TablaSupervisores[REFERENCIA],TablaSeleccionSupervisores[#Headers])))</f>
        <v>192</v>
      </c>
      <c r="Z83" cm="1">
        <f t="array" ref="Z83">SUM(TablaSupervisores[DISPOSITIVOS BACNET IP]*INDEX(TablaSeleccionSupervisores[],ROW(TablaSeleccionSupervisores[[#This Row],[ORDEN]])-1,_xlfn.XMATCH(TablaSupervisores[REFERENCIA],TablaSeleccionSupervisores[#Headers])))</f>
        <v>600</v>
      </c>
      <c r="AA83" cm="1">
        <f t="array" ref="AA83">SUM(TablaSupervisores[OBJETOS]*INDEX(TablaSeleccionSupervisores[],ROW(TablaSeleccionSupervisores[[#This Row],[ORDEN]])-1,_xlfn.XMATCH(TablaSupervisores[REFERENCIA],TablaSeleccionSupervisores[#Headers])))</f>
        <v>10000</v>
      </c>
      <c r="AB83" s="28" cm="1">
        <f t="array" ref="AB83">SUM(TablaSupervisores[COSTE]*INDEX(TablaSeleccionSupervisores[],ROW(TablaSeleccionSupervisores[[#This Row],[ORDEN]])-1,_xlfn.XMATCH(TablaSupervisores[REFERENCIA],TablaSeleccionSupervisores[#Headers])))</f>
        <v>8513.59</v>
      </c>
      <c r="AC83" cm="1">
        <f t="array" ref="AC83">SUM(INDEX(TablaSeleccionSupervisores[],ROW(TablaSeleccionSupervisores[[#This Row],[ORDEN]])-1,_xlfn.XMATCH(TablaSupervisores[REFERENCIA],TablaSeleccionSupervisores[#Headers])))</f>
        <v>3</v>
      </c>
      <c r="AD83" t="str" cm="1">
        <f t="array" ref="AD83">IF(INDEX(TablaSeleccionSupervisores[],ROW(TablaSeleccionSupervisores[[#This Row],[ORDEN]])-1,_xlfn.XMATCH("ADMITIDO ADSLITE",TablaSeleccionSupervisores[#Headers])+1)=0,"Sí admitido","No admitido")</f>
        <v>No admitido</v>
      </c>
      <c r="AE83">
        <v>1</v>
      </c>
      <c r="AF83">
        <v>0</v>
      </c>
      <c r="AG83">
        <v>2</v>
      </c>
      <c r="AH83">
        <v>0</v>
      </c>
    </row>
    <row r="84" spans="22:34" x14ac:dyDescent="0.25">
      <c r="V84">
        <v>83</v>
      </c>
      <c r="W84" cm="1">
        <f t="array" ref="W84">SUM(TablaSupervisores[DISPOSITIVOS TOTAL]*INDEX(TablaSeleccionSupervisores[],ROW(TablaSeleccionSupervisores[[#This Row],[ORDEN]])-1,_xlfn.XMATCH(TablaSupervisores[REFERENCIA],TablaSeleccionSupervisores[#Headers])))</f>
        <v>1320</v>
      </c>
      <c r="X84" cm="1">
        <f t="array" ref="X84">SUM(TablaSupervisores[DISPOSITIVOS BACNET MS/TP JC]*INDEX(TablaSeleccionSupervisores[],ROW(TablaSeleccionSupervisores[[#This Row],[ORDEN]])-1,_xlfn.XMATCH(TablaSupervisores[REFERENCIA],TablaSeleccionSupervisores[#Headers])))</f>
        <v>500</v>
      </c>
      <c r="Y84" cm="1">
        <f t="array" ref="Y84">SUM(TablaSupervisores[DISPOSITIVOS BACNET MS/TP COMPATIBLES]*INDEX(TablaSeleccionSupervisores[],ROW(TablaSeleccionSupervisores[[#This Row],[ORDEN]])-1,_xlfn.XMATCH(TablaSupervisores[REFERENCIA],TablaSeleccionSupervisores[#Headers])))</f>
        <v>320</v>
      </c>
      <c r="Z84" cm="1">
        <f t="array" ref="Z84">SUM(TablaSupervisores[DISPOSITIVOS BACNET IP]*INDEX(TablaSeleccionSupervisores[],ROW(TablaSeleccionSupervisores[[#This Row],[ORDEN]])-1,_xlfn.XMATCH(TablaSupervisores[REFERENCIA],TablaSeleccionSupervisores[#Headers])))</f>
        <v>1000</v>
      </c>
      <c r="AA84" cm="1">
        <f t="array" ref="AA84">SUM(TablaSupervisores[OBJETOS]*INDEX(TablaSeleccionSupervisores[],ROW(TablaSeleccionSupervisores[[#This Row],[ORDEN]])-1,_xlfn.XMATCH(TablaSupervisores[REFERENCIA],TablaSeleccionSupervisores[#Headers])))</f>
        <v>15000</v>
      </c>
      <c r="AB84" s="28" cm="1">
        <f t="array" ref="AB84">SUM(TablaSupervisores[COSTE]*INDEX(TablaSeleccionSupervisores[],ROW(TablaSeleccionSupervisores[[#This Row],[ORDEN]])-1,_xlfn.XMATCH(TablaSupervisores[REFERENCIA],TablaSeleccionSupervisores[#Headers])))</f>
        <v>14180.220000000001</v>
      </c>
      <c r="AC84" cm="1">
        <f t="array" ref="AC84">SUM(INDEX(TablaSeleccionSupervisores[],ROW(TablaSeleccionSupervisores[[#This Row],[ORDEN]])-1,_xlfn.XMATCH(TablaSupervisores[REFERENCIA],TablaSeleccionSupervisores[#Headers])))</f>
        <v>4</v>
      </c>
      <c r="AD84" t="str" cm="1">
        <f t="array" ref="AD84">IF(INDEX(TablaSeleccionSupervisores[],ROW(TablaSeleccionSupervisores[[#This Row],[ORDEN]])-1,_xlfn.XMATCH("ADMITIDO ADSLITE",TablaSeleccionSupervisores[#Headers])+1)=0,"Sí admitido","No admitido")</f>
        <v>No admitido</v>
      </c>
      <c r="AE84">
        <v>2</v>
      </c>
      <c r="AF84">
        <v>0</v>
      </c>
      <c r="AG84">
        <v>2</v>
      </c>
      <c r="AH84">
        <v>0</v>
      </c>
    </row>
    <row r="85" spans="22:34" x14ac:dyDescent="0.25">
      <c r="V85">
        <v>84</v>
      </c>
      <c r="W85" cm="1">
        <f t="array" ref="W85">SUM(TablaSupervisores[DISPOSITIVOS TOTAL]*INDEX(TablaSeleccionSupervisores[],ROW(TablaSeleccionSupervisores[[#This Row],[ORDEN]])-1,_xlfn.XMATCH(TablaSupervisores[REFERENCIA],TablaSeleccionSupervisores[#Headers])))</f>
        <v>1920</v>
      </c>
      <c r="X85" cm="1">
        <f t="array" ref="X85">SUM(TablaSupervisores[DISPOSITIVOS BACNET MS/TP JC]*INDEX(TablaSeleccionSupervisores[],ROW(TablaSeleccionSupervisores[[#This Row],[ORDEN]])-1,_xlfn.XMATCH(TablaSupervisores[REFERENCIA],TablaSeleccionSupervisores[#Headers])))</f>
        <v>700</v>
      </c>
      <c r="Y85" cm="1">
        <f t="array" ref="Y85">SUM(TablaSupervisores[DISPOSITIVOS BACNET MS/TP COMPATIBLES]*INDEX(TablaSeleccionSupervisores[],ROW(TablaSeleccionSupervisores[[#This Row],[ORDEN]])-1,_xlfn.XMATCH(TablaSupervisores[REFERENCIA],TablaSeleccionSupervisores[#Headers])))</f>
        <v>448</v>
      </c>
      <c r="Z85" cm="1">
        <f t="array" ref="Z85">SUM(TablaSupervisores[DISPOSITIVOS BACNET IP]*INDEX(TablaSeleccionSupervisores[],ROW(TablaSeleccionSupervisores[[#This Row],[ORDEN]])-1,_xlfn.XMATCH(TablaSupervisores[REFERENCIA],TablaSeleccionSupervisores[#Headers])))</f>
        <v>1400</v>
      </c>
      <c r="AA85" cm="1">
        <f t="array" ref="AA85">SUM(TablaSupervisores[OBJETOS]*INDEX(TablaSeleccionSupervisores[],ROW(TablaSeleccionSupervisores[[#This Row],[ORDEN]])-1,_xlfn.XMATCH(TablaSupervisores[REFERENCIA],TablaSeleccionSupervisores[#Headers])))</f>
        <v>20000</v>
      </c>
      <c r="AB85" s="28" cm="1">
        <f t="array" ref="AB85">SUM(TablaSupervisores[COSTE]*INDEX(TablaSeleccionSupervisores[],ROW(TablaSeleccionSupervisores[[#This Row],[ORDEN]])-1,_xlfn.XMATCH(TablaSupervisores[REFERENCIA],TablaSeleccionSupervisores[#Headers])))</f>
        <v>19846.849999999999</v>
      </c>
      <c r="AC85" cm="1">
        <f t="array" ref="AC85">SUM(INDEX(TablaSeleccionSupervisores[],ROW(TablaSeleccionSupervisores[[#This Row],[ORDEN]])-1,_xlfn.XMATCH(TablaSupervisores[REFERENCIA],TablaSeleccionSupervisores[#Headers])))</f>
        <v>5</v>
      </c>
      <c r="AD85" t="str" cm="1">
        <f t="array" ref="AD85">IF(INDEX(TablaSeleccionSupervisores[],ROW(TablaSeleccionSupervisores[[#This Row],[ORDEN]])-1,_xlfn.XMATCH("ADMITIDO ADSLITE",TablaSeleccionSupervisores[#Headers])+1)=0,"Sí admitido","No admitido")</f>
        <v>No admitido</v>
      </c>
      <c r="AE85">
        <v>3</v>
      </c>
      <c r="AF85">
        <v>0</v>
      </c>
      <c r="AG85">
        <v>2</v>
      </c>
      <c r="AH85">
        <v>0</v>
      </c>
    </row>
    <row r="86" spans="22:34" x14ac:dyDescent="0.25">
      <c r="V86">
        <v>85</v>
      </c>
      <c r="W86" cm="1">
        <f t="array" ref="W86">SUM(TablaSupervisores[DISPOSITIVOS TOTAL]*INDEX(TablaSeleccionSupervisores[],ROW(TablaSeleccionSupervisores[[#This Row],[ORDEN]])-1,_xlfn.XMATCH(TablaSupervisores[REFERENCIA],TablaSeleccionSupervisores[#Headers])))</f>
        <v>2520</v>
      </c>
      <c r="X86" cm="1">
        <f t="array" ref="X86">SUM(TablaSupervisores[DISPOSITIVOS BACNET MS/TP JC]*INDEX(TablaSeleccionSupervisores[],ROW(TablaSeleccionSupervisores[[#This Row],[ORDEN]])-1,_xlfn.XMATCH(TablaSupervisores[REFERENCIA],TablaSeleccionSupervisores[#Headers])))</f>
        <v>900</v>
      </c>
      <c r="Y86" cm="1">
        <f t="array" ref="Y86">SUM(TablaSupervisores[DISPOSITIVOS BACNET MS/TP COMPATIBLES]*INDEX(TablaSeleccionSupervisores[],ROW(TablaSeleccionSupervisores[[#This Row],[ORDEN]])-1,_xlfn.XMATCH(TablaSupervisores[REFERENCIA],TablaSeleccionSupervisores[#Headers])))</f>
        <v>576</v>
      </c>
      <c r="Z86" cm="1">
        <f t="array" ref="Z86">SUM(TablaSupervisores[DISPOSITIVOS BACNET IP]*INDEX(TablaSeleccionSupervisores[],ROW(TablaSeleccionSupervisores[[#This Row],[ORDEN]])-1,_xlfn.XMATCH(TablaSupervisores[REFERENCIA],TablaSeleccionSupervisores[#Headers])))</f>
        <v>1800</v>
      </c>
      <c r="AA86" cm="1">
        <f t="array" ref="AA86">SUM(TablaSupervisores[OBJETOS]*INDEX(TablaSeleccionSupervisores[],ROW(TablaSeleccionSupervisores[[#This Row],[ORDEN]])-1,_xlfn.XMATCH(TablaSupervisores[REFERENCIA],TablaSeleccionSupervisores[#Headers])))</f>
        <v>25000</v>
      </c>
      <c r="AB86" s="28" cm="1">
        <f t="array" ref="AB86">SUM(TablaSupervisores[COSTE]*INDEX(TablaSeleccionSupervisores[],ROW(TablaSeleccionSupervisores[[#This Row],[ORDEN]])-1,_xlfn.XMATCH(TablaSupervisores[REFERENCIA],TablaSeleccionSupervisores[#Headers])))</f>
        <v>25513.48</v>
      </c>
      <c r="AC86" cm="1">
        <f t="array" ref="AC86">SUM(INDEX(TablaSeleccionSupervisores[],ROW(TablaSeleccionSupervisores[[#This Row],[ORDEN]])-1,_xlfn.XMATCH(TablaSupervisores[REFERENCIA],TablaSeleccionSupervisores[#Headers])))</f>
        <v>6</v>
      </c>
      <c r="AD86" t="str" cm="1">
        <f t="array" ref="AD86">IF(INDEX(TablaSeleccionSupervisores[],ROW(TablaSeleccionSupervisores[[#This Row],[ORDEN]])-1,_xlfn.XMATCH("ADMITIDO ADSLITE",TablaSeleccionSupervisores[#Headers])+1)=0,"Sí admitido","No admitido")</f>
        <v>No admitido</v>
      </c>
      <c r="AE86">
        <v>4</v>
      </c>
      <c r="AF86">
        <v>0</v>
      </c>
      <c r="AG86">
        <v>2</v>
      </c>
      <c r="AH86">
        <v>0</v>
      </c>
    </row>
    <row r="87" spans="22:34" x14ac:dyDescent="0.25">
      <c r="V87">
        <v>86</v>
      </c>
      <c r="W87" cm="1">
        <f t="array" ref="W87">SUM(TablaSupervisores[DISPOSITIVOS TOTAL]*INDEX(TablaSeleccionSupervisores[],ROW(TablaSeleccionSupervisores[[#This Row],[ORDEN]])-1,_xlfn.XMATCH(TablaSupervisores[REFERENCIA],TablaSeleccionSupervisores[#Headers])))</f>
        <v>3120</v>
      </c>
      <c r="X87" cm="1">
        <f t="array" ref="X87">SUM(TablaSupervisores[DISPOSITIVOS BACNET MS/TP JC]*INDEX(TablaSeleccionSupervisores[],ROW(TablaSeleccionSupervisores[[#This Row],[ORDEN]])-1,_xlfn.XMATCH(TablaSupervisores[REFERENCIA],TablaSeleccionSupervisores[#Headers])))</f>
        <v>1100</v>
      </c>
      <c r="Y87" cm="1">
        <f t="array" ref="Y87">SUM(TablaSupervisores[DISPOSITIVOS BACNET MS/TP COMPATIBLES]*INDEX(TablaSeleccionSupervisores[],ROW(TablaSeleccionSupervisores[[#This Row],[ORDEN]])-1,_xlfn.XMATCH(TablaSupervisores[REFERENCIA],TablaSeleccionSupervisores[#Headers])))</f>
        <v>704</v>
      </c>
      <c r="Z87" cm="1">
        <f t="array" ref="Z87">SUM(TablaSupervisores[DISPOSITIVOS BACNET IP]*INDEX(TablaSeleccionSupervisores[],ROW(TablaSeleccionSupervisores[[#This Row],[ORDEN]])-1,_xlfn.XMATCH(TablaSupervisores[REFERENCIA],TablaSeleccionSupervisores[#Headers])))</f>
        <v>2200</v>
      </c>
      <c r="AA87" cm="1">
        <f t="array" ref="AA87">SUM(TablaSupervisores[OBJETOS]*INDEX(TablaSeleccionSupervisores[],ROW(TablaSeleccionSupervisores[[#This Row],[ORDEN]])-1,_xlfn.XMATCH(TablaSupervisores[REFERENCIA],TablaSeleccionSupervisores[#Headers])))</f>
        <v>30000</v>
      </c>
      <c r="AB87" s="28" cm="1">
        <f t="array" ref="AB87">SUM(TablaSupervisores[COSTE]*INDEX(TablaSeleccionSupervisores[],ROW(TablaSeleccionSupervisores[[#This Row],[ORDEN]])-1,_xlfn.XMATCH(TablaSupervisores[REFERENCIA],TablaSeleccionSupervisores[#Headers])))</f>
        <v>31180.11</v>
      </c>
      <c r="AC87" cm="1">
        <f t="array" ref="AC87">SUM(INDEX(TablaSeleccionSupervisores[],ROW(TablaSeleccionSupervisores[[#This Row],[ORDEN]])-1,_xlfn.XMATCH(TablaSupervisores[REFERENCIA],TablaSeleccionSupervisores[#Headers])))</f>
        <v>7</v>
      </c>
      <c r="AD87" t="str" cm="1">
        <f t="array" ref="AD87">IF(INDEX(TablaSeleccionSupervisores[],ROW(TablaSeleccionSupervisores[[#This Row],[ORDEN]])-1,_xlfn.XMATCH("ADMITIDO ADSLITE",TablaSeleccionSupervisores[#Headers])+1)=0,"Sí admitido","No admitido")</f>
        <v>No admitido</v>
      </c>
      <c r="AE87">
        <v>5</v>
      </c>
      <c r="AF87">
        <v>0</v>
      </c>
      <c r="AG87">
        <v>2</v>
      </c>
      <c r="AH87">
        <v>0</v>
      </c>
    </row>
    <row r="88" spans="22:34" x14ac:dyDescent="0.25">
      <c r="V88">
        <v>87</v>
      </c>
      <c r="W88" cm="1">
        <f t="array" ref="W88">SUM(TablaSupervisores[DISPOSITIVOS TOTAL]*INDEX(TablaSeleccionSupervisores[],ROW(TablaSeleccionSupervisores[[#This Row],[ORDEN]])-1,_xlfn.XMATCH(TablaSupervisores[REFERENCIA],TablaSeleccionSupervisores[#Headers])))</f>
        <v>3720</v>
      </c>
      <c r="X88" cm="1">
        <f t="array" ref="X88">SUM(TablaSupervisores[DISPOSITIVOS BACNET MS/TP JC]*INDEX(TablaSeleccionSupervisores[],ROW(TablaSeleccionSupervisores[[#This Row],[ORDEN]])-1,_xlfn.XMATCH(TablaSupervisores[REFERENCIA],TablaSeleccionSupervisores[#Headers])))</f>
        <v>1300</v>
      </c>
      <c r="Y88" cm="1">
        <f t="array" ref="Y88">SUM(TablaSupervisores[DISPOSITIVOS BACNET MS/TP COMPATIBLES]*INDEX(TablaSeleccionSupervisores[],ROW(TablaSeleccionSupervisores[[#This Row],[ORDEN]])-1,_xlfn.XMATCH(TablaSupervisores[REFERENCIA],TablaSeleccionSupervisores[#Headers])))</f>
        <v>832</v>
      </c>
      <c r="Z88" cm="1">
        <f t="array" ref="Z88">SUM(TablaSupervisores[DISPOSITIVOS BACNET IP]*INDEX(TablaSeleccionSupervisores[],ROW(TablaSeleccionSupervisores[[#This Row],[ORDEN]])-1,_xlfn.XMATCH(TablaSupervisores[REFERENCIA],TablaSeleccionSupervisores[#Headers])))</f>
        <v>2600</v>
      </c>
      <c r="AA88" cm="1">
        <f t="array" ref="AA88">SUM(TablaSupervisores[OBJETOS]*INDEX(TablaSeleccionSupervisores[],ROW(TablaSeleccionSupervisores[[#This Row],[ORDEN]])-1,_xlfn.XMATCH(TablaSupervisores[REFERENCIA],TablaSeleccionSupervisores[#Headers])))</f>
        <v>35000</v>
      </c>
      <c r="AB88" s="28" cm="1">
        <f t="array" ref="AB88">SUM(TablaSupervisores[COSTE]*INDEX(TablaSeleccionSupervisores[],ROW(TablaSeleccionSupervisores[[#This Row],[ORDEN]])-1,_xlfn.XMATCH(TablaSupervisores[REFERENCIA],TablaSeleccionSupervisores[#Headers])))</f>
        <v>36846.74</v>
      </c>
      <c r="AC88" cm="1">
        <f t="array" ref="AC88">SUM(INDEX(TablaSeleccionSupervisores[],ROW(TablaSeleccionSupervisores[[#This Row],[ORDEN]])-1,_xlfn.XMATCH(TablaSupervisores[REFERENCIA],TablaSeleccionSupervisores[#Headers])))</f>
        <v>8</v>
      </c>
      <c r="AD88" t="str" cm="1">
        <f t="array" ref="AD88">IF(INDEX(TablaSeleccionSupervisores[],ROW(TablaSeleccionSupervisores[[#This Row],[ORDEN]])-1,_xlfn.XMATCH("ADMITIDO ADSLITE",TablaSeleccionSupervisores[#Headers])+1)=0,"Sí admitido","No admitido")</f>
        <v>No admitido</v>
      </c>
      <c r="AE88">
        <v>6</v>
      </c>
      <c r="AF88">
        <v>0</v>
      </c>
      <c r="AG88">
        <v>2</v>
      </c>
      <c r="AH88">
        <v>0</v>
      </c>
    </row>
    <row r="89" spans="22:34" x14ac:dyDescent="0.25">
      <c r="V89">
        <v>88</v>
      </c>
      <c r="W89" cm="1">
        <f t="array" ref="W89">SUM(TablaSupervisores[DISPOSITIVOS TOTAL]*INDEX(TablaSeleccionSupervisores[],ROW(TablaSeleccionSupervisores[[#This Row],[ORDEN]])-1,_xlfn.XMATCH(TablaSupervisores[REFERENCIA],TablaSeleccionSupervisores[#Headers])))</f>
        <v>270</v>
      </c>
      <c r="X89" cm="1">
        <f t="array" ref="X89">SUM(TablaSupervisores[DISPOSITIVOS BACNET MS/TP JC]*INDEX(TablaSeleccionSupervisores[],ROW(TablaSeleccionSupervisores[[#This Row],[ORDEN]])-1,_xlfn.XMATCH(TablaSupervisores[REFERENCIA],TablaSeleccionSupervisores[#Headers])))</f>
        <v>200</v>
      </c>
      <c r="Y89" cm="1">
        <f t="array" ref="Y89">SUM(TablaSupervisores[DISPOSITIVOS BACNET MS/TP COMPATIBLES]*INDEX(TablaSeleccionSupervisores[],ROW(TablaSeleccionSupervisores[[#This Row],[ORDEN]])-1,_xlfn.XMATCH(TablaSupervisores[REFERENCIA],TablaSeleccionSupervisores[#Headers])))</f>
        <v>128</v>
      </c>
      <c r="Z89" cm="1">
        <f t="array" ref="Z89">SUM(TablaSupervisores[DISPOSITIVOS BACNET IP]*INDEX(TablaSeleccionSupervisores[],ROW(TablaSeleccionSupervisores[[#This Row],[ORDEN]])-1,_xlfn.XMATCH(TablaSupervisores[REFERENCIA],TablaSeleccionSupervisores[#Headers])))</f>
        <v>400</v>
      </c>
      <c r="AA89" cm="1">
        <f t="array" ref="AA89">SUM(TablaSupervisores[OBJETOS]*INDEX(TablaSeleccionSupervisores[],ROW(TablaSeleccionSupervisores[[#This Row],[ORDEN]])-1,_xlfn.XMATCH(TablaSupervisores[REFERENCIA],TablaSeleccionSupervisores[#Headers])))</f>
        <v>7500</v>
      </c>
      <c r="AB89" s="28" cm="1">
        <f t="array" ref="AB89">SUM(TablaSupervisores[COSTE]*INDEX(TablaSeleccionSupervisores[],ROW(TablaSeleccionSupervisores[[#This Row],[ORDEN]])-1,_xlfn.XMATCH(TablaSupervisores[REFERENCIA],TablaSeleccionSupervisores[#Headers])))</f>
        <v>6835.6900000000005</v>
      </c>
      <c r="AC89" cm="1">
        <f t="array" ref="AC89">SUM(INDEX(TablaSeleccionSupervisores[],ROW(TablaSeleccionSupervisores[[#This Row],[ORDEN]])-1,_xlfn.XMATCH(TablaSupervisores[REFERENCIA],TablaSeleccionSupervisores[#Headers])))</f>
        <v>3</v>
      </c>
      <c r="AD89" t="str" cm="1">
        <f t="array" ref="AD89">IF(INDEX(TablaSeleccionSupervisores[],ROW(TablaSeleccionSupervisores[[#This Row],[ORDEN]])-1,_xlfn.XMATCH("ADMITIDO ADSLITE",TablaSeleccionSupervisores[#Headers])+1)=0,"Sí admitido","No admitido")</f>
        <v>Sí admitido</v>
      </c>
      <c r="AE89">
        <v>0</v>
      </c>
      <c r="AF89">
        <v>1</v>
      </c>
      <c r="AG89">
        <v>2</v>
      </c>
      <c r="AH89">
        <v>0</v>
      </c>
    </row>
    <row r="90" spans="22:34" x14ac:dyDescent="0.25">
      <c r="V90">
        <v>89</v>
      </c>
      <c r="W90" cm="1">
        <f t="array" ref="W90">SUM(TablaSupervisores[DISPOSITIVOS TOTAL]*INDEX(TablaSeleccionSupervisores[],ROW(TablaSeleccionSupervisores[[#This Row],[ORDEN]])-1,_xlfn.XMATCH(TablaSupervisores[REFERENCIA],TablaSeleccionSupervisores[#Headers])))</f>
        <v>870</v>
      </c>
      <c r="X90" cm="1">
        <f t="array" ref="X90">SUM(TablaSupervisores[DISPOSITIVOS BACNET MS/TP JC]*INDEX(TablaSeleccionSupervisores[],ROW(TablaSeleccionSupervisores[[#This Row],[ORDEN]])-1,_xlfn.XMATCH(TablaSupervisores[REFERENCIA],TablaSeleccionSupervisores[#Headers])))</f>
        <v>400</v>
      </c>
      <c r="Y90" cm="1">
        <f t="array" ref="Y90">SUM(TablaSupervisores[DISPOSITIVOS BACNET MS/TP COMPATIBLES]*INDEX(TablaSeleccionSupervisores[],ROW(TablaSeleccionSupervisores[[#This Row],[ORDEN]])-1,_xlfn.XMATCH(TablaSupervisores[REFERENCIA],TablaSeleccionSupervisores[#Headers])))</f>
        <v>256</v>
      </c>
      <c r="Z90" cm="1">
        <f t="array" ref="Z90">SUM(TablaSupervisores[DISPOSITIVOS BACNET IP]*INDEX(TablaSeleccionSupervisores[],ROW(TablaSeleccionSupervisores[[#This Row],[ORDEN]])-1,_xlfn.XMATCH(TablaSupervisores[REFERENCIA],TablaSeleccionSupervisores[#Headers])))</f>
        <v>800</v>
      </c>
      <c r="AA90" cm="1">
        <f t="array" ref="AA90">SUM(TablaSupervisores[OBJETOS]*INDEX(TablaSeleccionSupervisores[],ROW(TablaSeleccionSupervisores[[#This Row],[ORDEN]])-1,_xlfn.XMATCH(TablaSupervisores[REFERENCIA],TablaSeleccionSupervisores[#Headers])))</f>
        <v>12500</v>
      </c>
      <c r="AB90" s="28" cm="1">
        <f t="array" ref="AB90">SUM(TablaSupervisores[COSTE]*INDEX(TablaSeleccionSupervisores[],ROW(TablaSeleccionSupervisores[[#This Row],[ORDEN]])-1,_xlfn.XMATCH(TablaSupervisores[REFERENCIA],TablaSeleccionSupervisores[#Headers])))</f>
        <v>12502.32</v>
      </c>
      <c r="AC90" cm="1">
        <f t="array" ref="AC90">SUM(INDEX(TablaSeleccionSupervisores[],ROW(TablaSeleccionSupervisores[[#This Row],[ORDEN]])-1,_xlfn.XMATCH(TablaSupervisores[REFERENCIA],TablaSeleccionSupervisores[#Headers])))</f>
        <v>4</v>
      </c>
      <c r="AD90" t="str" cm="1">
        <f t="array" ref="AD90">IF(INDEX(TablaSeleccionSupervisores[],ROW(TablaSeleccionSupervisores[[#This Row],[ORDEN]])-1,_xlfn.XMATCH("ADMITIDO ADSLITE",TablaSeleccionSupervisores[#Headers])+1)=0,"Sí admitido","No admitido")</f>
        <v>No admitido</v>
      </c>
      <c r="AE90">
        <v>1</v>
      </c>
      <c r="AF90">
        <v>1</v>
      </c>
      <c r="AG90">
        <v>2</v>
      </c>
      <c r="AH90">
        <v>0</v>
      </c>
    </row>
    <row r="91" spans="22:34" x14ac:dyDescent="0.25">
      <c r="V91">
        <v>90</v>
      </c>
      <c r="W91" cm="1">
        <f t="array" ref="W91">SUM(TablaSupervisores[DISPOSITIVOS TOTAL]*INDEX(TablaSeleccionSupervisores[],ROW(TablaSeleccionSupervisores[[#This Row],[ORDEN]])-1,_xlfn.XMATCH(TablaSupervisores[REFERENCIA],TablaSeleccionSupervisores[#Headers])))</f>
        <v>1470</v>
      </c>
      <c r="X91" cm="1">
        <f t="array" ref="X91">SUM(TablaSupervisores[DISPOSITIVOS BACNET MS/TP JC]*INDEX(TablaSeleccionSupervisores[],ROW(TablaSeleccionSupervisores[[#This Row],[ORDEN]])-1,_xlfn.XMATCH(TablaSupervisores[REFERENCIA],TablaSeleccionSupervisores[#Headers])))</f>
        <v>600</v>
      </c>
      <c r="Y91" cm="1">
        <f t="array" ref="Y91">SUM(TablaSupervisores[DISPOSITIVOS BACNET MS/TP COMPATIBLES]*INDEX(TablaSeleccionSupervisores[],ROW(TablaSeleccionSupervisores[[#This Row],[ORDEN]])-1,_xlfn.XMATCH(TablaSupervisores[REFERENCIA],TablaSeleccionSupervisores[#Headers])))</f>
        <v>384</v>
      </c>
      <c r="Z91" cm="1">
        <f t="array" ref="Z91">SUM(TablaSupervisores[DISPOSITIVOS BACNET IP]*INDEX(TablaSeleccionSupervisores[],ROW(TablaSeleccionSupervisores[[#This Row],[ORDEN]])-1,_xlfn.XMATCH(TablaSupervisores[REFERENCIA],TablaSeleccionSupervisores[#Headers])))</f>
        <v>1200</v>
      </c>
      <c r="AA91" cm="1">
        <f t="array" ref="AA91">SUM(TablaSupervisores[OBJETOS]*INDEX(TablaSeleccionSupervisores[],ROW(TablaSeleccionSupervisores[[#This Row],[ORDEN]])-1,_xlfn.XMATCH(TablaSupervisores[REFERENCIA],TablaSeleccionSupervisores[#Headers])))</f>
        <v>17500</v>
      </c>
      <c r="AB91" s="28" cm="1">
        <f t="array" ref="AB91">SUM(TablaSupervisores[COSTE]*INDEX(TablaSeleccionSupervisores[],ROW(TablaSeleccionSupervisores[[#This Row],[ORDEN]])-1,_xlfn.XMATCH(TablaSupervisores[REFERENCIA],TablaSeleccionSupervisores[#Headers])))</f>
        <v>18168.95</v>
      </c>
      <c r="AC91" cm="1">
        <f t="array" ref="AC91">SUM(INDEX(TablaSeleccionSupervisores[],ROW(TablaSeleccionSupervisores[[#This Row],[ORDEN]])-1,_xlfn.XMATCH(TablaSupervisores[REFERENCIA],TablaSeleccionSupervisores[#Headers])))</f>
        <v>5</v>
      </c>
      <c r="AD91" t="str" cm="1">
        <f t="array" ref="AD91">IF(INDEX(TablaSeleccionSupervisores[],ROW(TablaSeleccionSupervisores[[#This Row],[ORDEN]])-1,_xlfn.XMATCH("ADMITIDO ADSLITE",TablaSeleccionSupervisores[#Headers])+1)=0,"Sí admitido","No admitido")</f>
        <v>No admitido</v>
      </c>
      <c r="AE91">
        <v>2</v>
      </c>
      <c r="AF91">
        <v>1</v>
      </c>
      <c r="AG91">
        <v>2</v>
      </c>
      <c r="AH91">
        <v>0</v>
      </c>
    </row>
    <row r="92" spans="22:34" x14ac:dyDescent="0.25">
      <c r="V92">
        <v>91</v>
      </c>
      <c r="W92" cm="1">
        <f t="array" ref="W92">SUM(TablaSupervisores[DISPOSITIVOS TOTAL]*INDEX(TablaSeleccionSupervisores[],ROW(TablaSeleccionSupervisores[[#This Row],[ORDEN]])-1,_xlfn.XMATCH(TablaSupervisores[REFERENCIA],TablaSeleccionSupervisores[#Headers])))</f>
        <v>2070</v>
      </c>
      <c r="X92" cm="1">
        <f t="array" ref="X92">SUM(TablaSupervisores[DISPOSITIVOS BACNET MS/TP JC]*INDEX(TablaSeleccionSupervisores[],ROW(TablaSeleccionSupervisores[[#This Row],[ORDEN]])-1,_xlfn.XMATCH(TablaSupervisores[REFERENCIA],TablaSeleccionSupervisores[#Headers])))</f>
        <v>800</v>
      </c>
      <c r="Y92" cm="1">
        <f t="array" ref="Y92">SUM(TablaSupervisores[DISPOSITIVOS BACNET MS/TP COMPATIBLES]*INDEX(TablaSeleccionSupervisores[],ROW(TablaSeleccionSupervisores[[#This Row],[ORDEN]])-1,_xlfn.XMATCH(TablaSupervisores[REFERENCIA],TablaSeleccionSupervisores[#Headers])))</f>
        <v>512</v>
      </c>
      <c r="Z92" cm="1">
        <f t="array" ref="Z92">SUM(TablaSupervisores[DISPOSITIVOS BACNET IP]*INDEX(TablaSeleccionSupervisores[],ROW(TablaSeleccionSupervisores[[#This Row],[ORDEN]])-1,_xlfn.XMATCH(TablaSupervisores[REFERENCIA],TablaSeleccionSupervisores[#Headers])))</f>
        <v>1600</v>
      </c>
      <c r="AA92" cm="1">
        <f t="array" ref="AA92">SUM(TablaSupervisores[OBJETOS]*INDEX(TablaSeleccionSupervisores[],ROW(TablaSeleccionSupervisores[[#This Row],[ORDEN]])-1,_xlfn.XMATCH(TablaSupervisores[REFERENCIA],TablaSeleccionSupervisores[#Headers])))</f>
        <v>22500</v>
      </c>
      <c r="AB92" s="28" cm="1">
        <f t="array" ref="AB92">SUM(TablaSupervisores[COSTE]*INDEX(TablaSeleccionSupervisores[],ROW(TablaSeleccionSupervisores[[#This Row],[ORDEN]])-1,_xlfn.XMATCH(TablaSupervisores[REFERENCIA],TablaSeleccionSupervisores[#Headers])))</f>
        <v>23835.579999999998</v>
      </c>
      <c r="AC92" cm="1">
        <f t="array" ref="AC92">SUM(INDEX(TablaSeleccionSupervisores[],ROW(TablaSeleccionSupervisores[[#This Row],[ORDEN]])-1,_xlfn.XMATCH(TablaSupervisores[REFERENCIA],TablaSeleccionSupervisores[#Headers])))</f>
        <v>6</v>
      </c>
      <c r="AD92" t="str" cm="1">
        <f t="array" ref="AD92">IF(INDEX(TablaSeleccionSupervisores[],ROW(TablaSeleccionSupervisores[[#This Row],[ORDEN]])-1,_xlfn.XMATCH("ADMITIDO ADSLITE",TablaSeleccionSupervisores[#Headers])+1)=0,"Sí admitido","No admitido")</f>
        <v>No admitido</v>
      </c>
      <c r="AE92">
        <v>3</v>
      </c>
      <c r="AF92">
        <v>1</v>
      </c>
      <c r="AG92">
        <v>2</v>
      </c>
      <c r="AH92">
        <v>0</v>
      </c>
    </row>
    <row r="93" spans="22:34" x14ac:dyDescent="0.25">
      <c r="V93">
        <v>92</v>
      </c>
      <c r="W93" cm="1">
        <f t="array" ref="W93">SUM(TablaSupervisores[DISPOSITIVOS TOTAL]*INDEX(TablaSeleccionSupervisores[],ROW(TablaSeleccionSupervisores[[#This Row],[ORDEN]])-1,_xlfn.XMATCH(TablaSupervisores[REFERENCIA],TablaSeleccionSupervisores[#Headers])))</f>
        <v>2670</v>
      </c>
      <c r="X93" cm="1">
        <f t="array" ref="X93">SUM(TablaSupervisores[DISPOSITIVOS BACNET MS/TP JC]*INDEX(TablaSeleccionSupervisores[],ROW(TablaSeleccionSupervisores[[#This Row],[ORDEN]])-1,_xlfn.XMATCH(TablaSupervisores[REFERENCIA],TablaSeleccionSupervisores[#Headers])))</f>
        <v>1000</v>
      </c>
      <c r="Y93" cm="1">
        <f t="array" ref="Y93">SUM(TablaSupervisores[DISPOSITIVOS BACNET MS/TP COMPATIBLES]*INDEX(TablaSeleccionSupervisores[],ROW(TablaSeleccionSupervisores[[#This Row],[ORDEN]])-1,_xlfn.XMATCH(TablaSupervisores[REFERENCIA],TablaSeleccionSupervisores[#Headers])))</f>
        <v>640</v>
      </c>
      <c r="Z93" cm="1">
        <f t="array" ref="Z93">SUM(TablaSupervisores[DISPOSITIVOS BACNET IP]*INDEX(TablaSeleccionSupervisores[],ROW(TablaSeleccionSupervisores[[#This Row],[ORDEN]])-1,_xlfn.XMATCH(TablaSupervisores[REFERENCIA],TablaSeleccionSupervisores[#Headers])))</f>
        <v>2000</v>
      </c>
      <c r="AA93" cm="1">
        <f t="array" ref="AA93">SUM(TablaSupervisores[OBJETOS]*INDEX(TablaSeleccionSupervisores[],ROW(TablaSeleccionSupervisores[[#This Row],[ORDEN]])-1,_xlfn.XMATCH(TablaSupervisores[REFERENCIA],TablaSeleccionSupervisores[#Headers])))</f>
        <v>27500</v>
      </c>
      <c r="AB93" s="28" cm="1">
        <f t="array" ref="AB93">SUM(TablaSupervisores[COSTE]*INDEX(TablaSeleccionSupervisores[],ROW(TablaSeleccionSupervisores[[#This Row],[ORDEN]])-1,_xlfn.XMATCH(TablaSupervisores[REFERENCIA],TablaSeleccionSupervisores[#Headers])))</f>
        <v>29502.21</v>
      </c>
      <c r="AC93" cm="1">
        <f t="array" ref="AC93">SUM(INDEX(TablaSeleccionSupervisores[],ROW(TablaSeleccionSupervisores[[#This Row],[ORDEN]])-1,_xlfn.XMATCH(TablaSupervisores[REFERENCIA],TablaSeleccionSupervisores[#Headers])))</f>
        <v>7</v>
      </c>
      <c r="AD93" t="str" cm="1">
        <f t="array" ref="AD93">IF(INDEX(TablaSeleccionSupervisores[],ROW(TablaSeleccionSupervisores[[#This Row],[ORDEN]])-1,_xlfn.XMATCH("ADMITIDO ADSLITE",TablaSeleccionSupervisores[#Headers])+1)=0,"Sí admitido","No admitido")</f>
        <v>No admitido</v>
      </c>
      <c r="AE93">
        <v>4</v>
      </c>
      <c r="AF93">
        <v>1</v>
      </c>
      <c r="AG93">
        <v>2</v>
      </c>
      <c r="AH93">
        <v>0</v>
      </c>
    </row>
    <row r="94" spans="22:34" x14ac:dyDescent="0.25">
      <c r="V94">
        <v>93</v>
      </c>
      <c r="W94" cm="1">
        <f t="array" ref="W94">SUM(TablaSupervisores[DISPOSITIVOS TOTAL]*INDEX(TablaSeleccionSupervisores[],ROW(TablaSeleccionSupervisores[[#This Row],[ORDEN]])-1,_xlfn.XMATCH(TablaSupervisores[REFERENCIA],TablaSeleccionSupervisores[#Headers])))</f>
        <v>3270</v>
      </c>
      <c r="X94" cm="1">
        <f t="array" ref="X94">SUM(TablaSupervisores[DISPOSITIVOS BACNET MS/TP JC]*INDEX(TablaSeleccionSupervisores[],ROW(TablaSeleccionSupervisores[[#This Row],[ORDEN]])-1,_xlfn.XMATCH(TablaSupervisores[REFERENCIA],TablaSeleccionSupervisores[#Headers])))</f>
        <v>1200</v>
      </c>
      <c r="Y94" cm="1">
        <f t="array" ref="Y94">SUM(TablaSupervisores[DISPOSITIVOS BACNET MS/TP COMPATIBLES]*INDEX(TablaSeleccionSupervisores[],ROW(TablaSeleccionSupervisores[[#This Row],[ORDEN]])-1,_xlfn.XMATCH(TablaSupervisores[REFERENCIA],TablaSeleccionSupervisores[#Headers])))</f>
        <v>768</v>
      </c>
      <c r="Z94" cm="1">
        <f t="array" ref="Z94">SUM(TablaSupervisores[DISPOSITIVOS BACNET IP]*INDEX(TablaSeleccionSupervisores[],ROW(TablaSeleccionSupervisores[[#This Row],[ORDEN]])-1,_xlfn.XMATCH(TablaSupervisores[REFERENCIA],TablaSeleccionSupervisores[#Headers])))</f>
        <v>2400</v>
      </c>
      <c r="AA94" cm="1">
        <f t="array" ref="AA94">SUM(TablaSupervisores[OBJETOS]*INDEX(TablaSeleccionSupervisores[],ROW(TablaSeleccionSupervisores[[#This Row],[ORDEN]])-1,_xlfn.XMATCH(TablaSupervisores[REFERENCIA],TablaSeleccionSupervisores[#Headers])))</f>
        <v>32500</v>
      </c>
      <c r="AB94" s="28" cm="1">
        <f t="array" ref="AB94">SUM(TablaSupervisores[COSTE]*INDEX(TablaSeleccionSupervisores[],ROW(TablaSeleccionSupervisores[[#This Row],[ORDEN]])-1,_xlfn.XMATCH(TablaSupervisores[REFERENCIA],TablaSeleccionSupervisores[#Headers])))</f>
        <v>35168.840000000004</v>
      </c>
      <c r="AC94" cm="1">
        <f t="array" ref="AC94">SUM(INDEX(TablaSeleccionSupervisores[],ROW(TablaSeleccionSupervisores[[#This Row],[ORDEN]])-1,_xlfn.XMATCH(TablaSupervisores[REFERENCIA],TablaSeleccionSupervisores[#Headers])))</f>
        <v>8</v>
      </c>
      <c r="AD94" t="str" cm="1">
        <f t="array" ref="AD94">IF(INDEX(TablaSeleccionSupervisores[],ROW(TablaSeleccionSupervisores[[#This Row],[ORDEN]])-1,_xlfn.XMATCH("ADMITIDO ADSLITE",TablaSeleccionSupervisores[#Headers])+1)=0,"Sí admitido","No admitido")</f>
        <v>No admitido</v>
      </c>
      <c r="AE94">
        <v>5</v>
      </c>
      <c r="AF94">
        <v>1</v>
      </c>
      <c r="AG94">
        <v>2</v>
      </c>
      <c r="AH94">
        <v>0</v>
      </c>
    </row>
    <row r="95" spans="22:34" x14ac:dyDescent="0.25">
      <c r="V95">
        <v>94</v>
      </c>
      <c r="W95" cm="1">
        <f t="array" ref="W95">SUM(TablaSupervisores[DISPOSITIVOS TOTAL]*INDEX(TablaSeleccionSupervisores[],ROW(TablaSeleccionSupervisores[[#This Row],[ORDEN]])-1,_xlfn.XMATCH(TablaSupervisores[REFERENCIA],TablaSeleccionSupervisores[#Headers])))</f>
        <v>420</v>
      </c>
      <c r="X95" cm="1">
        <f t="array" ref="X95">SUM(TablaSupervisores[DISPOSITIVOS BACNET MS/TP JC]*INDEX(TablaSeleccionSupervisores[],ROW(TablaSeleccionSupervisores[[#This Row],[ORDEN]])-1,_xlfn.XMATCH(TablaSupervisores[REFERENCIA],TablaSeleccionSupervisores[#Headers])))</f>
        <v>300</v>
      </c>
      <c r="Y95" cm="1">
        <f t="array" ref="Y95">SUM(TablaSupervisores[DISPOSITIVOS BACNET MS/TP COMPATIBLES]*INDEX(TablaSeleccionSupervisores[],ROW(TablaSeleccionSupervisores[[#This Row],[ORDEN]])-1,_xlfn.XMATCH(TablaSupervisores[REFERENCIA],TablaSeleccionSupervisores[#Headers])))</f>
        <v>192</v>
      </c>
      <c r="Z95" cm="1">
        <f t="array" ref="Z95">SUM(TablaSupervisores[DISPOSITIVOS BACNET IP]*INDEX(TablaSeleccionSupervisores[],ROW(TablaSeleccionSupervisores[[#This Row],[ORDEN]])-1,_xlfn.XMATCH(TablaSupervisores[REFERENCIA],TablaSeleccionSupervisores[#Headers])))</f>
        <v>600</v>
      </c>
      <c r="AA95" cm="1">
        <f t="array" ref="AA95">SUM(TablaSupervisores[OBJETOS]*INDEX(TablaSeleccionSupervisores[],ROW(TablaSeleccionSupervisores[[#This Row],[ORDEN]])-1,_xlfn.XMATCH(TablaSupervisores[REFERENCIA],TablaSeleccionSupervisores[#Headers])))</f>
        <v>10000</v>
      </c>
      <c r="AB95" s="28" cm="1">
        <f t="array" ref="AB95">SUM(TablaSupervisores[COSTE]*INDEX(TablaSeleccionSupervisores[],ROW(TablaSeleccionSupervisores[[#This Row],[ORDEN]])-1,_xlfn.XMATCH(TablaSupervisores[REFERENCIA],TablaSeleccionSupervisores[#Headers])))</f>
        <v>10824.42</v>
      </c>
      <c r="AC95" cm="1">
        <f t="array" ref="AC95">SUM(INDEX(TablaSeleccionSupervisores[],ROW(TablaSeleccionSupervisores[[#This Row],[ORDEN]])-1,_xlfn.XMATCH(TablaSupervisores[REFERENCIA],TablaSeleccionSupervisores[#Headers])))</f>
        <v>4</v>
      </c>
      <c r="AD95" t="str" cm="1">
        <f t="array" ref="AD95">IF(INDEX(TablaSeleccionSupervisores[],ROW(TablaSeleccionSupervisores[[#This Row],[ORDEN]])-1,_xlfn.XMATCH("ADMITIDO ADSLITE",TablaSeleccionSupervisores[#Headers])+1)=0,"Sí admitido","No admitido")</f>
        <v>Sí admitido</v>
      </c>
      <c r="AE95">
        <v>0</v>
      </c>
      <c r="AF95">
        <v>2</v>
      </c>
      <c r="AG95">
        <v>2</v>
      </c>
      <c r="AH95">
        <v>0</v>
      </c>
    </row>
    <row r="96" spans="22:34" x14ac:dyDescent="0.25">
      <c r="V96">
        <v>95</v>
      </c>
      <c r="W96" cm="1">
        <f t="array" ref="W96">SUM(TablaSupervisores[DISPOSITIVOS TOTAL]*INDEX(TablaSeleccionSupervisores[],ROW(TablaSeleccionSupervisores[[#This Row],[ORDEN]])-1,_xlfn.XMATCH(TablaSupervisores[REFERENCIA],TablaSeleccionSupervisores[#Headers])))</f>
        <v>1020</v>
      </c>
      <c r="X96" cm="1">
        <f t="array" ref="X96">SUM(TablaSupervisores[DISPOSITIVOS BACNET MS/TP JC]*INDEX(TablaSeleccionSupervisores[],ROW(TablaSeleccionSupervisores[[#This Row],[ORDEN]])-1,_xlfn.XMATCH(TablaSupervisores[REFERENCIA],TablaSeleccionSupervisores[#Headers])))</f>
        <v>500</v>
      </c>
      <c r="Y96" cm="1">
        <f t="array" ref="Y96">SUM(TablaSupervisores[DISPOSITIVOS BACNET MS/TP COMPATIBLES]*INDEX(TablaSeleccionSupervisores[],ROW(TablaSeleccionSupervisores[[#This Row],[ORDEN]])-1,_xlfn.XMATCH(TablaSupervisores[REFERENCIA],TablaSeleccionSupervisores[#Headers])))</f>
        <v>320</v>
      </c>
      <c r="Z96" cm="1">
        <f t="array" ref="Z96">SUM(TablaSupervisores[DISPOSITIVOS BACNET IP]*INDEX(TablaSeleccionSupervisores[],ROW(TablaSeleccionSupervisores[[#This Row],[ORDEN]])-1,_xlfn.XMATCH(TablaSupervisores[REFERENCIA],TablaSeleccionSupervisores[#Headers])))</f>
        <v>1000</v>
      </c>
      <c r="AA96" cm="1">
        <f t="array" ref="AA96">SUM(TablaSupervisores[OBJETOS]*INDEX(TablaSeleccionSupervisores[],ROW(TablaSeleccionSupervisores[[#This Row],[ORDEN]])-1,_xlfn.XMATCH(TablaSupervisores[REFERENCIA],TablaSeleccionSupervisores[#Headers])))</f>
        <v>15000</v>
      </c>
      <c r="AB96" s="28" cm="1">
        <f t="array" ref="AB96">SUM(TablaSupervisores[COSTE]*INDEX(TablaSeleccionSupervisores[],ROW(TablaSeleccionSupervisores[[#This Row],[ORDEN]])-1,_xlfn.XMATCH(TablaSupervisores[REFERENCIA],TablaSeleccionSupervisores[#Headers])))</f>
        <v>16491.05</v>
      </c>
      <c r="AC96" cm="1">
        <f t="array" ref="AC96">SUM(INDEX(TablaSeleccionSupervisores[],ROW(TablaSeleccionSupervisores[[#This Row],[ORDEN]])-1,_xlfn.XMATCH(TablaSupervisores[REFERENCIA],TablaSeleccionSupervisores[#Headers])))</f>
        <v>5</v>
      </c>
      <c r="AD96" t="str" cm="1">
        <f t="array" ref="AD96">IF(INDEX(TablaSeleccionSupervisores[],ROW(TablaSeleccionSupervisores[[#This Row],[ORDEN]])-1,_xlfn.XMATCH("ADMITIDO ADSLITE",TablaSeleccionSupervisores[#Headers])+1)=0,"Sí admitido","No admitido")</f>
        <v>No admitido</v>
      </c>
      <c r="AE96">
        <v>1</v>
      </c>
      <c r="AF96">
        <v>2</v>
      </c>
      <c r="AG96">
        <v>2</v>
      </c>
      <c r="AH96">
        <v>0</v>
      </c>
    </row>
    <row r="97" spans="22:34" x14ac:dyDescent="0.25">
      <c r="V97">
        <v>96</v>
      </c>
      <c r="W97" cm="1">
        <f t="array" ref="W97">SUM(TablaSupervisores[DISPOSITIVOS TOTAL]*INDEX(TablaSeleccionSupervisores[],ROW(TablaSeleccionSupervisores[[#This Row],[ORDEN]])-1,_xlfn.XMATCH(TablaSupervisores[REFERENCIA],TablaSeleccionSupervisores[#Headers])))</f>
        <v>1620</v>
      </c>
      <c r="X97" cm="1">
        <f t="array" ref="X97">SUM(TablaSupervisores[DISPOSITIVOS BACNET MS/TP JC]*INDEX(TablaSeleccionSupervisores[],ROW(TablaSeleccionSupervisores[[#This Row],[ORDEN]])-1,_xlfn.XMATCH(TablaSupervisores[REFERENCIA],TablaSeleccionSupervisores[#Headers])))</f>
        <v>700</v>
      </c>
      <c r="Y97" cm="1">
        <f t="array" ref="Y97">SUM(TablaSupervisores[DISPOSITIVOS BACNET MS/TP COMPATIBLES]*INDEX(TablaSeleccionSupervisores[],ROW(TablaSeleccionSupervisores[[#This Row],[ORDEN]])-1,_xlfn.XMATCH(TablaSupervisores[REFERENCIA],TablaSeleccionSupervisores[#Headers])))</f>
        <v>448</v>
      </c>
      <c r="Z97" cm="1">
        <f t="array" ref="Z97">SUM(TablaSupervisores[DISPOSITIVOS BACNET IP]*INDEX(TablaSeleccionSupervisores[],ROW(TablaSeleccionSupervisores[[#This Row],[ORDEN]])-1,_xlfn.XMATCH(TablaSupervisores[REFERENCIA],TablaSeleccionSupervisores[#Headers])))</f>
        <v>1400</v>
      </c>
      <c r="AA97" cm="1">
        <f t="array" ref="AA97">SUM(TablaSupervisores[OBJETOS]*INDEX(TablaSeleccionSupervisores[],ROW(TablaSeleccionSupervisores[[#This Row],[ORDEN]])-1,_xlfn.XMATCH(TablaSupervisores[REFERENCIA],TablaSeleccionSupervisores[#Headers])))</f>
        <v>20000</v>
      </c>
      <c r="AB97" s="28" cm="1">
        <f t="array" ref="AB97">SUM(TablaSupervisores[COSTE]*INDEX(TablaSeleccionSupervisores[],ROW(TablaSeleccionSupervisores[[#This Row],[ORDEN]])-1,_xlfn.XMATCH(TablaSupervisores[REFERENCIA],TablaSeleccionSupervisores[#Headers])))</f>
        <v>22157.68</v>
      </c>
      <c r="AC97" cm="1">
        <f t="array" ref="AC97">SUM(INDEX(TablaSeleccionSupervisores[],ROW(TablaSeleccionSupervisores[[#This Row],[ORDEN]])-1,_xlfn.XMATCH(TablaSupervisores[REFERENCIA],TablaSeleccionSupervisores[#Headers])))</f>
        <v>6</v>
      </c>
      <c r="AD97" t="str" cm="1">
        <f t="array" ref="AD97">IF(INDEX(TablaSeleccionSupervisores[],ROW(TablaSeleccionSupervisores[[#This Row],[ORDEN]])-1,_xlfn.XMATCH("ADMITIDO ADSLITE",TablaSeleccionSupervisores[#Headers])+1)=0,"Sí admitido","No admitido")</f>
        <v>No admitido</v>
      </c>
      <c r="AE97">
        <v>2</v>
      </c>
      <c r="AF97">
        <v>2</v>
      </c>
      <c r="AG97">
        <v>2</v>
      </c>
      <c r="AH97">
        <v>0</v>
      </c>
    </row>
    <row r="98" spans="22:34" x14ac:dyDescent="0.25">
      <c r="V98">
        <v>97</v>
      </c>
      <c r="W98" cm="1">
        <f t="array" ref="W98">SUM(TablaSupervisores[DISPOSITIVOS TOTAL]*INDEX(TablaSeleccionSupervisores[],ROW(TablaSeleccionSupervisores[[#This Row],[ORDEN]])-1,_xlfn.XMATCH(TablaSupervisores[REFERENCIA],TablaSeleccionSupervisores[#Headers])))</f>
        <v>2220</v>
      </c>
      <c r="X98" cm="1">
        <f t="array" ref="X98">SUM(TablaSupervisores[DISPOSITIVOS BACNET MS/TP JC]*INDEX(TablaSeleccionSupervisores[],ROW(TablaSeleccionSupervisores[[#This Row],[ORDEN]])-1,_xlfn.XMATCH(TablaSupervisores[REFERENCIA],TablaSeleccionSupervisores[#Headers])))</f>
        <v>900</v>
      </c>
      <c r="Y98" cm="1">
        <f t="array" ref="Y98">SUM(TablaSupervisores[DISPOSITIVOS BACNET MS/TP COMPATIBLES]*INDEX(TablaSeleccionSupervisores[],ROW(TablaSeleccionSupervisores[[#This Row],[ORDEN]])-1,_xlfn.XMATCH(TablaSupervisores[REFERENCIA],TablaSeleccionSupervisores[#Headers])))</f>
        <v>576</v>
      </c>
      <c r="Z98" cm="1">
        <f t="array" ref="Z98">SUM(TablaSupervisores[DISPOSITIVOS BACNET IP]*INDEX(TablaSeleccionSupervisores[],ROW(TablaSeleccionSupervisores[[#This Row],[ORDEN]])-1,_xlfn.XMATCH(TablaSupervisores[REFERENCIA],TablaSeleccionSupervisores[#Headers])))</f>
        <v>1800</v>
      </c>
      <c r="AA98" cm="1">
        <f t="array" ref="AA98">SUM(TablaSupervisores[OBJETOS]*INDEX(TablaSeleccionSupervisores[],ROW(TablaSeleccionSupervisores[[#This Row],[ORDEN]])-1,_xlfn.XMATCH(TablaSupervisores[REFERENCIA],TablaSeleccionSupervisores[#Headers])))</f>
        <v>25000</v>
      </c>
      <c r="AB98" s="28" cm="1">
        <f t="array" ref="AB98">SUM(TablaSupervisores[COSTE]*INDEX(TablaSeleccionSupervisores[],ROW(TablaSeleccionSupervisores[[#This Row],[ORDEN]])-1,_xlfn.XMATCH(TablaSupervisores[REFERENCIA],TablaSeleccionSupervisores[#Headers])))</f>
        <v>27824.309999999998</v>
      </c>
      <c r="AC98" cm="1">
        <f t="array" ref="AC98">SUM(INDEX(TablaSeleccionSupervisores[],ROW(TablaSeleccionSupervisores[[#This Row],[ORDEN]])-1,_xlfn.XMATCH(TablaSupervisores[REFERENCIA],TablaSeleccionSupervisores[#Headers])))</f>
        <v>7</v>
      </c>
      <c r="AD98" t="str" cm="1">
        <f t="array" ref="AD98">IF(INDEX(TablaSeleccionSupervisores[],ROW(TablaSeleccionSupervisores[[#This Row],[ORDEN]])-1,_xlfn.XMATCH("ADMITIDO ADSLITE",TablaSeleccionSupervisores[#Headers])+1)=0,"Sí admitido","No admitido")</f>
        <v>No admitido</v>
      </c>
      <c r="AE98">
        <v>3</v>
      </c>
      <c r="AF98">
        <v>2</v>
      </c>
      <c r="AG98">
        <v>2</v>
      </c>
      <c r="AH98">
        <v>0</v>
      </c>
    </row>
    <row r="99" spans="22:34" x14ac:dyDescent="0.25">
      <c r="V99">
        <v>98</v>
      </c>
      <c r="W99" cm="1">
        <f t="array" ref="W99">SUM(TablaSupervisores[DISPOSITIVOS TOTAL]*INDEX(TablaSeleccionSupervisores[],ROW(TablaSeleccionSupervisores[[#This Row],[ORDEN]])-1,_xlfn.XMATCH(TablaSupervisores[REFERENCIA],TablaSeleccionSupervisores[#Headers])))</f>
        <v>2820</v>
      </c>
      <c r="X99" cm="1">
        <f t="array" ref="X99">SUM(TablaSupervisores[DISPOSITIVOS BACNET MS/TP JC]*INDEX(TablaSeleccionSupervisores[],ROW(TablaSeleccionSupervisores[[#This Row],[ORDEN]])-1,_xlfn.XMATCH(TablaSupervisores[REFERENCIA],TablaSeleccionSupervisores[#Headers])))</f>
        <v>1100</v>
      </c>
      <c r="Y99" cm="1">
        <f t="array" ref="Y99">SUM(TablaSupervisores[DISPOSITIVOS BACNET MS/TP COMPATIBLES]*INDEX(TablaSeleccionSupervisores[],ROW(TablaSeleccionSupervisores[[#This Row],[ORDEN]])-1,_xlfn.XMATCH(TablaSupervisores[REFERENCIA],TablaSeleccionSupervisores[#Headers])))</f>
        <v>704</v>
      </c>
      <c r="Z99" cm="1">
        <f t="array" ref="Z99">SUM(TablaSupervisores[DISPOSITIVOS BACNET IP]*INDEX(TablaSeleccionSupervisores[],ROW(TablaSeleccionSupervisores[[#This Row],[ORDEN]])-1,_xlfn.XMATCH(TablaSupervisores[REFERENCIA],TablaSeleccionSupervisores[#Headers])))</f>
        <v>2200</v>
      </c>
      <c r="AA99" cm="1">
        <f t="array" ref="AA99">SUM(TablaSupervisores[OBJETOS]*INDEX(TablaSeleccionSupervisores[],ROW(TablaSeleccionSupervisores[[#This Row],[ORDEN]])-1,_xlfn.XMATCH(TablaSupervisores[REFERENCIA],TablaSeleccionSupervisores[#Headers])))</f>
        <v>30000</v>
      </c>
      <c r="AB99" s="28" cm="1">
        <f t="array" ref="AB99">SUM(TablaSupervisores[COSTE]*INDEX(TablaSeleccionSupervisores[],ROW(TablaSeleccionSupervisores[[#This Row],[ORDEN]])-1,_xlfn.XMATCH(TablaSupervisores[REFERENCIA],TablaSeleccionSupervisores[#Headers])))</f>
        <v>33490.94</v>
      </c>
      <c r="AC99" cm="1">
        <f t="array" ref="AC99">SUM(INDEX(TablaSeleccionSupervisores[],ROW(TablaSeleccionSupervisores[[#This Row],[ORDEN]])-1,_xlfn.XMATCH(TablaSupervisores[REFERENCIA],TablaSeleccionSupervisores[#Headers])))</f>
        <v>8</v>
      </c>
      <c r="AD99" t="str" cm="1">
        <f t="array" ref="AD99">IF(INDEX(TablaSeleccionSupervisores[],ROW(TablaSeleccionSupervisores[[#This Row],[ORDEN]])-1,_xlfn.XMATCH("ADMITIDO ADSLITE",TablaSeleccionSupervisores[#Headers])+1)=0,"Sí admitido","No admitido")</f>
        <v>No admitido</v>
      </c>
      <c r="AE99">
        <v>4</v>
      </c>
      <c r="AF99">
        <v>2</v>
      </c>
      <c r="AG99">
        <v>2</v>
      </c>
      <c r="AH99">
        <v>0</v>
      </c>
    </row>
    <row r="100" spans="22:34" x14ac:dyDescent="0.25">
      <c r="V100">
        <v>99</v>
      </c>
      <c r="W100" cm="1">
        <f t="array" ref="W100">SUM(TablaSupervisores[DISPOSITIVOS TOTAL]*INDEX(TablaSeleccionSupervisores[],ROW(TablaSeleccionSupervisores[[#This Row],[ORDEN]])-1,_xlfn.XMATCH(TablaSupervisores[REFERENCIA],TablaSeleccionSupervisores[#Headers])))</f>
        <v>570</v>
      </c>
      <c r="X100" cm="1">
        <f t="array" ref="X100">SUM(TablaSupervisores[DISPOSITIVOS BACNET MS/TP JC]*INDEX(TablaSeleccionSupervisores[],ROW(TablaSeleccionSupervisores[[#This Row],[ORDEN]])-1,_xlfn.XMATCH(TablaSupervisores[REFERENCIA],TablaSeleccionSupervisores[#Headers])))</f>
        <v>400</v>
      </c>
      <c r="Y100" cm="1">
        <f t="array" ref="Y100">SUM(TablaSupervisores[DISPOSITIVOS BACNET MS/TP COMPATIBLES]*INDEX(TablaSeleccionSupervisores[],ROW(TablaSeleccionSupervisores[[#This Row],[ORDEN]])-1,_xlfn.XMATCH(TablaSupervisores[REFERENCIA],TablaSeleccionSupervisores[#Headers])))</f>
        <v>256</v>
      </c>
      <c r="Z100" cm="1">
        <f t="array" ref="Z100">SUM(TablaSupervisores[DISPOSITIVOS BACNET IP]*INDEX(TablaSeleccionSupervisores[],ROW(TablaSeleccionSupervisores[[#This Row],[ORDEN]])-1,_xlfn.XMATCH(TablaSupervisores[REFERENCIA],TablaSeleccionSupervisores[#Headers])))</f>
        <v>800</v>
      </c>
      <c r="AA100" cm="1">
        <f t="array" ref="AA100">SUM(TablaSupervisores[OBJETOS]*INDEX(TablaSeleccionSupervisores[],ROW(TablaSeleccionSupervisores[[#This Row],[ORDEN]])-1,_xlfn.XMATCH(TablaSupervisores[REFERENCIA],TablaSeleccionSupervisores[#Headers])))</f>
        <v>12500</v>
      </c>
      <c r="AB100" s="28" cm="1">
        <f t="array" ref="AB100">SUM(TablaSupervisores[COSTE]*INDEX(TablaSeleccionSupervisores[],ROW(TablaSeleccionSupervisores[[#This Row],[ORDEN]])-1,_xlfn.XMATCH(TablaSupervisores[REFERENCIA],TablaSeleccionSupervisores[#Headers])))</f>
        <v>14813.150000000001</v>
      </c>
      <c r="AC100" cm="1">
        <f t="array" ref="AC100">SUM(INDEX(TablaSeleccionSupervisores[],ROW(TablaSeleccionSupervisores[[#This Row],[ORDEN]])-1,_xlfn.XMATCH(TablaSupervisores[REFERENCIA],TablaSeleccionSupervisores[#Headers])))</f>
        <v>5</v>
      </c>
      <c r="AD100" t="str" cm="1">
        <f t="array" ref="AD100">IF(INDEX(TablaSeleccionSupervisores[],ROW(TablaSeleccionSupervisores[[#This Row],[ORDEN]])-1,_xlfn.XMATCH("ADMITIDO ADSLITE",TablaSeleccionSupervisores[#Headers])+1)=0,"Sí admitido","No admitido")</f>
        <v>Sí admitido</v>
      </c>
      <c r="AE100">
        <v>0</v>
      </c>
      <c r="AF100">
        <v>3</v>
      </c>
      <c r="AG100">
        <v>2</v>
      </c>
      <c r="AH100">
        <v>0</v>
      </c>
    </row>
    <row r="101" spans="22:34" x14ac:dyDescent="0.25">
      <c r="V101">
        <v>100</v>
      </c>
      <c r="W101" cm="1">
        <f t="array" ref="W101">SUM(TablaSupervisores[DISPOSITIVOS TOTAL]*INDEX(TablaSeleccionSupervisores[],ROW(TablaSeleccionSupervisores[[#This Row],[ORDEN]])-1,_xlfn.XMATCH(TablaSupervisores[REFERENCIA],TablaSeleccionSupervisores[#Headers])))</f>
        <v>1170</v>
      </c>
      <c r="X101" cm="1">
        <f t="array" ref="X101">SUM(TablaSupervisores[DISPOSITIVOS BACNET MS/TP JC]*INDEX(TablaSeleccionSupervisores[],ROW(TablaSeleccionSupervisores[[#This Row],[ORDEN]])-1,_xlfn.XMATCH(TablaSupervisores[REFERENCIA],TablaSeleccionSupervisores[#Headers])))</f>
        <v>600</v>
      </c>
      <c r="Y101" cm="1">
        <f t="array" ref="Y101">SUM(TablaSupervisores[DISPOSITIVOS BACNET MS/TP COMPATIBLES]*INDEX(TablaSeleccionSupervisores[],ROW(TablaSeleccionSupervisores[[#This Row],[ORDEN]])-1,_xlfn.XMATCH(TablaSupervisores[REFERENCIA],TablaSeleccionSupervisores[#Headers])))</f>
        <v>384</v>
      </c>
      <c r="Z101" cm="1">
        <f t="array" ref="Z101">SUM(TablaSupervisores[DISPOSITIVOS BACNET IP]*INDEX(TablaSeleccionSupervisores[],ROW(TablaSeleccionSupervisores[[#This Row],[ORDEN]])-1,_xlfn.XMATCH(TablaSupervisores[REFERENCIA],TablaSeleccionSupervisores[#Headers])))</f>
        <v>1200</v>
      </c>
      <c r="AA101" cm="1">
        <f t="array" ref="AA101">SUM(TablaSupervisores[OBJETOS]*INDEX(TablaSeleccionSupervisores[],ROW(TablaSeleccionSupervisores[[#This Row],[ORDEN]])-1,_xlfn.XMATCH(TablaSupervisores[REFERENCIA],TablaSeleccionSupervisores[#Headers])))</f>
        <v>17500</v>
      </c>
      <c r="AB101" s="28" cm="1">
        <f t="array" ref="AB101">SUM(TablaSupervisores[COSTE]*INDEX(TablaSeleccionSupervisores[],ROW(TablaSeleccionSupervisores[[#This Row],[ORDEN]])-1,_xlfn.XMATCH(TablaSupervisores[REFERENCIA],TablaSeleccionSupervisores[#Headers])))</f>
        <v>20479.78</v>
      </c>
      <c r="AC101" cm="1">
        <f t="array" ref="AC101">SUM(INDEX(TablaSeleccionSupervisores[],ROW(TablaSeleccionSupervisores[[#This Row],[ORDEN]])-1,_xlfn.XMATCH(TablaSupervisores[REFERENCIA],TablaSeleccionSupervisores[#Headers])))</f>
        <v>6</v>
      </c>
      <c r="AD101" t="str" cm="1">
        <f t="array" ref="AD101">IF(INDEX(TablaSeleccionSupervisores[],ROW(TablaSeleccionSupervisores[[#This Row],[ORDEN]])-1,_xlfn.XMATCH("ADMITIDO ADSLITE",TablaSeleccionSupervisores[#Headers])+1)=0,"Sí admitido","No admitido")</f>
        <v>No admitido</v>
      </c>
      <c r="AE101">
        <v>1</v>
      </c>
      <c r="AF101">
        <v>3</v>
      </c>
      <c r="AG101">
        <v>2</v>
      </c>
      <c r="AH101">
        <v>0</v>
      </c>
    </row>
    <row r="102" spans="22:34" x14ac:dyDescent="0.25">
      <c r="V102">
        <v>101</v>
      </c>
      <c r="W102" cm="1">
        <f t="array" ref="W102">SUM(TablaSupervisores[DISPOSITIVOS TOTAL]*INDEX(TablaSeleccionSupervisores[],ROW(TablaSeleccionSupervisores[[#This Row],[ORDEN]])-1,_xlfn.XMATCH(TablaSupervisores[REFERENCIA],TablaSeleccionSupervisores[#Headers])))</f>
        <v>1770</v>
      </c>
      <c r="X102" cm="1">
        <f t="array" ref="X102">SUM(TablaSupervisores[DISPOSITIVOS BACNET MS/TP JC]*INDEX(TablaSeleccionSupervisores[],ROW(TablaSeleccionSupervisores[[#This Row],[ORDEN]])-1,_xlfn.XMATCH(TablaSupervisores[REFERENCIA],TablaSeleccionSupervisores[#Headers])))</f>
        <v>800</v>
      </c>
      <c r="Y102" cm="1">
        <f t="array" ref="Y102">SUM(TablaSupervisores[DISPOSITIVOS BACNET MS/TP COMPATIBLES]*INDEX(TablaSeleccionSupervisores[],ROW(TablaSeleccionSupervisores[[#This Row],[ORDEN]])-1,_xlfn.XMATCH(TablaSupervisores[REFERENCIA],TablaSeleccionSupervisores[#Headers])))</f>
        <v>512</v>
      </c>
      <c r="Z102" cm="1">
        <f t="array" ref="Z102">SUM(TablaSupervisores[DISPOSITIVOS BACNET IP]*INDEX(TablaSeleccionSupervisores[],ROW(TablaSeleccionSupervisores[[#This Row],[ORDEN]])-1,_xlfn.XMATCH(TablaSupervisores[REFERENCIA],TablaSeleccionSupervisores[#Headers])))</f>
        <v>1600</v>
      </c>
      <c r="AA102" cm="1">
        <f t="array" ref="AA102">SUM(TablaSupervisores[OBJETOS]*INDEX(TablaSeleccionSupervisores[],ROW(TablaSeleccionSupervisores[[#This Row],[ORDEN]])-1,_xlfn.XMATCH(TablaSupervisores[REFERENCIA],TablaSeleccionSupervisores[#Headers])))</f>
        <v>22500</v>
      </c>
      <c r="AB102" s="28" cm="1">
        <f t="array" ref="AB102">SUM(TablaSupervisores[COSTE]*INDEX(TablaSeleccionSupervisores[],ROW(TablaSeleccionSupervisores[[#This Row],[ORDEN]])-1,_xlfn.XMATCH(TablaSupervisores[REFERENCIA],TablaSeleccionSupervisores[#Headers])))</f>
        <v>26146.41</v>
      </c>
      <c r="AC102" cm="1">
        <f t="array" ref="AC102">SUM(INDEX(TablaSeleccionSupervisores[],ROW(TablaSeleccionSupervisores[[#This Row],[ORDEN]])-1,_xlfn.XMATCH(TablaSupervisores[REFERENCIA],TablaSeleccionSupervisores[#Headers])))</f>
        <v>7</v>
      </c>
      <c r="AD102" t="str" cm="1">
        <f t="array" ref="AD102">IF(INDEX(TablaSeleccionSupervisores[],ROW(TablaSeleccionSupervisores[[#This Row],[ORDEN]])-1,_xlfn.XMATCH("ADMITIDO ADSLITE",TablaSeleccionSupervisores[#Headers])+1)=0,"Sí admitido","No admitido")</f>
        <v>No admitido</v>
      </c>
      <c r="AE102">
        <v>2</v>
      </c>
      <c r="AF102">
        <v>3</v>
      </c>
      <c r="AG102">
        <v>2</v>
      </c>
      <c r="AH102">
        <v>0</v>
      </c>
    </row>
    <row r="103" spans="22:34" x14ac:dyDescent="0.25">
      <c r="V103">
        <v>102</v>
      </c>
      <c r="W103" cm="1">
        <f t="array" ref="W103">SUM(TablaSupervisores[DISPOSITIVOS TOTAL]*INDEX(TablaSeleccionSupervisores[],ROW(TablaSeleccionSupervisores[[#This Row],[ORDEN]])-1,_xlfn.XMATCH(TablaSupervisores[REFERENCIA],TablaSeleccionSupervisores[#Headers])))</f>
        <v>2370</v>
      </c>
      <c r="X103" cm="1">
        <f t="array" ref="X103">SUM(TablaSupervisores[DISPOSITIVOS BACNET MS/TP JC]*INDEX(TablaSeleccionSupervisores[],ROW(TablaSeleccionSupervisores[[#This Row],[ORDEN]])-1,_xlfn.XMATCH(TablaSupervisores[REFERENCIA],TablaSeleccionSupervisores[#Headers])))</f>
        <v>1000</v>
      </c>
      <c r="Y103" cm="1">
        <f t="array" ref="Y103">SUM(TablaSupervisores[DISPOSITIVOS BACNET MS/TP COMPATIBLES]*INDEX(TablaSeleccionSupervisores[],ROW(TablaSeleccionSupervisores[[#This Row],[ORDEN]])-1,_xlfn.XMATCH(TablaSupervisores[REFERENCIA],TablaSeleccionSupervisores[#Headers])))</f>
        <v>640</v>
      </c>
      <c r="Z103" cm="1">
        <f t="array" ref="Z103">SUM(TablaSupervisores[DISPOSITIVOS BACNET IP]*INDEX(TablaSeleccionSupervisores[],ROW(TablaSeleccionSupervisores[[#This Row],[ORDEN]])-1,_xlfn.XMATCH(TablaSupervisores[REFERENCIA],TablaSeleccionSupervisores[#Headers])))</f>
        <v>2000</v>
      </c>
      <c r="AA103" cm="1">
        <f t="array" ref="AA103">SUM(TablaSupervisores[OBJETOS]*INDEX(TablaSeleccionSupervisores[],ROW(TablaSeleccionSupervisores[[#This Row],[ORDEN]])-1,_xlfn.XMATCH(TablaSupervisores[REFERENCIA],TablaSeleccionSupervisores[#Headers])))</f>
        <v>27500</v>
      </c>
      <c r="AB103" s="28" cm="1">
        <f t="array" ref="AB103">SUM(TablaSupervisores[COSTE]*INDEX(TablaSeleccionSupervisores[],ROW(TablaSeleccionSupervisores[[#This Row],[ORDEN]])-1,_xlfn.XMATCH(TablaSupervisores[REFERENCIA],TablaSeleccionSupervisores[#Headers])))</f>
        <v>31813.040000000001</v>
      </c>
      <c r="AC103" cm="1">
        <f t="array" ref="AC103">SUM(INDEX(TablaSeleccionSupervisores[],ROW(TablaSeleccionSupervisores[[#This Row],[ORDEN]])-1,_xlfn.XMATCH(TablaSupervisores[REFERENCIA],TablaSeleccionSupervisores[#Headers])))</f>
        <v>8</v>
      </c>
      <c r="AD103" t="str" cm="1">
        <f t="array" ref="AD103">IF(INDEX(TablaSeleccionSupervisores[],ROW(TablaSeleccionSupervisores[[#This Row],[ORDEN]])-1,_xlfn.XMATCH("ADMITIDO ADSLITE",TablaSeleccionSupervisores[#Headers])+1)=0,"Sí admitido","No admitido")</f>
        <v>No admitido</v>
      </c>
      <c r="AE103">
        <v>3</v>
      </c>
      <c r="AF103">
        <v>3</v>
      </c>
      <c r="AG103">
        <v>2</v>
      </c>
      <c r="AH103">
        <v>0</v>
      </c>
    </row>
    <row r="104" spans="22:34" x14ac:dyDescent="0.25">
      <c r="V104">
        <v>103</v>
      </c>
      <c r="W104" cm="1">
        <f t="array" ref="W104">SUM(TablaSupervisores[DISPOSITIVOS TOTAL]*INDEX(TablaSeleccionSupervisores[],ROW(TablaSeleccionSupervisores[[#This Row],[ORDEN]])-1,_xlfn.XMATCH(TablaSupervisores[REFERENCIA],TablaSeleccionSupervisores[#Headers])))</f>
        <v>720</v>
      </c>
      <c r="X104" cm="1">
        <f t="array" ref="X104">SUM(TablaSupervisores[DISPOSITIVOS BACNET MS/TP JC]*INDEX(TablaSeleccionSupervisores[],ROW(TablaSeleccionSupervisores[[#This Row],[ORDEN]])-1,_xlfn.XMATCH(TablaSupervisores[REFERENCIA],TablaSeleccionSupervisores[#Headers])))</f>
        <v>500</v>
      </c>
      <c r="Y104" cm="1">
        <f t="array" ref="Y104">SUM(TablaSupervisores[DISPOSITIVOS BACNET MS/TP COMPATIBLES]*INDEX(TablaSeleccionSupervisores[],ROW(TablaSeleccionSupervisores[[#This Row],[ORDEN]])-1,_xlfn.XMATCH(TablaSupervisores[REFERENCIA],TablaSeleccionSupervisores[#Headers])))</f>
        <v>320</v>
      </c>
      <c r="Z104" cm="1">
        <f t="array" ref="Z104">SUM(TablaSupervisores[DISPOSITIVOS BACNET IP]*INDEX(TablaSeleccionSupervisores[],ROW(TablaSeleccionSupervisores[[#This Row],[ORDEN]])-1,_xlfn.XMATCH(TablaSupervisores[REFERENCIA],TablaSeleccionSupervisores[#Headers])))</f>
        <v>1000</v>
      </c>
      <c r="AA104" cm="1">
        <f t="array" ref="AA104">SUM(TablaSupervisores[OBJETOS]*INDEX(TablaSeleccionSupervisores[],ROW(TablaSeleccionSupervisores[[#This Row],[ORDEN]])-1,_xlfn.XMATCH(TablaSupervisores[REFERENCIA],TablaSeleccionSupervisores[#Headers])))</f>
        <v>15000</v>
      </c>
      <c r="AB104" s="28" cm="1">
        <f t="array" ref="AB104">SUM(TablaSupervisores[COSTE]*INDEX(TablaSeleccionSupervisores[],ROW(TablaSeleccionSupervisores[[#This Row],[ORDEN]])-1,_xlfn.XMATCH(TablaSupervisores[REFERENCIA],TablaSeleccionSupervisores[#Headers])))</f>
        <v>18801.88</v>
      </c>
      <c r="AC104" cm="1">
        <f t="array" ref="AC104">SUM(INDEX(TablaSeleccionSupervisores[],ROW(TablaSeleccionSupervisores[[#This Row],[ORDEN]])-1,_xlfn.XMATCH(TablaSupervisores[REFERENCIA],TablaSeleccionSupervisores[#Headers])))</f>
        <v>6</v>
      </c>
      <c r="AD104" t="str" cm="1">
        <f t="array" ref="AD104">IF(INDEX(TablaSeleccionSupervisores[],ROW(TablaSeleccionSupervisores[[#This Row],[ORDEN]])-1,_xlfn.XMATCH("ADMITIDO ADSLITE",TablaSeleccionSupervisores[#Headers])+1)=0,"Sí admitido","No admitido")</f>
        <v>Sí admitido</v>
      </c>
      <c r="AE104">
        <v>0</v>
      </c>
      <c r="AF104">
        <v>4</v>
      </c>
      <c r="AG104">
        <v>2</v>
      </c>
      <c r="AH104">
        <v>0</v>
      </c>
    </row>
    <row r="105" spans="22:34" x14ac:dyDescent="0.25">
      <c r="V105">
        <v>104</v>
      </c>
      <c r="W105" cm="1">
        <f t="array" ref="W105">SUM(TablaSupervisores[DISPOSITIVOS TOTAL]*INDEX(TablaSeleccionSupervisores[],ROW(TablaSeleccionSupervisores[[#This Row],[ORDEN]])-1,_xlfn.XMATCH(TablaSupervisores[REFERENCIA],TablaSeleccionSupervisores[#Headers])))</f>
        <v>1320</v>
      </c>
      <c r="X105" cm="1">
        <f t="array" ref="X105">SUM(TablaSupervisores[DISPOSITIVOS BACNET MS/TP JC]*INDEX(TablaSeleccionSupervisores[],ROW(TablaSeleccionSupervisores[[#This Row],[ORDEN]])-1,_xlfn.XMATCH(TablaSupervisores[REFERENCIA],TablaSeleccionSupervisores[#Headers])))</f>
        <v>700</v>
      </c>
      <c r="Y105" cm="1">
        <f t="array" ref="Y105">SUM(TablaSupervisores[DISPOSITIVOS BACNET MS/TP COMPATIBLES]*INDEX(TablaSeleccionSupervisores[],ROW(TablaSeleccionSupervisores[[#This Row],[ORDEN]])-1,_xlfn.XMATCH(TablaSupervisores[REFERENCIA],TablaSeleccionSupervisores[#Headers])))</f>
        <v>448</v>
      </c>
      <c r="Z105" cm="1">
        <f t="array" ref="Z105">SUM(TablaSupervisores[DISPOSITIVOS BACNET IP]*INDEX(TablaSeleccionSupervisores[],ROW(TablaSeleccionSupervisores[[#This Row],[ORDEN]])-1,_xlfn.XMATCH(TablaSupervisores[REFERENCIA],TablaSeleccionSupervisores[#Headers])))</f>
        <v>1400</v>
      </c>
      <c r="AA105" cm="1">
        <f t="array" ref="AA105">SUM(TablaSupervisores[OBJETOS]*INDEX(TablaSeleccionSupervisores[],ROW(TablaSeleccionSupervisores[[#This Row],[ORDEN]])-1,_xlfn.XMATCH(TablaSupervisores[REFERENCIA],TablaSeleccionSupervisores[#Headers])))</f>
        <v>20000</v>
      </c>
      <c r="AB105" s="28" cm="1">
        <f t="array" ref="AB105">SUM(TablaSupervisores[COSTE]*INDEX(TablaSeleccionSupervisores[],ROW(TablaSeleccionSupervisores[[#This Row],[ORDEN]])-1,_xlfn.XMATCH(TablaSupervisores[REFERENCIA],TablaSeleccionSupervisores[#Headers])))</f>
        <v>24468.51</v>
      </c>
      <c r="AC105" cm="1">
        <f t="array" ref="AC105">SUM(INDEX(TablaSeleccionSupervisores[],ROW(TablaSeleccionSupervisores[[#This Row],[ORDEN]])-1,_xlfn.XMATCH(TablaSupervisores[REFERENCIA],TablaSeleccionSupervisores[#Headers])))</f>
        <v>7</v>
      </c>
      <c r="AD105" t="str" cm="1">
        <f t="array" ref="AD105">IF(INDEX(TablaSeleccionSupervisores[],ROW(TablaSeleccionSupervisores[[#This Row],[ORDEN]])-1,_xlfn.XMATCH("ADMITIDO ADSLITE",TablaSeleccionSupervisores[#Headers])+1)=0,"Sí admitido","No admitido")</f>
        <v>No admitido</v>
      </c>
      <c r="AE105">
        <v>1</v>
      </c>
      <c r="AF105">
        <v>4</v>
      </c>
      <c r="AG105">
        <v>2</v>
      </c>
      <c r="AH105">
        <v>0</v>
      </c>
    </row>
    <row r="106" spans="22:34" x14ac:dyDescent="0.25">
      <c r="V106">
        <v>105</v>
      </c>
      <c r="W106" cm="1">
        <f t="array" ref="W106">SUM(TablaSupervisores[DISPOSITIVOS TOTAL]*INDEX(TablaSeleccionSupervisores[],ROW(TablaSeleccionSupervisores[[#This Row],[ORDEN]])-1,_xlfn.XMATCH(TablaSupervisores[REFERENCIA],TablaSeleccionSupervisores[#Headers])))</f>
        <v>1920</v>
      </c>
      <c r="X106" cm="1">
        <f t="array" ref="X106">SUM(TablaSupervisores[DISPOSITIVOS BACNET MS/TP JC]*INDEX(TablaSeleccionSupervisores[],ROW(TablaSeleccionSupervisores[[#This Row],[ORDEN]])-1,_xlfn.XMATCH(TablaSupervisores[REFERENCIA],TablaSeleccionSupervisores[#Headers])))</f>
        <v>900</v>
      </c>
      <c r="Y106" cm="1">
        <f t="array" ref="Y106">SUM(TablaSupervisores[DISPOSITIVOS BACNET MS/TP COMPATIBLES]*INDEX(TablaSeleccionSupervisores[],ROW(TablaSeleccionSupervisores[[#This Row],[ORDEN]])-1,_xlfn.XMATCH(TablaSupervisores[REFERENCIA],TablaSeleccionSupervisores[#Headers])))</f>
        <v>576</v>
      </c>
      <c r="Z106" cm="1">
        <f t="array" ref="Z106">SUM(TablaSupervisores[DISPOSITIVOS BACNET IP]*INDEX(TablaSeleccionSupervisores[],ROW(TablaSeleccionSupervisores[[#This Row],[ORDEN]])-1,_xlfn.XMATCH(TablaSupervisores[REFERENCIA],TablaSeleccionSupervisores[#Headers])))</f>
        <v>1800</v>
      </c>
      <c r="AA106" cm="1">
        <f t="array" ref="AA106">SUM(TablaSupervisores[OBJETOS]*INDEX(TablaSeleccionSupervisores[],ROW(TablaSeleccionSupervisores[[#This Row],[ORDEN]])-1,_xlfn.XMATCH(TablaSupervisores[REFERENCIA],TablaSeleccionSupervisores[#Headers])))</f>
        <v>25000</v>
      </c>
      <c r="AB106" s="28" cm="1">
        <f t="array" ref="AB106">SUM(TablaSupervisores[COSTE]*INDEX(TablaSeleccionSupervisores[],ROW(TablaSeleccionSupervisores[[#This Row],[ORDEN]])-1,_xlfn.XMATCH(TablaSupervisores[REFERENCIA],TablaSeleccionSupervisores[#Headers])))</f>
        <v>30135.14</v>
      </c>
      <c r="AC106" cm="1">
        <f t="array" ref="AC106">SUM(INDEX(TablaSeleccionSupervisores[],ROW(TablaSeleccionSupervisores[[#This Row],[ORDEN]])-1,_xlfn.XMATCH(TablaSupervisores[REFERENCIA],TablaSeleccionSupervisores[#Headers])))</f>
        <v>8</v>
      </c>
      <c r="AD106" t="str" cm="1">
        <f t="array" ref="AD106">IF(INDEX(TablaSeleccionSupervisores[],ROW(TablaSeleccionSupervisores[[#This Row],[ORDEN]])-1,_xlfn.XMATCH("ADMITIDO ADSLITE",TablaSeleccionSupervisores[#Headers])+1)=0,"Sí admitido","No admitido")</f>
        <v>No admitido</v>
      </c>
      <c r="AE106">
        <v>2</v>
      </c>
      <c r="AF106">
        <v>4</v>
      </c>
      <c r="AG106">
        <v>2</v>
      </c>
      <c r="AH106">
        <v>0</v>
      </c>
    </row>
    <row r="107" spans="22:34" x14ac:dyDescent="0.25">
      <c r="V107">
        <v>106</v>
      </c>
      <c r="W107" cm="1">
        <f t="array" ref="W107">SUM(TablaSupervisores[DISPOSITIVOS TOTAL]*INDEX(TablaSeleccionSupervisores[],ROW(TablaSeleccionSupervisores[[#This Row],[ORDEN]])-1,_xlfn.XMATCH(TablaSupervisores[REFERENCIA],TablaSeleccionSupervisores[#Headers])))</f>
        <v>870</v>
      </c>
      <c r="X107" cm="1">
        <f t="array" ref="X107">SUM(TablaSupervisores[DISPOSITIVOS BACNET MS/TP JC]*INDEX(TablaSeleccionSupervisores[],ROW(TablaSeleccionSupervisores[[#This Row],[ORDEN]])-1,_xlfn.XMATCH(TablaSupervisores[REFERENCIA],TablaSeleccionSupervisores[#Headers])))</f>
        <v>600</v>
      </c>
      <c r="Y107" cm="1">
        <f t="array" ref="Y107">SUM(TablaSupervisores[DISPOSITIVOS BACNET MS/TP COMPATIBLES]*INDEX(TablaSeleccionSupervisores[],ROW(TablaSeleccionSupervisores[[#This Row],[ORDEN]])-1,_xlfn.XMATCH(TablaSupervisores[REFERENCIA],TablaSeleccionSupervisores[#Headers])))</f>
        <v>384</v>
      </c>
      <c r="Z107" cm="1">
        <f t="array" ref="Z107">SUM(TablaSupervisores[DISPOSITIVOS BACNET IP]*INDEX(TablaSeleccionSupervisores[],ROW(TablaSeleccionSupervisores[[#This Row],[ORDEN]])-1,_xlfn.XMATCH(TablaSupervisores[REFERENCIA],TablaSeleccionSupervisores[#Headers])))</f>
        <v>1200</v>
      </c>
      <c r="AA107" cm="1">
        <f t="array" ref="AA107">SUM(TablaSupervisores[OBJETOS]*INDEX(TablaSeleccionSupervisores[],ROW(TablaSeleccionSupervisores[[#This Row],[ORDEN]])-1,_xlfn.XMATCH(TablaSupervisores[REFERENCIA],TablaSeleccionSupervisores[#Headers])))</f>
        <v>17500</v>
      </c>
      <c r="AB107" s="28" cm="1">
        <f t="array" ref="AB107">SUM(TablaSupervisores[COSTE]*INDEX(TablaSeleccionSupervisores[],ROW(TablaSeleccionSupervisores[[#This Row],[ORDEN]])-1,_xlfn.XMATCH(TablaSupervisores[REFERENCIA],TablaSeleccionSupervisores[#Headers])))</f>
        <v>22790.61</v>
      </c>
      <c r="AC107" cm="1">
        <f t="array" ref="AC107">SUM(INDEX(TablaSeleccionSupervisores[],ROW(TablaSeleccionSupervisores[[#This Row],[ORDEN]])-1,_xlfn.XMATCH(TablaSupervisores[REFERENCIA],TablaSeleccionSupervisores[#Headers])))</f>
        <v>7</v>
      </c>
      <c r="AD107" t="str" cm="1">
        <f t="array" ref="AD107">IF(INDEX(TablaSeleccionSupervisores[],ROW(TablaSeleccionSupervisores[[#This Row],[ORDEN]])-1,_xlfn.XMATCH("ADMITIDO ADSLITE",TablaSeleccionSupervisores[#Headers])+1)=0,"Sí admitido","No admitido")</f>
        <v>Sí admitido</v>
      </c>
      <c r="AE107">
        <v>0</v>
      </c>
      <c r="AF107">
        <v>5</v>
      </c>
      <c r="AG107">
        <v>2</v>
      </c>
      <c r="AH107">
        <v>0</v>
      </c>
    </row>
    <row r="108" spans="22:34" x14ac:dyDescent="0.25">
      <c r="V108">
        <v>107</v>
      </c>
      <c r="W108" cm="1">
        <f t="array" ref="W108">SUM(TablaSupervisores[DISPOSITIVOS TOTAL]*INDEX(TablaSeleccionSupervisores[],ROW(TablaSeleccionSupervisores[[#This Row],[ORDEN]])-1,_xlfn.XMATCH(TablaSupervisores[REFERENCIA],TablaSeleccionSupervisores[#Headers])))</f>
        <v>1470</v>
      </c>
      <c r="X108" cm="1">
        <f t="array" ref="X108">SUM(TablaSupervisores[DISPOSITIVOS BACNET MS/TP JC]*INDEX(TablaSeleccionSupervisores[],ROW(TablaSeleccionSupervisores[[#This Row],[ORDEN]])-1,_xlfn.XMATCH(TablaSupervisores[REFERENCIA],TablaSeleccionSupervisores[#Headers])))</f>
        <v>800</v>
      </c>
      <c r="Y108" cm="1">
        <f t="array" ref="Y108">SUM(TablaSupervisores[DISPOSITIVOS BACNET MS/TP COMPATIBLES]*INDEX(TablaSeleccionSupervisores[],ROW(TablaSeleccionSupervisores[[#This Row],[ORDEN]])-1,_xlfn.XMATCH(TablaSupervisores[REFERENCIA],TablaSeleccionSupervisores[#Headers])))</f>
        <v>512</v>
      </c>
      <c r="Z108" cm="1">
        <f t="array" ref="Z108">SUM(TablaSupervisores[DISPOSITIVOS BACNET IP]*INDEX(TablaSeleccionSupervisores[],ROW(TablaSeleccionSupervisores[[#This Row],[ORDEN]])-1,_xlfn.XMATCH(TablaSupervisores[REFERENCIA],TablaSeleccionSupervisores[#Headers])))</f>
        <v>1600</v>
      </c>
      <c r="AA108" cm="1">
        <f t="array" ref="AA108">SUM(TablaSupervisores[OBJETOS]*INDEX(TablaSeleccionSupervisores[],ROW(TablaSeleccionSupervisores[[#This Row],[ORDEN]])-1,_xlfn.XMATCH(TablaSupervisores[REFERENCIA],TablaSeleccionSupervisores[#Headers])))</f>
        <v>22500</v>
      </c>
      <c r="AB108" s="28" cm="1">
        <f t="array" ref="AB108">SUM(TablaSupervisores[COSTE]*INDEX(TablaSeleccionSupervisores[],ROW(TablaSeleccionSupervisores[[#This Row],[ORDEN]])-1,_xlfn.XMATCH(TablaSupervisores[REFERENCIA],TablaSeleccionSupervisores[#Headers])))</f>
        <v>28457.24</v>
      </c>
      <c r="AC108" cm="1">
        <f t="array" ref="AC108">SUM(INDEX(TablaSeleccionSupervisores[],ROW(TablaSeleccionSupervisores[[#This Row],[ORDEN]])-1,_xlfn.XMATCH(TablaSupervisores[REFERENCIA],TablaSeleccionSupervisores[#Headers])))</f>
        <v>8</v>
      </c>
      <c r="AD108" t="str" cm="1">
        <f t="array" ref="AD108">IF(INDEX(TablaSeleccionSupervisores[],ROW(TablaSeleccionSupervisores[[#This Row],[ORDEN]])-1,_xlfn.XMATCH("ADMITIDO ADSLITE",TablaSeleccionSupervisores[#Headers])+1)=0,"Sí admitido","No admitido")</f>
        <v>No admitido</v>
      </c>
      <c r="AE108">
        <v>1</v>
      </c>
      <c r="AF108">
        <v>5</v>
      </c>
      <c r="AG108">
        <v>2</v>
      </c>
      <c r="AH108">
        <v>0</v>
      </c>
    </row>
    <row r="109" spans="22:34" x14ac:dyDescent="0.25">
      <c r="V109">
        <v>108</v>
      </c>
      <c r="W109" cm="1">
        <f t="array" ref="W109">SUM(TablaSupervisores[DISPOSITIVOS TOTAL]*INDEX(TablaSeleccionSupervisores[],ROW(TablaSeleccionSupervisores[[#This Row],[ORDEN]])-1,_xlfn.XMATCH(TablaSupervisores[REFERENCIA],TablaSeleccionSupervisores[#Headers])))</f>
        <v>1020</v>
      </c>
      <c r="X109" cm="1">
        <f t="array" ref="X109">SUM(TablaSupervisores[DISPOSITIVOS BACNET MS/TP JC]*INDEX(TablaSeleccionSupervisores[],ROW(TablaSeleccionSupervisores[[#This Row],[ORDEN]])-1,_xlfn.XMATCH(TablaSupervisores[REFERENCIA],TablaSeleccionSupervisores[#Headers])))</f>
        <v>700</v>
      </c>
      <c r="Y109" cm="1">
        <f t="array" ref="Y109">SUM(TablaSupervisores[DISPOSITIVOS BACNET MS/TP COMPATIBLES]*INDEX(TablaSeleccionSupervisores[],ROW(TablaSeleccionSupervisores[[#This Row],[ORDEN]])-1,_xlfn.XMATCH(TablaSupervisores[REFERENCIA],TablaSeleccionSupervisores[#Headers])))</f>
        <v>448</v>
      </c>
      <c r="Z109" cm="1">
        <f t="array" ref="Z109">SUM(TablaSupervisores[DISPOSITIVOS BACNET IP]*INDEX(TablaSeleccionSupervisores[],ROW(TablaSeleccionSupervisores[[#This Row],[ORDEN]])-1,_xlfn.XMATCH(TablaSupervisores[REFERENCIA],TablaSeleccionSupervisores[#Headers])))</f>
        <v>1400</v>
      </c>
      <c r="AA109" cm="1">
        <f t="array" ref="AA109">SUM(TablaSupervisores[OBJETOS]*INDEX(TablaSeleccionSupervisores[],ROW(TablaSeleccionSupervisores[[#This Row],[ORDEN]])-1,_xlfn.XMATCH(TablaSupervisores[REFERENCIA],TablaSeleccionSupervisores[#Headers])))</f>
        <v>20000</v>
      </c>
      <c r="AB109" s="28" cm="1">
        <f t="array" ref="AB109">SUM(TablaSupervisores[COSTE]*INDEX(TablaSeleccionSupervisores[],ROW(TablaSeleccionSupervisores[[#This Row],[ORDEN]])-1,_xlfn.XMATCH(TablaSupervisores[REFERENCIA],TablaSeleccionSupervisores[#Headers])))</f>
        <v>26779.34</v>
      </c>
      <c r="AC109" cm="1">
        <f t="array" ref="AC109">SUM(INDEX(TablaSeleccionSupervisores[],ROW(TablaSeleccionSupervisores[[#This Row],[ORDEN]])-1,_xlfn.XMATCH(TablaSupervisores[REFERENCIA],TablaSeleccionSupervisores[#Headers])))</f>
        <v>8</v>
      </c>
      <c r="AD109" t="str" cm="1">
        <f t="array" ref="AD109">IF(INDEX(TablaSeleccionSupervisores[],ROW(TablaSeleccionSupervisores[[#This Row],[ORDEN]])-1,_xlfn.XMATCH("ADMITIDO ADSLITE",TablaSeleccionSupervisores[#Headers])+1)=0,"Sí admitido","No admitido")</f>
        <v>Sí admitido</v>
      </c>
      <c r="AE109">
        <v>0</v>
      </c>
      <c r="AF109">
        <v>6</v>
      </c>
      <c r="AG109">
        <v>2</v>
      </c>
      <c r="AH109">
        <v>0</v>
      </c>
    </row>
    <row r="110" spans="22:34" x14ac:dyDescent="0.25">
      <c r="V110">
        <v>109</v>
      </c>
      <c r="W110" cm="1">
        <f t="array" ref="W110">SUM(TablaSupervisores[DISPOSITIVOS TOTAL]*INDEX(TablaSeleccionSupervisores[],ROW(TablaSeleccionSupervisores[[#This Row],[ORDEN]])-1,_xlfn.XMATCH(TablaSupervisores[REFERENCIA],TablaSeleccionSupervisores[#Headers])))</f>
        <v>180</v>
      </c>
      <c r="X110" cm="1">
        <f t="array" ref="X110">SUM(TablaSupervisores[DISPOSITIVOS BACNET MS/TP JC]*INDEX(TablaSeleccionSupervisores[],ROW(TablaSeleccionSupervisores[[#This Row],[ORDEN]])-1,_xlfn.XMATCH(TablaSupervisores[REFERENCIA],TablaSeleccionSupervisores[#Headers])))</f>
        <v>150</v>
      </c>
      <c r="Y110" cm="1">
        <f t="array" ref="Y110">SUM(TablaSupervisores[DISPOSITIVOS BACNET MS/TP COMPATIBLES]*INDEX(TablaSeleccionSupervisores[],ROW(TablaSeleccionSupervisores[[#This Row],[ORDEN]])-1,_xlfn.XMATCH(TablaSupervisores[REFERENCIA],TablaSeleccionSupervisores[#Headers])))</f>
        <v>96</v>
      </c>
      <c r="Z110" cm="1">
        <f t="array" ref="Z110">SUM(TablaSupervisores[DISPOSITIVOS BACNET IP]*INDEX(TablaSeleccionSupervisores[],ROW(TablaSeleccionSupervisores[[#This Row],[ORDEN]])-1,_xlfn.XMATCH(TablaSupervisores[REFERENCIA],TablaSeleccionSupervisores[#Headers])))</f>
        <v>300</v>
      </c>
      <c r="AA110" cm="1">
        <f t="array" ref="AA110">SUM(TablaSupervisores[OBJETOS]*INDEX(TablaSeleccionSupervisores[],ROW(TablaSeleccionSupervisores[[#This Row],[ORDEN]])-1,_xlfn.XMATCH(TablaSupervisores[REFERENCIA],TablaSeleccionSupervisores[#Headers])))</f>
        <v>7500</v>
      </c>
      <c r="AB110" s="28" cm="1">
        <f t="array" ref="AB110">SUM(TablaSupervisores[COSTE]*INDEX(TablaSeleccionSupervisores[],ROW(TablaSeleccionSupervisores[[#This Row],[ORDEN]])-1,_xlfn.XMATCH(TablaSupervisores[REFERENCIA],TablaSeleccionSupervisores[#Headers])))</f>
        <v>4270.4400000000005</v>
      </c>
      <c r="AC110" cm="1">
        <f t="array" ref="AC110">SUM(INDEX(TablaSeleccionSupervisores[],ROW(TablaSeleccionSupervisores[[#This Row],[ORDEN]])-1,_xlfn.XMATCH(TablaSupervisores[REFERENCIA],TablaSeleccionSupervisores[#Headers])))</f>
        <v>3</v>
      </c>
      <c r="AD110" t="str" cm="1">
        <f t="array" ref="AD110">IF(INDEX(TablaSeleccionSupervisores[],ROW(TablaSeleccionSupervisores[[#This Row],[ORDEN]])-1,_xlfn.XMATCH("ADMITIDO ADSLITE",TablaSeleccionSupervisores[#Headers])+1)=0,"Sí admitido","No admitido")</f>
        <v>Sí admitido</v>
      </c>
      <c r="AE110">
        <v>0</v>
      </c>
      <c r="AF110">
        <v>0</v>
      </c>
      <c r="AG110">
        <v>3</v>
      </c>
      <c r="AH110">
        <v>0</v>
      </c>
    </row>
    <row r="111" spans="22:34" x14ac:dyDescent="0.25">
      <c r="V111">
        <v>110</v>
      </c>
      <c r="W111" cm="1">
        <f t="array" ref="W111">SUM(TablaSupervisores[DISPOSITIVOS TOTAL]*INDEX(TablaSeleccionSupervisores[],ROW(TablaSeleccionSupervisores[[#This Row],[ORDEN]])-1,_xlfn.XMATCH(TablaSupervisores[REFERENCIA],TablaSeleccionSupervisores[#Headers])))</f>
        <v>780</v>
      </c>
      <c r="X111" cm="1">
        <f t="array" ref="X111">SUM(TablaSupervisores[DISPOSITIVOS BACNET MS/TP JC]*INDEX(TablaSeleccionSupervisores[],ROW(TablaSeleccionSupervisores[[#This Row],[ORDEN]])-1,_xlfn.XMATCH(TablaSupervisores[REFERENCIA],TablaSeleccionSupervisores[#Headers])))</f>
        <v>350</v>
      </c>
      <c r="Y111" cm="1">
        <f t="array" ref="Y111">SUM(TablaSupervisores[DISPOSITIVOS BACNET MS/TP COMPATIBLES]*INDEX(TablaSeleccionSupervisores[],ROW(TablaSeleccionSupervisores[[#This Row],[ORDEN]])-1,_xlfn.XMATCH(TablaSupervisores[REFERENCIA],TablaSeleccionSupervisores[#Headers])))</f>
        <v>224</v>
      </c>
      <c r="Z111" cm="1">
        <f t="array" ref="Z111">SUM(TablaSupervisores[DISPOSITIVOS BACNET IP]*INDEX(TablaSeleccionSupervisores[],ROW(TablaSeleccionSupervisores[[#This Row],[ORDEN]])-1,_xlfn.XMATCH(TablaSupervisores[REFERENCIA],TablaSeleccionSupervisores[#Headers])))</f>
        <v>700</v>
      </c>
      <c r="AA111" cm="1">
        <f t="array" ref="AA111">SUM(TablaSupervisores[OBJETOS]*INDEX(TablaSeleccionSupervisores[],ROW(TablaSeleccionSupervisores[[#This Row],[ORDEN]])-1,_xlfn.XMATCH(TablaSupervisores[REFERENCIA],TablaSeleccionSupervisores[#Headers])))</f>
        <v>12500</v>
      </c>
      <c r="AB111" s="28" cm="1">
        <f t="array" ref="AB111">SUM(TablaSupervisores[COSTE]*INDEX(TablaSeleccionSupervisores[],ROW(TablaSeleccionSupervisores[[#This Row],[ORDEN]])-1,_xlfn.XMATCH(TablaSupervisores[REFERENCIA],TablaSeleccionSupervisores[#Headers])))</f>
        <v>9937.07</v>
      </c>
      <c r="AC111" cm="1">
        <f t="array" ref="AC111">SUM(INDEX(TablaSeleccionSupervisores[],ROW(TablaSeleccionSupervisores[[#This Row],[ORDEN]])-1,_xlfn.XMATCH(TablaSupervisores[REFERENCIA],TablaSeleccionSupervisores[#Headers])))</f>
        <v>4</v>
      </c>
      <c r="AD111" t="str" cm="1">
        <f t="array" ref="AD111">IF(INDEX(TablaSeleccionSupervisores[],ROW(TablaSeleccionSupervisores[[#This Row],[ORDEN]])-1,_xlfn.XMATCH("ADMITIDO ADSLITE",TablaSeleccionSupervisores[#Headers])+1)=0,"Sí admitido","No admitido")</f>
        <v>No admitido</v>
      </c>
      <c r="AE111">
        <v>1</v>
      </c>
      <c r="AF111">
        <v>0</v>
      </c>
      <c r="AG111">
        <v>3</v>
      </c>
      <c r="AH111">
        <v>0</v>
      </c>
    </row>
    <row r="112" spans="22:34" x14ac:dyDescent="0.25">
      <c r="V112">
        <v>111</v>
      </c>
      <c r="W112" cm="1">
        <f t="array" ref="W112">SUM(TablaSupervisores[DISPOSITIVOS TOTAL]*INDEX(TablaSeleccionSupervisores[],ROW(TablaSeleccionSupervisores[[#This Row],[ORDEN]])-1,_xlfn.XMATCH(TablaSupervisores[REFERENCIA],TablaSeleccionSupervisores[#Headers])))</f>
        <v>1380</v>
      </c>
      <c r="X112" cm="1">
        <f t="array" ref="X112">SUM(TablaSupervisores[DISPOSITIVOS BACNET MS/TP JC]*INDEX(TablaSeleccionSupervisores[],ROW(TablaSeleccionSupervisores[[#This Row],[ORDEN]])-1,_xlfn.XMATCH(TablaSupervisores[REFERENCIA],TablaSeleccionSupervisores[#Headers])))</f>
        <v>550</v>
      </c>
      <c r="Y112" cm="1">
        <f t="array" ref="Y112">SUM(TablaSupervisores[DISPOSITIVOS BACNET MS/TP COMPATIBLES]*INDEX(TablaSeleccionSupervisores[],ROW(TablaSeleccionSupervisores[[#This Row],[ORDEN]])-1,_xlfn.XMATCH(TablaSupervisores[REFERENCIA],TablaSeleccionSupervisores[#Headers])))</f>
        <v>352</v>
      </c>
      <c r="Z112" cm="1">
        <f t="array" ref="Z112">SUM(TablaSupervisores[DISPOSITIVOS BACNET IP]*INDEX(TablaSeleccionSupervisores[],ROW(TablaSeleccionSupervisores[[#This Row],[ORDEN]])-1,_xlfn.XMATCH(TablaSupervisores[REFERENCIA],TablaSeleccionSupervisores[#Headers])))</f>
        <v>1100</v>
      </c>
      <c r="AA112" cm="1">
        <f t="array" ref="AA112">SUM(TablaSupervisores[OBJETOS]*INDEX(TablaSeleccionSupervisores[],ROW(TablaSeleccionSupervisores[[#This Row],[ORDEN]])-1,_xlfn.XMATCH(TablaSupervisores[REFERENCIA],TablaSeleccionSupervisores[#Headers])))</f>
        <v>17500</v>
      </c>
      <c r="AB112" s="28" cm="1">
        <f t="array" ref="AB112">SUM(TablaSupervisores[COSTE]*INDEX(TablaSeleccionSupervisores[],ROW(TablaSeleccionSupervisores[[#This Row],[ORDEN]])-1,_xlfn.XMATCH(TablaSupervisores[REFERENCIA],TablaSeleccionSupervisores[#Headers])))</f>
        <v>15603.7</v>
      </c>
      <c r="AC112" cm="1">
        <f t="array" ref="AC112">SUM(INDEX(TablaSeleccionSupervisores[],ROW(TablaSeleccionSupervisores[[#This Row],[ORDEN]])-1,_xlfn.XMATCH(TablaSupervisores[REFERENCIA],TablaSeleccionSupervisores[#Headers])))</f>
        <v>5</v>
      </c>
      <c r="AD112" t="str" cm="1">
        <f t="array" ref="AD112">IF(INDEX(TablaSeleccionSupervisores[],ROW(TablaSeleccionSupervisores[[#This Row],[ORDEN]])-1,_xlfn.XMATCH("ADMITIDO ADSLITE",TablaSeleccionSupervisores[#Headers])+1)=0,"Sí admitido","No admitido")</f>
        <v>No admitido</v>
      </c>
      <c r="AE112">
        <v>2</v>
      </c>
      <c r="AF112">
        <v>0</v>
      </c>
      <c r="AG112">
        <v>3</v>
      </c>
      <c r="AH112">
        <v>0</v>
      </c>
    </row>
    <row r="113" spans="22:34" x14ac:dyDescent="0.25">
      <c r="V113">
        <v>112</v>
      </c>
      <c r="W113" cm="1">
        <f t="array" ref="W113">SUM(TablaSupervisores[DISPOSITIVOS TOTAL]*INDEX(TablaSeleccionSupervisores[],ROW(TablaSeleccionSupervisores[[#This Row],[ORDEN]])-1,_xlfn.XMATCH(TablaSupervisores[REFERENCIA],TablaSeleccionSupervisores[#Headers])))</f>
        <v>1980</v>
      </c>
      <c r="X113" cm="1">
        <f t="array" ref="X113">SUM(TablaSupervisores[DISPOSITIVOS BACNET MS/TP JC]*INDEX(TablaSeleccionSupervisores[],ROW(TablaSeleccionSupervisores[[#This Row],[ORDEN]])-1,_xlfn.XMATCH(TablaSupervisores[REFERENCIA],TablaSeleccionSupervisores[#Headers])))</f>
        <v>750</v>
      </c>
      <c r="Y113" cm="1">
        <f t="array" ref="Y113">SUM(TablaSupervisores[DISPOSITIVOS BACNET MS/TP COMPATIBLES]*INDEX(TablaSeleccionSupervisores[],ROW(TablaSeleccionSupervisores[[#This Row],[ORDEN]])-1,_xlfn.XMATCH(TablaSupervisores[REFERENCIA],TablaSeleccionSupervisores[#Headers])))</f>
        <v>480</v>
      </c>
      <c r="Z113" cm="1">
        <f t="array" ref="Z113">SUM(TablaSupervisores[DISPOSITIVOS BACNET IP]*INDEX(TablaSeleccionSupervisores[],ROW(TablaSeleccionSupervisores[[#This Row],[ORDEN]])-1,_xlfn.XMATCH(TablaSupervisores[REFERENCIA],TablaSeleccionSupervisores[#Headers])))</f>
        <v>1500</v>
      </c>
      <c r="AA113" cm="1">
        <f t="array" ref="AA113">SUM(TablaSupervisores[OBJETOS]*INDEX(TablaSeleccionSupervisores[],ROW(TablaSeleccionSupervisores[[#This Row],[ORDEN]])-1,_xlfn.XMATCH(TablaSupervisores[REFERENCIA],TablaSeleccionSupervisores[#Headers])))</f>
        <v>22500</v>
      </c>
      <c r="AB113" s="28" cm="1">
        <f t="array" ref="AB113">SUM(TablaSupervisores[COSTE]*INDEX(TablaSeleccionSupervisores[],ROW(TablaSeleccionSupervisores[[#This Row],[ORDEN]])-1,_xlfn.XMATCH(TablaSupervisores[REFERENCIA],TablaSeleccionSupervisores[#Headers])))</f>
        <v>21270.33</v>
      </c>
      <c r="AC113" cm="1">
        <f t="array" ref="AC113">SUM(INDEX(TablaSeleccionSupervisores[],ROW(TablaSeleccionSupervisores[[#This Row],[ORDEN]])-1,_xlfn.XMATCH(TablaSupervisores[REFERENCIA],TablaSeleccionSupervisores[#Headers])))</f>
        <v>6</v>
      </c>
      <c r="AD113" t="str" cm="1">
        <f t="array" ref="AD113">IF(INDEX(TablaSeleccionSupervisores[],ROW(TablaSeleccionSupervisores[[#This Row],[ORDEN]])-1,_xlfn.XMATCH("ADMITIDO ADSLITE",TablaSeleccionSupervisores[#Headers])+1)=0,"Sí admitido","No admitido")</f>
        <v>No admitido</v>
      </c>
      <c r="AE113">
        <v>3</v>
      </c>
      <c r="AF113">
        <v>0</v>
      </c>
      <c r="AG113">
        <v>3</v>
      </c>
      <c r="AH113">
        <v>0</v>
      </c>
    </row>
    <row r="114" spans="22:34" x14ac:dyDescent="0.25">
      <c r="V114">
        <v>113</v>
      </c>
      <c r="W114" cm="1">
        <f t="array" ref="W114">SUM(TablaSupervisores[DISPOSITIVOS TOTAL]*INDEX(TablaSeleccionSupervisores[],ROW(TablaSeleccionSupervisores[[#This Row],[ORDEN]])-1,_xlfn.XMATCH(TablaSupervisores[REFERENCIA],TablaSeleccionSupervisores[#Headers])))</f>
        <v>2580</v>
      </c>
      <c r="X114" cm="1">
        <f t="array" ref="X114">SUM(TablaSupervisores[DISPOSITIVOS BACNET MS/TP JC]*INDEX(TablaSeleccionSupervisores[],ROW(TablaSeleccionSupervisores[[#This Row],[ORDEN]])-1,_xlfn.XMATCH(TablaSupervisores[REFERENCIA],TablaSeleccionSupervisores[#Headers])))</f>
        <v>950</v>
      </c>
      <c r="Y114" cm="1">
        <f t="array" ref="Y114">SUM(TablaSupervisores[DISPOSITIVOS BACNET MS/TP COMPATIBLES]*INDEX(TablaSeleccionSupervisores[],ROW(TablaSeleccionSupervisores[[#This Row],[ORDEN]])-1,_xlfn.XMATCH(TablaSupervisores[REFERENCIA],TablaSeleccionSupervisores[#Headers])))</f>
        <v>608</v>
      </c>
      <c r="Z114" cm="1">
        <f t="array" ref="Z114">SUM(TablaSupervisores[DISPOSITIVOS BACNET IP]*INDEX(TablaSeleccionSupervisores[],ROW(TablaSeleccionSupervisores[[#This Row],[ORDEN]])-1,_xlfn.XMATCH(TablaSupervisores[REFERENCIA],TablaSeleccionSupervisores[#Headers])))</f>
        <v>1900</v>
      </c>
      <c r="AA114" cm="1">
        <f t="array" ref="AA114">SUM(TablaSupervisores[OBJETOS]*INDEX(TablaSeleccionSupervisores[],ROW(TablaSeleccionSupervisores[[#This Row],[ORDEN]])-1,_xlfn.XMATCH(TablaSupervisores[REFERENCIA],TablaSeleccionSupervisores[#Headers])))</f>
        <v>27500</v>
      </c>
      <c r="AB114" s="28" cm="1">
        <f t="array" ref="AB114">SUM(TablaSupervisores[COSTE]*INDEX(TablaSeleccionSupervisores[],ROW(TablaSeleccionSupervisores[[#This Row],[ORDEN]])-1,_xlfn.XMATCH(TablaSupervisores[REFERENCIA],TablaSeleccionSupervisores[#Headers])))</f>
        <v>26936.959999999999</v>
      </c>
      <c r="AC114" cm="1">
        <f t="array" ref="AC114">SUM(INDEX(TablaSeleccionSupervisores[],ROW(TablaSeleccionSupervisores[[#This Row],[ORDEN]])-1,_xlfn.XMATCH(TablaSupervisores[REFERENCIA],TablaSeleccionSupervisores[#Headers])))</f>
        <v>7</v>
      </c>
      <c r="AD114" t="str" cm="1">
        <f t="array" ref="AD114">IF(INDEX(TablaSeleccionSupervisores[],ROW(TablaSeleccionSupervisores[[#This Row],[ORDEN]])-1,_xlfn.XMATCH("ADMITIDO ADSLITE",TablaSeleccionSupervisores[#Headers])+1)=0,"Sí admitido","No admitido")</f>
        <v>No admitido</v>
      </c>
      <c r="AE114">
        <v>4</v>
      </c>
      <c r="AF114">
        <v>0</v>
      </c>
      <c r="AG114">
        <v>3</v>
      </c>
      <c r="AH114">
        <v>0</v>
      </c>
    </row>
    <row r="115" spans="22:34" x14ac:dyDescent="0.25">
      <c r="V115">
        <v>114</v>
      </c>
      <c r="W115" cm="1">
        <f t="array" ref="W115">SUM(TablaSupervisores[DISPOSITIVOS TOTAL]*INDEX(TablaSeleccionSupervisores[],ROW(TablaSeleccionSupervisores[[#This Row],[ORDEN]])-1,_xlfn.XMATCH(TablaSupervisores[REFERENCIA],TablaSeleccionSupervisores[#Headers])))</f>
        <v>3180</v>
      </c>
      <c r="X115" cm="1">
        <f t="array" ref="X115">SUM(TablaSupervisores[DISPOSITIVOS BACNET MS/TP JC]*INDEX(TablaSeleccionSupervisores[],ROW(TablaSeleccionSupervisores[[#This Row],[ORDEN]])-1,_xlfn.XMATCH(TablaSupervisores[REFERENCIA],TablaSeleccionSupervisores[#Headers])))</f>
        <v>1150</v>
      </c>
      <c r="Y115" cm="1">
        <f t="array" ref="Y115">SUM(TablaSupervisores[DISPOSITIVOS BACNET MS/TP COMPATIBLES]*INDEX(TablaSeleccionSupervisores[],ROW(TablaSeleccionSupervisores[[#This Row],[ORDEN]])-1,_xlfn.XMATCH(TablaSupervisores[REFERENCIA],TablaSeleccionSupervisores[#Headers])))</f>
        <v>736</v>
      </c>
      <c r="Z115" cm="1">
        <f t="array" ref="Z115">SUM(TablaSupervisores[DISPOSITIVOS BACNET IP]*INDEX(TablaSeleccionSupervisores[],ROW(TablaSeleccionSupervisores[[#This Row],[ORDEN]])-1,_xlfn.XMATCH(TablaSupervisores[REFERENCIA],TablaSeleccionSupervisores[#Headers])))</f>
        <v>2300</v>
      </c>
      <c r="AA115" cm="1">
        <f t="array" ref="AA115">SUM(TablaSupervisores[OBJETOS]*INDEX(TablaSeleccionSupervisores[],ROW(TablaSeleccionSupervisores[[#This Row],[ORDEN]])-1,_xlfn.XMATCH(TablaSupervisores[REFERENCIA],TablaSeleccionSupervisores[#Headers])))</f>
        <v>32500</v>
      </c>
      <c r="AB115" s="28" cm="1">
        <f t="array" ref="AB115">SUM(TablaSupervisores[COSTE]*INDEX(TablaSeleccionSupervisores[],ROW(TablaSeleccionSupervisores[[#This Row],[ORDEN]])-1,_xlfn.XMATCH(TablaSupervisores[REFERENCIA],TablaSeleccionSupervisores[#Headers])))</f>
        <v>32603.590000000004</v>
      </c>
      <c r="AC115" cm="1">
        <f t="array" ref="AC115">SUM(INDEX(TablaSeleccionSupervisores[],ROW(TablaSeleccionSupervisores[[#This Row],[ORDEN]])-1,_xlfn.XMATCH(TablaSupervisores[REFERENCIA],TablaSeleccionSupervisores[#Headers])))</f>
        <v>8</v>
      </c>
      <c r="AD115" t="str" cm="1">
        <f t="array" ref="AD115">IF(INDEX(TablaSeleccionSupervisores[],ROW(TablaSeleccionSupervisores[[#This Row],[ORDEN]])-1,_xlfn.XMATCH("ADMITIDO ADSLITE",TablaSeleccionSupervisores[#Headers])+1)=0,"Sí admitido","No admitido")</f>
        <v>No admitido</v>
      </c>
      <c r="AE115">
        <v>5</v>
      </c>
      <c r="AF115">
        <v>0</v>
      </c>
      <c r="AG115">
        <v>3</v>
      </c>
      <c r="AH115">
        <v>0</v>
      </c>
    </row>
    <row r="116" spans="22:34" x14ac:dyDescent="0.25">
      <c r="V116">
        <v>115</v>
      </c>
      <c r="W116" cm="1">
        <f t="array" ref="W116">SUM(TablaSupervisores[DISPOSITIVOS TOTAL]*INDEX(TablaSeleccionSupervisores[],ROW(TablaSeleccionSupervisores[[#This Row],[ORDEN]])-1,_xlfn.XMATCH(TablaSupervisores[REFERENCIA],TablaSeleccionSupervisores[#Headers])))</f>
        <v>330</v>
      </c>
      <c r="X116" cm="1">
        <f t="array" ref="X116">SUM(TablaSupervisores[DISPOSITIVOS BACNET MS/TP JC]*INDEX(TablaSeleccionSupervisores[],ROW(TablaSeleccionSupervisores[[#This Row],[ORDEN]])-1,_xlfn.XMATCH(TablaSupervisores[REFERENCIA],TablaSeleccionSupervisores[#Headers])))</f>
        <v>250</v>
      </c>
      <c r="Y116" cm="1">
        <f t="array" ref="Y116">SUM(TablaSupervisores[DISPOSITIVOS BACNET MS/TP COMPATIBLES]*INDEX(TablaSeleccionSupervisores[],ROW(TablaSeleccionSupervisores[[#This Row],[ORDEN]])-1,_xlfn.XMATCH(TablaSupervisores[REFERENCIA],TablaSeleccionSupervisores[#Headers])))</f>
        <v>160</v>
      </c>
      <c r="Z116" cm="1">
        <f t="array" ref="Z116">SUM(TablaSupervisores[DISPOSITIVOS BACNET IP]*INDEX(TablaSeleccionSupervisores[],ROW(TablaSeleccionSupervisores[[#This Row],[ORDEN]])-1,_xlfn.XMATCH(TablaSupervisores[REFERENCIA],TablaSeleccionSupervisores[#Headers])))</f>
        <v>500</v>
      </c>
      <c r="AA116" cm="1">
        <f t="array" ref="AA116">SUM(TablaSupervisores[OBJETOS]*INDEX(TablaSeleccionSupervisores[],ROW(TablaSeleccionSupervisores[[#This Row],[ORDEN]])-1,_xlfn.XMATCH(TablaSupervisores[REFERENCIA],TablaSeleccionSupervisores[#Headers])))</f>
        <v>10000</v>
      </c>
      <c r="AB116" s="28" cm="1">
        <f t="array" ref="AB116">SUM(TablaSupervisores[COSTE]*INDEX(TablaSeleccionSupervisores[],ROW(TablaSeleccionSupervisores[[#This Row],[ORDEN]])-1,_xlfn.XMATCH(TablaSupervisores[REFERENCIA],TablaSeleccionSupervisores[#Headers])))</f>
        <v>8259.17</v>
      </c>
      <c r="AC116" cm="1">
        <f t="array" ref="AC116">SUM(INDEX(TablaSeleccionSupervisores[],ROW(TablaSeleccionSupervisores[[#This Row],[ORDEN]])-1,_xlfn.XMATCH(TablaSupervisores[REFERENCIA],TablaSeleccionSupervisores[#Headers])))</f>
        <v>4</v>
      </c>
      <c r="AD116" t="str" cm="1">
        <f t="array" ref="AD116">IF(INDEX(TablaSeleccionSupervisores[],ROW(TablaSeleccionSupervisores[[#This Row],[ORDEN]])-1,_xlfn.XMATCH("ADMITIDO ADSLITE",TablaSeleccionSupervisores[#Headers])+1)=0,"Sí admitido","No admitido")</f>
        <v>Sí admitido</v>
      </c>
      <c r="AE116">
        <v>0</v>
      </c>
      <c r="AF116">
        <v>1</v>
      </c>
      <c r="AG116">
        <v>3</v>
      </c>
      <c r="AH116">
        <v>0</v>
      </c>
    </row>
    <row r="117" spans="22:34" x14ac:dyDescent="0.25">
      <c r="V117">
        <v>116</v>
      </c>
      <c r="W117" cm="1">
        <f t="array" ref="W117">SUM(TablaSupervisores[DISPOSITIVOS TOTAL]*INDEX(TablaSeleccionSupervisores[],ROW(TablaSeleccionSupervisores[[#This Row],[ORDEN]])-1,_xlfn.XMATCH(TablaSupervisores[REFERENCIA],TablaSeleccionSupervisores[#Headers])))</f>
        <v>930</v>
      </c>
      <c r="X117" cm="1">
        <f t="array" ref="X117">SUM(TablaSupervisores[DISPOSITIVOS BACNET MS/TP JC]*INDEX(TablaSeleccionSupervisores[],ROW(TablaSeleccionSupervisores[[#This Row],[ORDEN]])-1,_xlfn.XMATCH(TablaSupervisores[REFERENCIA],TablaSeleccionSupervisores[#Headers])))</f>
        <v>450</v>
      </c>
      <c r="Y117" cm="1">
        <f t="array" ref="Y117">SUM(TablaSupervisores[DISPOSITIVOS BACNET MS/TP COMPATIBLES]*INDEX(TablaSeleccionSupervisores[],ROW(TablaSeleccionSupervisores[[#This Row],[ORDEN]])-1,_xlfn.XMATCH(TablaSupervisores[REFERENCIA],TablaSeleccionSupervisores[#Headers])))</f>
        <v>288</v>
      </c>
      <c r="Z117" cm="1">
        <f t="array" ref="Z117">SUM(TablaSupervisores[DISPOSITIVOS BACNET IP]*INDEX(TablaSeleccionSupervisores[],ROW(TablaSeleccionSupervisores[[#This Row],[ORDEN]])-1,_xlfn.XMATCH(TablaSupervisores[REFERENCIA],TablaSeleccionSupervisores[#Headers])))</f>
        <v>900</v>
      </c>
      <c r="AA117" cm="1">
        <f t="array" ref="AA117">SUM(TablaSupervisores[OBJETOS]*INDEX(TablaSeleccionSupervisores[],ROW(TablaSeleccionSupervisores[[#This Row],[ORDEN]])-1,_xlfn.XMATCH(TablaSupervisores[REFERENCIA],TablaSeleccionSupervisores[#Headers])))</f>
        <v>15000</v>
      </c>
      <c r="AB117" s="28" cm="1">
        <f t="array" ref="AB117">SUM(TablaSupervisores[COSTE]*INDEX(TablaSeleccionSupervisores[],ROW(TablaSeleccionSupervisores[[#This Row],[ORDEN]])-1,_xlfn.XMATCH(TablaSupervisores[REFERENCIA],TablaSeleccionSupervisores[#Headers])))</f>
        <v>13925.800000000001</v>
      </c>
      <c r="AC117" cm="1">
        <f t="array" ref="AC117">SUM(INDEX(TablaSeleccionSupervisores[],ROW(TablaSeleccionSupervisores[[#This Row],[ORDEN]])-1,_xlfn.XMATCH(TablaSupervisores[REFERENCIA],TablaSeleccionSupervisores[#Headers])))</f>
        <v>5</v>
      </c>
      <c r="AD117" t="str" cm="1">
        <f t="array" ref="AD117">IF(INDEX(TablaSeleccionSupervisores[],ROW(TablaSeleccionSupervisores[[#This Row],[ORDEN]])-1,_xlfn.XMATCH("ADMITIDO ADSLITE",TablaSeleccionSupervisores[#Headers])+1)=0,"Sí admitido","No admitido")</f>
        <v>No admitido</v>
      </c>
      <c r="AE117">
        <v>1</v>
      </c>
      <c r="AF117">
        <v>1</v>
      </c>
      <c r="AG117">
        <v>3</v>
      </c>
      <c r="AH117">
        <v>0</v>
      </c>
    </row>
    <row r="118" spans="22:34" x14ac:dyDescent="0.25">
      <c r="V118">
        <v>117</v>
      </c>
      <c r="W118" cm="1">
        <f t="array" ref="W118">SUM(TablaSupervisores[DISPOSITIVOS TOTAL]*INDEX(TablaSeleccionSupervisores[],ROW(TablaSeleccionSupervisores[[#This Row],[ORDEN]])-1,_xlfn.XMATCH(TablaSupervisores[REFERENCIA],TablaSeleccionSupervisores[#Headers])))</f>
        <v>1530</v>
      </c>
      <c r="X118" cm="1">
        <f t="array" ref="X118">SUM(TablaSupervisores[DISPOSITIVOS BACNET MS/TP JC]*INDEX(TablaSeleccionSupervisores[],ROW(TablaSeleccionSupervisores[[#This Row],[ORDEN]])-1,_xlfn.XMATCH(TablaSupervisores[REFERENCIA],TablaSeleccionSupervisores[#Headers])))</f>
        <v>650</v>
      </c>
      <c r="Y118" cm="1">
        <f t="array" ref="Y118">SUM(TablaSupervisores[DISPOSITIVOS BACNET MS/TP COMPATIBLES]*INDEX(TablaSeleccionSupervisores[],ROW(TablaSeleccionSupervisores[[#This Row],[ORDEN]])-1,_xlfn.XMATCH(TablaSupervisores[REFERENCIA],TablaSeleccionSupervisores[#Headers])))</f>
        <v>416</v>
      </c>
      <c r="Z118" cm="1">
        <f t="array" ref="Z118">SUM(TablaSupervisores[DISPOSITIVOS BACNET IP]*INDEX(TablaSeleccionSupervisores[],ROW(TablaSeleccionSupervisores[[#This Row],[ORDEN]])-1,_xlfn.XMATCH(TablaSupervisores[REFERENCIA],TablaSeleccionSupervisores[#Headers])))</f>
        <v>1300</v>
      </c>
      <c r="AA118" cm="1">
        <f t="array" ref="AA118">SUM(TablaSupervisores[OBJETOS]*INDEX(TablaSeleccionSupervisores[],ROW(TablaSeleccionSupervisores[[#This Row],[ORDEN]])-1,_xlfn.XMATCH(TablaSupervisores[REFERENCIA],TablaSeleccionSupervisores[#Headers])))</f>
        <v>20000</v>
      </c>
      <c r="AB118" s="28" cm="1">
        <f t="array" ref="AB118">SUM(TablaSupervisores[COSTE]*INDEX(TablaSeleccionSupervisores[],ROW(TablaSeleccionSupervisores[[#This Row],[ORDEN]])-1,_xlfn.XMATCH(TablaSupervisores[REFERENCIA],TablaSeleccionSupervisores[#Headers])))</f>
        <v>19592.43</v>
      </c>
      <c r="AC118" cm="1">
        <f t="array" ref="AC118">SUM(INDEX(TablaSeleccionSupervisores[],ROW(TablaSeleccionSupervisores[[#This Row],[ORDEN]])-1,_xlfn.XMATCH(TablaSupervisores[REFERENCIA],TablaSeleccionSupervisores[#Headers])))</f>
        <v>6</v>
      </c>
      <c r="AD118" t="str" cm="1">
        <f t="array" ref="AD118">IF(INDEX(TablaSeleccionSupervisores[],ROW(TablaSeleccionSupervisores[[#This Row],[ORDEN]])-1,_xlfn.XMATCH("ADMITIDO ADSLITE",TablaSeleccionSupervisores[#Headers])+1)=0,"Sí admitido","No admitido")</f>
        <v>No admitido</v>
      </c>
      <c r="AE118">
        <v>2</v>
      </c>
      <c r="AF118">
        <v>1</v>
      </c>
      <c r="AG118">
        <v>3</v>
      </c>
      <c r="AH118">
        <v>0</v>
      </c>
    </row>
    <row r="119" spans="22:34" x14ac:dyDescent="0.25">
      <c r="V119">
        <v>118</v>
      </c>
      <c r="W119" cm="1">
        <f t="array" ref="W119">SUM(TablaSupervisores[DISPOSITIVOS TOTAL]*INDEX(TablaSeleccionSupervisores[],ROW(TablaSeleccionSupervisores[[#This Row],[ORDEN]])-1,_xlfn.XMATCH(TablaSupervisores[REFERENCIA],TablaSeleccionSupervisores[#Headers])))</f>
        <v>2130</v>
      </c>
      <c r="X119" cm="1">
        <f t="array" ref="X119">SUM(TablaSupervisores[DISPOSITIVOS BACNET MS/TP JC]*INDEX(TablaSeleccionSupervisores[],ROW(TablaSeleccionSupervisores[[#This Row],[ORDEN]])-1,_xlfn.XMATCH(TablaSupervisores[REFERENCIA],TablaSeleccionSupervisores[#Headers])))</f>
        <v>850</v>
      </c>
      <c r="Y119" cm="1">
        <f t="array" ref="Y119">SUM(TablaSupervisores[DISPOSITIVOS BACNET MS/TP COMPATIBLES]*INDEX(TablaSeleccionSupervisores[],ROW(TablaSeleccionSupervisores[[#This Row],[ORDEN]])-1,_xlfn.XMATCH(TablaSupervisores[REFERENCIA],TablaSeleccionSupervisores[#Headers])))</f>
        <v>544</v>
      </c>
      <c r="Z119" cm="1">
        <f t="array" ref="Z119">SUM(TablaSupervisores[DISPOSITIVOS BACNET IP]*INDEX(TablaSeleccionSupervisores[],ROW(TablaSeleccionSupervisores[[#This Row],[ORDEN]])-1,_xlfn.XMATCH(TablaSupervisores[REFERENCIA],TablaSeleccionSupervisores[#Headers])))</f>
        <v>1700</v>
      </c>
      <c r="AA119" cm="1">
        <f t="array" ref="AA119">SUM(TablaSupervisores[OBJETOS]*INDEX(TablaSeleccionSupervisores[],ROW(TablaSeleccionSupervisores[[#This Row],[ORDEN]])-1,_xlfn.XMATCH(TablaSupervisores[REFERENCIA],TablaSeleccionSupervisores[#Headers])))</f>
        <v>25000</v>
      </c>
      <c r="AB119" s="28" cm="1">
        <f t="array" ref="AB119">SUM(TablaSupervisores[COSTE]*INDEX(TablaSeleccionSupervisores[],ROW(TablaSeleccionSupervisores[[#This Row],[ORDEN]])-1,_xlfn.XMATCH(TablaSupervisores[REFERENCIA],TablaSeleccionSupervisores[#Headers])))</f>
        <v>25259.059999999998</v>
      </c>
      <c r="AC119" cm="1">
        <f t="array" ref="AC119">SUM(INDEX(TablaSeleccionSupervisores[],ROW(TablaSeleccionSupervisores[[#This Row],[ORDEN]])-1,_xlfn.XMATCH(TablaSupervisores[REFERENCIA],TablaSeleccionSupervisores[#Headers])))</f>
        <v>7</v>
      </c>
      <c r="AD119" t="str" cm="1">
        <f t="array" ref="AD119">IF(INDEX(TablaSeleccionSupervisores[],ROW(TablaSeleccionSupervisores[[#This Row],[ORDEN]])-1,_xlfn.XMATCH("ADMITIDO ADSLITE",TablaSeleccionSupervisores[#Headers])+1)=0,"Sí admitido","No admitido")</f>
        <v>No admitido</v>
      </c>
      <c r="AE119">
        <v>3</v>
      </c>
      <c r="AF119">
        <v>1</v>
      </c>
      <c r="AG119">
        <v>3</v>
      </c>
      <c r="AH119">
        <v>0</v>
      </c>
    </row>
    <row r="120" spans="22:34" x14ac:dyDescent="0.25">
      <c r="V120">
        <v>119</v>
      </c>
      <c r="W120" cm="1">
        <f t="array" ref="W120">SUM(TablaSupervisores[DISPOSITIVOS TOTAL]*INDEX(TablaSeleccionSupervisores[],ROW(TablaSeleccionSupervisores[[#This Row],[ORDEN]])-1,_xlfn.XMATCH(TablaSupervisores[REFERENCIA],TablaSeleccionSupervisores[#Headers])))</f>
        <v>2730</v>
      </c>
      <c r="X120" cm="1">
        <f t="array" ref="X120">SUM(TablaSupervisores[DISPOSITIVOS BACNET MS/TP JC]*INDEX(TablaSeleccionSupervisores[],ROW(TablaSeleccionSupervisores[[#This Row],[ORDEN]])-1,_xlfn.XMATCH(TablaSupervisores[REFERENCIA],TablaSeleccionSupervisores[#Headers])))</f>
        <v>1050</v>
      </c>
      <c r="Y120" cm="1">
        <f t="array" ref="Y120">SUM(TablaSupervisores[DISPOSITIVOS BACNET MS/TP COMPATIBLES]*INDEX(TablaSeleccionSupervisores[],ROW(TablaSeleccionSupervisores[[#This Row],[ORDEN]])-1,_xlfn.XMATCH(TablaSupervisores[REFERENCIA],TablaSeleccionSupervisores[#Headers])))</f>
        <v>672</v>
      </c>
      <c r="Z120" cm="1">
        <f t="array" ref="Z120">SUM(TablaSupervisores[DISPOSITIVOS BACNET IP]*INDEX(TablaSeleccionSupervisores[],ROW(TablaSeleccionSupervisores[[#This Row],[ORDEN]])-1,_xlfn.XMATCH(TablaSupervisores[REFERENCIA],TablaSeleccionSupervisores[#Headers])))</f>
        <v>2100</v>
      </c>
      <c r="AA120" cm="1">
        <f t="array" ref="AA120">SUM(TablaSupervisores[OBJETOS]*INDEX(TablaSeleccionSupervisores[],ROW(TablaSeleccionSupervisores[[#This Row],[ORDEN]])-1,_xlfn.XMATCH(TablaSupervisores[REFERENCIA],TablaSeleccionSupervisores[#Headers])))</f>
        <v>30000</v>
      </c>
      <c r="AB120" s="28" cm="1">
        <f t="array" ref="AB120">SUM(TablaSupervisores[COSTE]*INDEX(TablaSeleccionSupervisores[],ROW(TablaSeleccionSupervisores[[#This Row],[ORDEN]])-1,_xlfn.XMATCH(TablaSupervisores[REFERENCIA],TablaSeleccionSupervisores[#Headers])))</f>
        <v>30925.690000000002</v>
      </c>
      <c r="AC120" cm="1">
        <f t="array" ref="AC120">SUM(INDEX(TablaSeleccionSupervisores[],ROW(TablaSeleccionSupervisores[[#This Row],[ORDEN]])-1,_xlfn.XMATCH(TablaSupervisores[REFERENCIA],TablaSeleccionSupervisores[#Headers])))</f>
        <v>8</v>
      </c>
      <c r="AD120" t="str" cm="1">
        <f t="array" ref="AD120">IF(INDEX(TablaSeleccionSupervisores[],ROW(TablaSeleccionSupervisores[[#This Row],[ORDEN]])-1,_xlfn.XMATCH("ADMITIDO ADSLITE",TablaSeleccionSupervisores[#Headers])+1)=0,"Sí admitido","No admitido")</f>
        <v>No admitido</v>
      </c>
      <c r="AE120">
        <v>4</v>
      </c>
      <c r="AF120">
        <v>1</v>
      </c>
      <c r="AG120">
        <v>3</v>
      </c>
      <c r="AH120">
        <v>0</v>
      </c>
    </row>
    <row r="121" spans="22:34" x14ac:dyDescent="0.25">
      <c r="V121">
        <v>120</v>
      </c>
      <c r="W121" cm="1">
        <f t="array" ref="W121">SUM(TablaSupervisores[DISPOSITIVOS TOTAL]*INDEX(TablaSeleccionSupervisores[],ROW(TablaSeleccionSupervisores[[#This Row],[ORDEN]])-1,_xlfn.XMATCH(TablaSupervisores[REFERENCIA],TablaSeleccionSupervisores[#Headers])))</f>
        <v>480</v>
      </c>
      <c r="X121" cm="1">
        <f t="array" ref="X121">SUM(TablaSupervisores[DISPOSITIVOS BACNET MS/TP JC]*INDEX(TablaSeleccionSupervisores[],ROW(TablaSeleccionSupervisores[[#This Row],[ORDEN]])-1,_xlfn.XMATCH(TablaSupervisores[REFERENCIA],TablaSeleccionSupervisores[#Headers])))</f>
        <v>350</v>
      </c>
      <c r="Y121" cm="1">
        <f t="array" ref="Y121">SUM(TablaSupervisores[DISPOSITIVOS BACNET MS/TP COMPATIBLES]*INDEX(TablaSeleccionSupervisores[],ROW(TablaSeleccionSupervisores[[#This Row],[ORDEN]])-1,_xlfn.XMATCH(TablaSupervisores[REFERENCIA],TablaSeleccionSupervisores[#Headers])))</f>
        <v>224</v>
      </c>
      <c r="Z121" cm="1">
        <f t="array" ref="Z121">SUM(TablaSupervisores[DISPOSITIVOS BACNET IP]*INDEX(TablaSeleccionSupervisores[],ROW(TablaSeleccionSupervisores[[#This Row],[ORDEN]])-1,_xlfn.XMATCH(TablaSupervisores[REFERENCIA],TablaSeleccionSupervisores[#Headers])))</f>
        <v>700</v>
      </c>
      <c r="AA121" cm="1">
        <f t="array" ref="AA121">SUM(TablaSupervisores[OBJETOS]*INDEX(TablaSeleccionSupervisores[],ROW(TablaSeleccionSupervisores[[#This Row],[ORDEN]])-1,_xlfn.XMATCH(TablaSupervisores[REFERENCIA],TablaSeleccionSupervisores[#Headers])))</f>
        <v>12500</v>
      </c>
      <c r="AB121" s="28" cm="1">
        <f t="array" ref="AB121">SUM(TablaSupervisores[COSTE]*INDEX(TablaSeleccionSupervisores[],ROW(TablaSeleccionSupervisores[[#This Row],[ORDEN]])-1,_xlfn.XMATCH(TablaSupervisores[REFERENCIA],TablaSeleccionSupervisores[#Headers])))</f>
        <v>12247.900000000001</v>
      </c>
      <c r="AC121" cm="1">
        <f t="array" ref="AC121">SUM(INDEX(TablaSeleccionSupervisores[],ROW(TablaSeleccionSupervisores[[#This Row],[ORDEN]])-1,_xlfn.XMATCH(TablaSupervisores[REFERENCIA],TablaSeleccionSupervisores[#Headers])))</f>
        <v>5</v>
      </c>
      <c r="AD121" t="str" cm="1">
        <f t="array" ref="AD121">IF(INDEX(TablaSeleccionSupervisores[],ROW(TablaSeleccionSupervisores[[#This Row],[ORDEN]])-1,_xlfn.XMATCH("ADMITIDO ADSLITE",TablaSeleccionSupervisores[#Headers])+1)=0,"Sí admitido","No admitido")</f>
        <v>Sí admitido</v>
      </c>
      <c r="AE121">
        <v>0</v>
      </c>
      <c r="AF121">
        <v>2</v>
      </c>
      <c r="AG121">
        <v>3</v>
      </c>
      <c r="AH121">
        <v>0</v>
      </c>
    </row>
    <row r="122" spans="22:34" x14ac:dyDescent="0.25">
      <c r="V122">
        <v>121</v>
      </c>
      <c r="W122" cm="1">
        <f t="array" ref="W122">SUM(TablaSupervisores[DISPOSITIVOS TOTAL]*INDEX(TablaSeleccionSupervisores[],ROW(TablaSeleccionSupervisores[[#This Row],[ORDEN]])-1,_xlfn.XMATCH(TablaSupervisores[REFERENCIA],TablaSeleccionSupervisores[#Headers])))</f>
        <v>1080</v>
      </c>
      <c r="X122" cm="1">
        <f t="array" ref="X122">SUM(TablaSupervisores[DISPOSITIVOS BACNET MS/TP JC]*INDEX(TablaSeleccionSupervisores[],ROW(TablaSeleccionSupervisores[[#This Row],[ORDEN]])-1,_xlfn.XMATCH(TablaSupervisores[REFERENCIA],TablaSeleccionSupervisores[#Headers])))</f>
        <v>550</v>
      </c>
      <c r="Y122" cm="1">
        <f t="array" ref="Y122">SUM(TablaSupervisores[DISPOSITIVOS BACNET MS/TP COMPATIBLES]*INDEX(TablaSeleccionSupervisores[],ROW(TablaSeleccionSupervisores[[#This Row],[ORDEN]])-1,_xlfn.XMATCH(TablaSupervisores[REFERENCIA],TablaSeleccionSupervisores[#Headers])))</f>
        <v>352</v>
      </c>
      <c r="Z122" cm="1">
        <f t="array" ref="Z122">SUM(TablaSupervisores[DISPOSITIVOS BACNET IP]*INDEX(TablaSeleccionSupervisores[],ROW(TablaSeleccionSupervisores[[#This Row],[ORDEN]])-1,_xlfn.XMATCH(TablaSupervisores[REFERENCIA],TablaSeleccionSupervisores[#Headers])))</f>
        <v>1100</v>
      </c>
      <c r="AA122" cm="1">
        <f t="array" ref="AA122">SUM(TablaSupervisores[OBJETOS]*INDEX(TablaSeleccionSupervisores[],ROW(TablaSeleccionSupervisores[[#This Row],[ORDEN]])-1,_xlfn.XMATCH(TablaSupervisores[REFERENCIA],TablaSeleccionSupervisores[#Headers])))</f>
        <v>17500</v>
      </c>
      <c r="AB122" s="28" cm="1">
        <f t="array" ref="AB122">SUM(TablaSupervisores[COSTE]*INDEX(TablaSeleccionSupervisores[],ROW(TablaSeleccionSupervisores[[#This Row],[ORDEN]])-1,_xlfn.XMATCH(TablaSupervisores[REFERENCIA],TablaSeleccionSupervisores[#Headers])))</f>
        <v>17914.53</v>
      </c>
      <c r="AC122" cm="1">
        <f t="array" ref="AC122">SUM(INDEX(TablaSeleccionSupervisores[],ROW(TablaSeleccionSupervisores[[#This Row],[ORDEN]])-1,_xlfn.XMATCH(TablaSupervisores[REFERENCIA],TablaSeleccionSupervisores[#Headers])))</f>
        <v>6</v>
      </c>
      <c r="AD122" t="str" cm="1">
        <f t="array" ref="AD122">IF(INDEX(TablaSeleccionSupervisores[],ROW(TablaSeleccionSupervisores[[#This Row],[ORDEN]])-1,_xlfn.XMATCH("ADMITIDO ADSLITE",TablaSeleccionSupervisores[#Headers])+1)=0,"Sí admitido","No admitido")</f>
        <v>No admitido</v>
      </c>
      <c r="AE122">
        <v>1</v>
      </c>
      <c r="AF122">
        <v>2</v>
      </c>
      <c r="AG122">
        <v>3</v>
      </c>
      <c r="AH122">
        <v>0</v>
      </c>
    </row>
    <row r="123" spans="22:34" x14ac:dyDescent="0.25">
      <c r="V123">
        <v>122</v>
      </c>
      <c r="W123" cm="1">
        <f t="array" ref="W123">SUM(TablaSupervisores[DISPOSITIVOS TOTAL]*INDEX(TablaSeleccionSupervisores[],ROW(TablaSeleccionSupervisores[[#This Row],[ORDEN]])-1,_xlfn.XMATCH(TablaSupervisores[REFERENCIA],TablaSeleccionSupervisores[#Headers])))</f>
        <v>1680</v>
      </c>
      <c r="X123" cm="1">
        <f t="array" ref="X123">SUM(TablaSupervisores[DISPOSITIVOS BACNET MS/TP JC]*INDEX(TablaSeleccionSupervisores[],ROW(TablaSeleccionSupervisores[[#This Row],[ORDEN]])-1,_xlfn.XMATCH(TablaSupervisores[REFERENCIA],TablaSeleccionSupervisores[#Headers])))</f>
        <v>750</v>
      </c>
      <c r="Y123" cm="1">
        <f t="array" ref="Y123">SUM(TablaSupervisores[DISPOSITIVOS BACNET MS/TP COMPATIBLES]*INDEX(TablaSeleccionSupervisores[],ROW(TablaSeleccionSupervisores[[#This Row],[ORDEN]])-1,_xlfn.XMATCH(TablaSupervisores[REFERENCIA],TablaSeleccionSupervisores[#Headers])))</f>
        <v>480</v>
      </c>
      <c r="Z123" cm="1">
        <f t="array" ref="Z123">SUM(TablaSupervisores[DISPOSITIVOS BACNET IP]*INDEX(TablaSeleccionSupervisores[],ROW(TablaSeleccionSupervisores[[#This Row],[ORDEN]])-1,_xlfn.XMATCH(TablaSupervisores[REFERENCIA],TablaSeleccionSupervisores[#Headers])))</f>
        <v>1500</v>
      </c>
      <c r="AA123" cm="1">
        <f t="array" ref="AA123">SUM(TablaSupervisores[OBJETOS]*INDEX(TablaSeleccionSupervisores[],ROW(TablaSeleccionSupervisores[[#This Row],[ORDEN]])-1,_xlfn.XMATCH(TablaSupervisores[REFERENCIA],TablaSeleccionSupervisores[#Headers])))</f>
        <v>22500</v>
      </c>
      <c r="AB123" s="28" cm="1">
        <f t="array" ref="AB123">SUM(TablaSupervisores[COSTE]*INDEX(TablaSeleccionSupervisores[],ROW(TablaSeleccionSupervisores[[#This Row],[ORDEN]])-1,_xlfn.XMATCH(TablaSupervisores[REFERENCIA],TablaSeleccionSupervisores[#Headers])))</f>
        <v>23581.160000000003</v>
      </c>
      <c r="AC123" cm="1">
        <f t="array" ref="AC123">SUM(INDEX(TablaSeleccionSupervisores[],ROW(TablaSeleccionSupervisores[[#This Row],[ORDEN]])-1,_xlfn.XMATCH(TablaSupervisores[REFERENCIA],TablaSeleccionSupervisores[#Headers])))</f>
        <v>7</v>
      </c>
      <c r="AD123" t="str" cm="1">
        <f t="array" ref="AD123">IF(INDEX(TablaSeleccionSupervisores[],ROW(TablaSeleccionSupervisores[[#This Row],[ORDEN]])-1,_xlfn.XMATCH("ADMITIDO ADSLITE",TablaSeleccionSupervisores[#Headers])+1)=0,"Sí admitido","No admitido")</f>
        <v>No admitido</v>
      </c>
      <c r="AE123">
        <v>2</v>
      </c>
      <c r="AF123">
        <v>2</v>
      </c>
      <c r="AG123">
        <v>3</v>
      </c>
      <c r="AH123">
        <v>0</v>
      </c>
    </row>
    <row r="124" spans="22:34" x14ac:dyDescent="0.25">
      <c r="V124">
        <v>123</v>
      </c>
      <c r="W124" cm="1">
        <f t="array" ref="W124">SUM(TablaSupervisores[DISPOSITIVOS TOTAL]*INDEX(TablaSeleccionSupervisores[],ROW(TablaSeleccionSupervisores[[#This Row],[ORDEN]])-1,_xlfn.XMATCH(TablaSupervisores[REFERENCIA],TablaSeleccionSupervisores[#Headers])))</f>
        <v>2280</v>
      </c>
      <c r="X124" cm="1">
        <f t="array" ref="X124">SUM(TablaSupervisores[DISPOSITIVOS BACNET MS/TP JC]*INDEX(TablaSeleccionSupervisores[],ROW(TablaSeleccionSupervisores[[#This Row],[ORDEN]])-1,_xlfn.XMATCH(TablaSupervisores[REFERENCIA],TablaSeleccionSupervisores[#Headers])))</f>
        <v>950</v>
      </c>
      <c r="Y124" cm="1">
        <f t="array" ref="Y124">SUM(TablaSupervisores[DISPOSITIVOS BACNET MS/TP COMPATIBLES]*INDEX(TablaSeleccionSupervisores[],ROW(TablaSeleccionSupervisores[[#This Row],[ORDEN]])-1,_xlfn.XMATCH(TablaSupervisores[REFERENCIA],TablaSeleccionSupervisores[#Headers])))</f>
        <v>608</v>
      </c>
      <c r="Z124" cm="1">
        <f t="array" ref="Z124">SUM(TablaSupervisores[DISPOSITIVOS BACNET IP]*INDEX(TablaSeleccionSupervisores[],ROW(TablaSeleccionSupervisores[[#This Row],[ORDEN]])-1,_xlfn.XMATCH(TablaSupervisores[REFERENCIA],TablaSeleccionSupervisores[#Headers])))</f>
        <v>1900</v>
      </c>
      <c r="AA124" cm="1">
        <f t="array" ref="AA124">SUM(TablaSupervisores[OBJETOS]*INDEX(TablaSeleccionSupervisores[],ROW(TablaSeleccionSupervisores[[#This Row],[ORDEN]])-1,_xlfn.XMATCH(TablaSupervisores[REFERENCIA],TablaSeleccionSupervisores[#Headers])))</f>
        <v>27500</v>
      </c>
      <c r="AB124" s="28" cm="1">
        <f t="array" ref="AB124">SUM(TablaSupervisores[COSTE]*INDEX(TablaSeleccionSupervisores[],ROW(TablaSeleccionSupervisores[[#This Row],[ORDEN]])-1,_xlfn.XMATCH(TablaSupervisores[REFERENCIA],TablaSeleccionSupervisores[#Headers])))</f>
        <v>29247.79</v>
      </c>
      <c r="AC124" cm="1">
        <f t="array" ref="AC124">SUM(INDEX(TablaSeleccionSupervisores[],ROW(TablaSeleccionSupervisores[[#This Row],[ORDEN]])-1,_xlfn.XMATCH(TablaSupervisores[REFERENCIA],TablaSeleccionSupervisores[#Headers])))</f>
        <v>8</v>
      </c>
      <c r="AD124" t="str" cm="1">
        <f t="array" ref="AD124">IF(INDEX(TablaSeleccionSupervisores[],ROW(TablaSeleccionSupervisores[[#This Row],[ORDEN]])-1,_xlfn.XMATCH("ADMITIDO ADSLITE",TablaSeleccionSupervisores[#Headers])+1)=0,"Sí admitido","No admitido")</f>
        <v>No admitido</v>
      </c>
      <c r="AE124">
        <v>3</v>
      </c>
      <c r="AF124">
        <v>2</v>
      </c>
      <c r="AG124">
        <v>3</v>
      </c>
      <c r="AH124">
        <v>0</v>
      </c>
    </row>
    <row r="125" spans="22:34" x14ac:dyDescent="0.25">
      <c r="V125">
        <v>124</v>
      </c>
      <c r="W125" cm="1">
        <f t="array" ref="W125">SUM(TablaSupervisores[DISPOSITIVOS TOTAL]*INDEX(TablaSeleccionSupervisores[],ROW(TablaSeleccionSupervisores[[#This Row],[ORDEN]])-1,_xlfn.XMATCH(TablaSupervisores[REFERENCIA],TablaSeleccionSupervisores[#Headers])))</f>
        <v>630</v>
      </c>
      <c r="X125" cm="1">
        <f t="array" ref="X125">SUM(TablaSupervisores[DISPOSITIVOS BACNET MS/TP JC]*INDEX(TablaSeleccionSupervisores[],ROW(TablaSeleccionSupervisores[[#This Row],[ORDEN]])-1,_xlfn.XMATCH(TablaSupervisores[REFERENCIA],TablaSeleccionSupervisores[#Headers])))</f>
        <v>450</v>
      </c>
      <c r="Y125" cm="1">
        <f t="array" ref="Y125">SUM(TablaSupervisores[DISPOSITIVOS BACNET MS/TP COMPATIBLES]*INDEX(TablaSeleccionSupervisores[],ROW(TablaSeleccionSupervisores[[#This Row],[ORDEN]])-1,_xlfn.XMATCH(TablaSupervisores[REFERENCIA],TablaSeleccionSupervisores[#Headers])))</f>
        <v>288</v>
      </c>
      <c r="Z125" cm="1">
        <f t="array" ref="Z125">SUM(TablaSupervisores[DISPOSITIVOS BACNET IP]*INDEX(TablaSeleccionSupervisores[],ROW(TablaSeleccionSupervisores[[#This Row],[ORDEN]])-1,_xlfn.XMATCH(TablaSupervisores[REFERENCIA],TablaSeleccionSupervisores[#Headers])))</f>
        <v>900</v>
      </c>
      <c r="AA125" cm="1">
        <f t="array" ref="AA125">SUM(TablaSupervisores[OBJETOS]*INDEX(TablaSeleccionSupervisores[],ROW(TablaSeleccionSupervisores[[#This Row],[ORDEN]])-1,_xlfn.XMATCH(TablaSupervisores[REFERENCIA],TablaSeleccionSupervisores[#Headers])))</f>
        <v>15000</v>
      </c>
      <c r="AB125" s="28" cm="1">
        <f t="array" ref="AB125">SUM(TablaSupervisores[COSTE]*INDEX(TablaSeleccionSupervisores[],ROW(TablaSeleccionSupervisores[[#This Row],[ORDEN]])-1,_xlfn.XMATCH(TablaSupervisores[REFERENCIA],TablaSeleccionSupervisores[#Headers])))</f>
        <v>16236.630000000001</v>
      </c>
      <c r="AC125" cm="1">
        <f t="array" ref="AC125">SUM(INDEX(TablaSeleccionSupervisores[],ROW(TablaSeleccionSupervisores[[#This Row],[ORDEN]])-1,_xlfn.XMATCH(TablaSupervisores[REFERENCIA],TablaSeleccionSupervisores[#Headers])))</f>
        <v>6</v>
      </c>
      <c r="AD125" t="str" cm="1">
        <f t="array" ref="AD125">IF(INDEX(TablaSeleccionSupervisores[],ROW(TablaSeleccionSupervisores[[#This Row],[ORDEN]])-1,_xlfn.XMATCH("ADMITIDO ADSLITE",TablaSeleccionSupervisores[#Headers])+1)=0,"Sí admitido","No admitido")</f>
        <v>Sí admitido</v>
      </c>
      <c r="AE125">
        <v>0</v>
      </c>
      <c r="AF125">
        <v>3</v>
      </c>
      <c r="AG125">
        <v>3</v>
      </c>
      <c r="AH125">
        <v>0</v>
      </c>
    </row>
    <row r="126" spans="22:34" x14ac:dyDescent="0.25">
      <c r="V126">
        <v>125</v>
      </c>
      <c r="W126" cm="1">
        <f t="array" ref="W126">SUM(TablaSupervisores[DISPOSITIVOS TOTAL]*INDEX(TablaSeleccionSupervisores[],ROW(TablaSeleccionSupervisores[[#This Row],[ORDEN]])-1,_xlfn.XMATCH(TablaSupervisores[REFERENCIA],TablaSeleccionSupervisores[#Headers])))</f>
        <v>1230</v>
      </c>
      <c r="X126" cm="1">
        <f t="array" ref="X126">SUM(TablaSupervisores[DISPOSITIVOS BACNET MS/TP JC]*INDEX(TablaSeleccionSupervisores[],ROW(TablaSeleccionSupervisores[[#This Row],[ORDEN]])-1,_xlfn.XMATCH(TablaSupervisores[REFERENCIA],TablaSeleccionSupervisores[#Headers])))</f>
        <v>650</v>
      </c>
      <c r="Y126" cm="1">
        <f t="array" ref="Y126">SUM(TablaSupervisores[DISPOSITIVOS BACNET MS/TP COMPATIBLES]*INDEX(TablaSeleccionSupervisores[],ROW(TablaSeleccionSupervisores[[#This Row],[ORDEN]])-1,_xlfn.XMATCH(TablaSupervisores[REFERENCIA],TablaSeleccionSupervisores[#Headers])))</f>
        <v>416</v>
      </c>
      <c r="Z126" cm="1">
        <f t="array" ref="Z126">SUM(TablaSupervisores[DISPOSITIVOS BACNET IP]*INDEX(TablaSeleccionSupervisores[],ROW(TablaSeleccionSupervisores[[#This Row],[ORDEN]])-1,_xlfn.XMATCH(TablaSupervisores[REFERENCIA],TablaSeleccionSupervisores[#Headers])))</f>
        <v>1300</v>
      </c>
      <c r="AA126" cm="1">
        <f t="array" ref="AA126">SUM(TablaSupervisores[OBJETOS]*INDEX(TablaSeleccionSupervisores[],ROW(TablaSeleccionSupervisores[[#This Row],[ORDEN]])-1,_xlfn.XMATCH(TablaSupervisores[REFERENCIA],TablaSeleccionSupervisores[#Headers])))</f>
        <v>20000</v>
      </c>
      <c r="AB126" s="28" cm="1">
        <f t="array" ref="AB126">SUM(TablaSupervisores[COSTE]*INDEX(TablaSeleccionSupervisores[],ROW(TablaSeleccionSupervisores[[#This Row],[ORDEN]])-1,_xlfn.XMATCH(TablaSupervisores[REFERENCIA],TablaSeleccionSupervisores[#Headers])))</f>
        <v>21903.260000000002</v>
      </c>
      <c r="AC126" cm="1">
        <f t="array" ref="AC126">SUM(INDEX(TablaSeleccionSupervisores[],ROW(TablaSeleccionSupervisores[[#This Row],[ORDEN]])-1,_xlfn.XMATCH(TablaSupervisores[REFERENCIA],TablaSeleccionSupervisores[#Headers])))</f>
        <v>7</v>
      </c>
      <c r="AD126" t="str" cm="1">
        <f t="array" ref="AD126">IF(INDEX(TablaSeleccionSupervisores[],ROW(TablaSeleccionSupervisores[[#This Row],[ORDEN]])-1,_xlfn.XMATCH("ADMITIDO ADSLITE",TablaSeleccionSupervisores[#Headers])+1)=0,"Sí admitido","No admitido")</f>
        <v>No admitido</v>
      </c>
      <c r="AE126">
        <v>1</v>
      </c>
      <c r="AF126">
        <v>3</v>
      </c>
      <c r="AG126">
        <v>3</v>
      </c>
      <c r="AH126">
        <v>0</v>
      </c>
    </row>
    <row r="127" spans="22:34" x14ac:dyDescent="0.25">
      <c r="V127">
        <v>126</v>
      </c>
      <c r="W127" cm="1">
        <f t="array" ref="W127">SUM(TablaSupervisores[DISPOSITIVOS TOTAL]*INDEX(TablaSeleccionSupervisores[],ROW(TablaSeleccionSupervisores[[#This Row],[ORDEN]])-1,_xlfn.XMATCH(TablaSupervisores[REFERENCIA],TablaSeleccionSupervisores[#Headers])))</f>
        <v>1830</v>
      </c>
      <c r="X127" cm="1">
        <f t="array" ref="X127">SUM(TablaSupervisores[DISPOSITIVOS BACNET MS/TP JC]*INDEX(TablaSeleccionSupervisores[],ROW(TablaSeleccionSupervisores[[#This Row],[ORDEN]])-1,_xlfn.XMATCH(TablaSupervisores[REFERENCIA],TablaSeleccionSupervisores[#Headers])))</f>
        <v>850</v>
      </c>
      <c r="Y127" cm="1">
        <f t="array" ref="Y127">SUM(TablaSupervisores[DISPOSITIVOS BACNET MS/TP COMPATIBLES]*INDEX(TablaSeleccionSupervisores[],ROW(TablaSeleccionSupervisores[[#This Row],[ORDEN]])-1,_xlfn.XMATCH(TablaSupervisores[REFERENCIA],TablaSeleccionSupervisores[#Headers])))</f>
        <v>544</v>
      </c>
      <c r="Z127" cm="1">
        <f t="array" ref="Z127">SUM(TablaSupervisores[DISPOSITIVOS BACNET IP]*INDEX(TablaSeleccionSupervisores[],ROW(TablaSeleccionSupervisores[[#This Row],[ORDEN]])-1,_xlfn.XMATCH(TablaSupervisores[REFERENCIA],TablaSeleccionSupervisores[#Headers])))</f>
        <v>1700</v>
      </c>
      <c r="AA127" cm="1">
        <f t="array" ref="AA127">SUM(TablaSupervisores[OBJETOS]*INDEX(TablaSeleccionSupervisores[],ROW(TablaSeleccionSupervisores[[#This Row],[ORDEN]])-1,_xlfn.XMATCH(TablaSupervisores[REFERENCIA],TablaSeleccionSupervisores[#Headers])))</f>
        <v>25000</v>
      </c>
      <c r="AB127" s="28" cm="1">
        <f t="array" ref="AB127">SUM(TablaSupervisores[COSTE]*INDEX(TablaSeleccionSupervisores[],ROW(TablaSeleccionSupervisores[[#This Row],[ORDEN]])-1,_xlfn.XMATCH(TablaSupervisores[REFERENCIA],TablaSeleccionSupervisores[#Headers])))</f>
        <v>27569.89</v>
      </c>
      <c r="AC127" cm="1">
        <f t="array" ref="AC127">SUM(INDEX(TablaSeleccionSupervisores[],ROW(TablaSeleccionSupervisores[[#This Row],[ORDEN]])-1,_xlfn.XMATCH(TablaSupervisores[REFERENCIA],TablaSeleccionSupervisores[#Headers])))</f>
        <v>8</v>
      </c>
      <c r="AD127" t="str" cm="1">
        <f t="array" ref="AD127">IF(INDEX(TablaSeleccionSupervisores[],ROW(TablaSeleccionSupervisores[[#This Row],[ORDEN]])-1,_xlfn.XMATCH("ADMITIDO ADSLITE",TablaSeleccionSupervisores[#Headers])+1)=0,"Sí admitido","No admitido")</f>
        <v>No admitido</v>
      </c>
      <c r="AE127">
        <v>2</v>
      </c>
      <c r="AF127">
        <v>3</v>
      </c>
      <c r="AG127">
        <v>3</v>
      </c>
      <c r="AH127">
        <v>0</v>
      </c>
    </row>
    <row r="128" spans="22:34" x14ac:dyDescent="0.25">
      <c r="V128">
        <v>127</v>
      </c>
      <c r="W128" cm="1">
        <f t="array" ref="W128">SUM(TablaSupervisores[DISPOSITIVOS TOTAL]*INDEX(TablaSeleccionSupervisores[],ROW(TablaSeleccionSupervisores[[#This Row],[ORDEN]])-1,_xlfn.XMATCH(TablaSupervisores[REFERENCIA],TablaSeleccionSupervisores[#Headers])))</f>
        <v>780</v>
      </c>
      <c r="X128" cm="1">
        <f t="array" ref="X128">SUM(TablaSupervisores[DISPOSITIVOS BACNET MS/TP JC]*INDEX(TablaSeleccionSupervisores[],ROW(TablaSeleccionSupervisores[[#This Row],[ORDEN]])-1,_xlfn.XMATCH(TablaSupervisores[REFERENCIA],TablaSeleccionSupervisores[#Headers])))</f>
        <v>550</v>
      </c>
      <c r="Y128" cm="1">
        <f t="array" ref="Y128">SUM(TablaSupervisores[DISPOSITIVOS BACNET MS/TP COMPATIBLES]*INDEX(TablaSeleccionSupervisores[],ROW(TablaSeleccionSupervisores[[#This Row],[ORDEN]])-1,_xlfn.XMATCH(TablaSupervisores[REFERENCIA],TablaSeleccionSupervisores[#Headers])))</f>
        <v>352</v>
      </c>
      <c r="Z128" cm="1">
        <f t="array" ref="Z128">SUM(TablaSupervisores[DISPOSITIVOS BACNET IP]*INDEX(TablaSeleccionSupervisores[],ROW(TablaSeleccionSupervisores[[#This Row],[ORDEN]])-1,_xlfn.XMATCH(TablaSupervisores[REFERENCIA],TablaSeleccionSupervisores[#Headers])))</f>
        <v>1100</v>
      </c>
      <c r="AA128" cm="1">
        <f t="array" ref="AA128">SUM(TablaSupervisores[OBJETOS]*INDEX(TablaSeleccionSupervisores[],ROW(TablaSeleccionSupervisores[[#This Row],[ORDEN]])-1,_xlfn.XMATCH(TablaSupervisores[REFERENCIA],TablaSeleccionSupervisores[#Headers])))</f>
        <v>17500</v>
      </c>
      <c r="AB128" s="28" cm="1">
        <f t="array" ref="AB128">SUM(TablaSupervisores[COSTE]*INDEX(TablaSeleccionSupervisores[],ROW(TablaSeleccionSupervisores[[#This Row],[ORDEN]])-1,_xlfn.XMATCH(TablaSupervisores[REFERENCIA],TablaSeleccionSupervisores[#Headers])))</f>
        <v>20225.36</v>
      </c>
      <c r="AC128" cm="1">
        <f t="array" ref="AC128">SUM(INDEX(TablaSeleccionSupervisores[],ROW(TablaSeleccionSupervisores[[#This Row],[ORDEN]])-1,_xlfn.XMATCH(TablaSupervisores[REFERENCIA],TablaSeleccionSupervisores[#Headers])))</f>
        <v>7</v>
      </c>
      <c r="AD128" t="str" cm="1">
        <f t="array" ref="AD128">IF(INDEX(TablaSeleccionSupervisores[],ROW(TablaSeleccionSupervisores[[#This Row],[ORDEN]])-1,_xlfn.XMATCH("ADMITIDO ADSLITE",TablaSeleccionSupervisores[#Headers])+1)=0,"Sí admitido","No admitido")</f>
        <v>Sí admitido</v>
      </c>
      <c r="AE128">
        <v>0</v>
      </c>
      <c r="AF128">
        <v>4</v>
      </c>
      <c r="AG128">
        <v>3</v>
      </c>
      <c r="AH128">
        <v>0</v>
      </c>
    </row>
    <row r="129" spans="22:34" x14ac:dyDescent="0.25">
      <c r="V129">
        <v>128</v>
      </c>
      <c r="W129" cm="1">
        <f t="array" ref="W129">SUM(TablaSupervisores[DISPOSITIVOS TOTAL]*INDEX(TablaSeleccionSupervisores[],ROW(TablaSeleccionSupervisores[[#This Row],[ORDEN]])-1,_xlfn.XMATCH(TablaSupervisores[REFERENCIA],TablaSeleccionSupervisores[#Headers])))</f>
        <v>1380</v>
      </c>
      <c r="X129" cm="1">
        <f t="array" ref="X129">SUM(TablaSupervisores[DISPOSITIVOS BACNET MS/TP JC]*INDEX(TablaSeleccionSupervisores[],ROW(TablaSeleccionSupervisores[[#This Row],[ORDEN]])-1,_xlfn.XMATCH(TablaSupervisores[REFERENCIA],TablaSeleccionSupervisores[#Headers])))</f>
        <v>750</v>
      </c>
      <c r="Y129" cm="1">
        <f t="array" ref="Y129">SUM(TablaSupervisores[DISPOSITIVOS BACNET MS/TP COMPATIBLES]*INDEX(TablaSeleccionSupervisores[],ROW(TablaSeleccionSupervisores[[#This Row],[ORDEN]])-1,_xlfn.XMATCH(TablaSupervisores[REFERENCIA],TablaSeleccionSupervisores[#Headers])))</f>
        <v>480</v>
      </c>
      <c r="Z129" cm="1">
        <f t="array" ref="Z129">SUM(TablaSupervisores[DISPOSITIVOS BACNET IP]*INDEX(TablaSeleccionSupervisores[],ROW(TablaSeleccionSupervisores[[#This Row],[ORDEN]])-1,_xlfn.XMATCH(TablaSupervisores[REFERENCIA],TablaSeleccionSupervisores[#Headers])))</f>
        <v>1500</v>
      </c>
      <c r="AA129" cm="1">
        <f t="array" ref="AA129">SUM(TablaSupervisores[OBJETOS]*INDEX(TablaSeleccionSupervisores[],ROW(TablaSeleccionSupervisores[[#This Row],[ORDEN]])-1,_xlfn.XMATCH(TablaSupervisores[REFERENCIA],TablaSeleccionSupervisores[#Headers])))</f>
        <v>22500</v>
      </c>
      <c r="AB129" s="28" cm="1">
        <f t="array" ref="AB129">SUM(TablaSupervisores[COSTE]*INDEX(TablaSeleccionSupervisores[],ROW(TablaSeleccionSupervisores[[#This Row],[ORDEN]])-1,_xlfn.XMATCH(TablaSupervisores[REFERENCIA],TablaSeleccionSupervisores[#Headers])))</f>
        <v>25891.989999999998</v>
      </c>
      <c r="AC129" cm="1">
        <f t="array" ref="AC129">SUM(INDEX(TablaSeleccionSupervisores[],ROW(TablaSeleccionSupervisores[[#This Row],[ORDEN]])-1,_xlfn.XMATCH(TablaSupervisores[REFERENCIA],TablaSeleccionSupervisores[#Headers])))</f>
        <v>8</v>
      </c>
      <c r="AD129" t="str" cm="1">
        <f t="array" ref="AD129">IF(INDEX(TablaSeleccionSupervisores[],ROW(TablaSeleccionSupervisores[[#This Row],[ORDEN]])-1,_xlfn.XMATCH("ADMITIDO ADSLITE",TablaSeleccionSupervisores[#Headers])+1)=0,"Sí admitido","No admitido")</f>
        <v>No admitido</v>
      </c>
      <c r="AE129">
        <v>1</v>
      </c>
      <c r="AF129">
        <v>4</v>
      </c>
      <c r="AG129">
        <v>3</v>
      </c>
      <c r="AH129">
        <v>0</v>
      </c>
    </row>
    <row r="130" spans="22:34" x14ac:dyDescent="0.25">
      <c r="V130">
        <v>129</v>
      </c>
      <c r="W130" cm="1">
        <f t="array" ref="W130">SUM(TablaSupervisores[DISPOSITIVOS TOTAL]*INDEX(TablaSeleccionSupervisores[],ROW(TablaSeleccionSupervisores[[#This Row],[ORDEN]])-1,_xlfn.XMATCH(TablaSupervisores[REFERENCIA],TablaSeleccionSupervisores[#Headers])))</f>
        <v>930</v>
      </c>
      <c r="X130" cm="1">
        <f t="array" ref="X130">SUM(TablaSupervisores[DISPOSITIVOS BACNET MS/TP JC]*INDEX(TablaSeleccionSupervisores[],ROW(TablaSeleccionSupervisores[[#This Row],[ORDEN]])-1,_xlfn.XMATCH(TablaSupervisores[REFERENCIA],TablaSeleccionSupervisores[#Headers])))</f>
        <v>650</v>
      </c>
      <c r="Y130" cm="1">
        <f t="array" ref="Y130">SUM(TablaSupervisores[DISPOSITIVOS BACNET MS/TP COMPATIBLES]*INDEX(TablaSeleccionSupervisores[],ROW(TablaSeleccionSupervisores[[#This Row],[ORDEN]])-1,_xlfn.XMATCH(TablaSupervisores[REFERENCIA],TablaSeleccionSupervisores[#Headers])))</f>
        <v>416</v>
      </c>
      <c r="Z130" cm="1">
        <f t="array" ref="Z130">SUM(TablaSupervisores[DISPOSITIVOS BACNET IP]*INDEX(TablaSeleccionSupervisores[],ROW(TablaSeleccionSupervisores[[#This Row],[ORDEN]])-1,_xlfn.XMATCH(TablaSupervisores[REFERENCIA],TablaSeleccionSupervisores[#Headers])))</f>
        <v>1300</v>
      </c>
      <c r="AA130" cm="1">
        <f t="array" ref="AA130">SUM(TablaSupervisores[OBJETOS]*INDEX(TablaSeleccionSupervisores[],ROW(TablaSeleccionSupervisores[[#This Row],[ORDEN]])-1,_xlfn.XMATCH(TablaSupervisores[REFERENCIA],TablaSeleccionSupervisores[#Headers])))</f>
        <v>20000</v>
      </c>
      <c r="AB130" s="28" cm="1">
        <f t="array" ref="AB130">SUM(TablaSupervisores[COSTE]*INDEX(TablaSeleccionSupervisores[],ROW(TablaSeleccionSupervisores[[#This Row],[ORDEN]])-1,_xlfn.XMATCH(TablaSupervisores[REFERENCIA],TablaSeleccionSupervisores[#Headers])))</f>
        <v>24214.090000000004</v>
      </c>
      <c r="AC130" cm="1">
        <f t="array" ref="AC130">SUM(INDEX(TablaSeleccionSupervisores[],ROW(TablaSeleccionSupervisores[[#This Row],[ORDEN]])-1,_xlfn.XMATCH(TablaSupervisores[REFERENCIA],TablaSeleccionSupervisores[#Headers])))</f>
        <v>8</v>
      </c>
      <c r="AD130" t="str" cm="1">
        <f t="array" ref="AD130">IF(INDEX(TablaSeleccionSupervisores[],ROW(TablaSeleccionSupervisores[[#This Row],[ORDEN]])-1,_xlfn.XMATCH("ADMITIDO ADSLITE",TablaSeleccionSupervisores[#Headers])+1)=0,"Sí admitido","No admitido")</f>
        <v>Sí admitido</v>
      </c>
      <c r="AE130">
        <v>0</v>
      </c>
      <c r="AF130">
        <v>5</v>
      </c>
      <c r="AG130">
        <v>3</v>
      </c>
      <c r="AH130">
        <v>0</v>
      </c>
    </row>
    <row r="131" spans="22:34" x14ac:dyDescent="0.25">
      <c r="V131">
        <v>130</v>
      </c>
      <c r="W131" cm="1">
        <f t="array" ref="W131">SUM(TablaSupervisores[DISPOSITIVOS TOTAL]*INDEX(TablaSeleccionSupervisores[],ROW(TablaSeleccionSupervisores[[#This Row],[ORDEN]])-1,_xlfn.XMATCH(TablaSupervisores[REFERENCIA],TablaSeleccionSupervisores[#Headers])))</f>
        <v>240</v>
      </c>
      <c r="X131" cm="1">
        <f t="array" ref="X131">SUM(TablaSupervisores[DISPOSITIVOS BACNET MS/TP JC]*INDEX(TablaSeleccionSupervisores[],ROW(TablaSeleccionSupervisores[[#This Row],[ORDEN]])-1,_xlfn.XMATCH(TablaSupervisores[REFERENCIA],TablaSeleccionSupervisores[#Headers])))</f>
        <v>200</v>
      </c>
      <c r="Y131" cm="1">
        <f t="array" ref="Y131">SUM(TablaSupervisores[DISPOSITIVOS BACNET MS/TP COMPATIBLES]*INDEX(TablaSeleccionSupervisores[],ROW(TablaSeleccionSupervisores[[#This Row],[ORDEN]])-1,_xlfn.XMATCH(TablaSupervisores[REFERENCIA],TablaSeleccionSupervisores[#Headers])))</f>
        <v>128</v>
      </c>
      <c r="Z131" cm="1">
        <f t="array" ref="Z131">SUM(TablaSupervisores[DISPOSITIVOS BACNET IP]*INDEX(TablaSeleccionSupervisores[],ROW(TablaSeleccionSupervisores[[#This Row],[ORDEN]])-1,_xlfn.XMATCH(TablaSupervisores[REFERENCIA],TablaSeleccionSupervisores[#Headers])))</f>
        <v>400</v>
      </c>
      <c r="AA131" cm="1">
        <f t="array" ref="AA131">SUM(TablaSupervisores[OBJETOS]*INDEX(TablaSeleccionSupervisores[],ROW(TablaSeleccionSupervisores[[#This Row],[ORDEN]])-1,_xlfn.XMATCH(TablaSupervisores[REFERENCIA],TablaSeleccionSupervisores[#Headers])))</f>
        <v>10000</v>
      </c>
      <c r="AB131" s="28" cm="1">
        <f t="array" ref="AB131">SUM(TablaSupervisores[COSTE]*INDEX(TablaSeleccionSupervisores[],ROW(TablaSeleccionSupervisores[[#This Row],[ORDEN]])-1,_xlfn.XMATCH(TablaSupervisores[REFERENCIA],TablaSeleccionSupervisores[#Headers])))</f>
        <v>5693.92</v>
      </c>
      <c r="AC131" cm="1">
        <f t="array" ref="AC131">SUM(INDEX(TablaSeleccionSupervisores[],ROW(TablaSeleccionSupervisores[[#This Row],[ORDEN]])-1,_xlfn.XMATCH(TablaSupervisores[REFERENCIA],TablaSeleccionSupervisores[#Headers])))</f>
        <v>4</v>
      </c>
      <c r="AD131" t="str" cm="1">
        <f t="array" ref="AD131">IF(INDEX(TablaSeleccionSupervisores[],ROW(TablaSeleccionSupervisores[[#This Row],[ORDEN]])-1,_xlfn.XMATCH("ADMITIDO ADSLITE",TablaSeleccionSupervisores[#Headers])+1)=0,"Sí admitido","No admitido")</f>
        <v>Sí admitido</v>
      </c>
      <c r="AE131">
        <v>0</v>
      </c>
      <c r="AF131">
        <v>0</v>
      </c>
      <c r="AG131">
        <v>4</v>
      </c>
      <c r="AH131">
        <v>0</v>
      </c>
    </row>
    <row r="132" spans="22:34" x14ac:dyDescent="0.25">
      <c r="V132">
        <v>131</v>
      </c>
      <c r="W132" cm="1">
        <f t="array" ref="W132">SUM(TablaSupervisores[DISPOSITIVOS TOTAL]*INDEX(TablaSeleccionSupervisores[],ROW(TablaSeleccionSupervisores[[#This Row],[ORDEN]])-1,_xlfn.XMATCH(TablaSupervisores[REFERENCIA],TablaSeleccionSupervisores[#Headers])))</f>
        <v>840</v>
      </c>
      <c r="X132" cm="1">
        <f t="array" ref="X132">SUM(TablaSupervisores[DISPOSITIVOS BACNET MS/TP JC]*INDEX(TablaSeleccionSupervisores[],ROW(TablaSeleccionSupervisores[[#This Row],[ORDEN]])-1,_xlfn.XMATCH(TablaSupervisores[REFERENCIA],TablaSeleccionSupervisores[#Headers])))</f>
        <v>400</v>
      </c>
      <c r="Y132" cm="1">
        <f t="array" ref="Y132">SUM(TablaSupervisores[DISPOSITIVOS BACNET MS/TP COMPATIBLES]*INDEX(TablaSeleccionSupervisores[],ROW(TablaSeleccionSupervisores[[#This Row],[ORDEN]])-1,_xlfn.XMATCH(TablaSupervisores[REFERENCIA],TablaSeleccionSupervisores[#Headers])))</f>
        <v>256</v>
      </c>
      <c r="Z132" cm="1">
        <f t="array" ref="Z132">SUM(TablaSupervisores[DISPOSITIVOS BACNET IP]*INDEX(TablaSeleccionSupervisores[],ROW(TablaSeleccionSupervisores[[#This Row],[ORDEN]])-1,_xlfn.XMATCH(TablaSupervisores[REFERENCIA],TablaSeleccionSupervisores[#Headers])))</f>
        <v>800</v>
      </c>
      <c r="AA132" cm="1">
        <f t="array" ref="AA132">SUM(TablaSupervisores[OBJETOS]*INDEX(TablaSeleccionSupervisores[],ROW(TablaSeleccionSupervisores[[#This Row],[ORDEN]])-1,_xlfn.XMATCH(TablaSupervisores[REFERENCIA],TablaSeleccionSupervisores[#Headers])))</f>
        <v>15000</v>
      </c>
      <c r="AB132" s="28" cm="1">
        <f t="array" ref="AB132">SUM(TablaSupervisores[COSTE]*INDEX(TablaSeleccionSupervisores[],ROW(TablaSeleccionSupervisores[[#This Row],[ORDEN]])-1,_xlfn.XMATCH(TablaSupervisores[REFERENCIA],TablaSeleccionSupervisores[#Headers])))</f>
        <v>11360.55</v>
      </c>
      <c r="AC132" cm="1">
        <f t="array" ref="AC132">SUM(INDEX(TablaSeleccionSupervisores[],ROW(TablaSeleccionSupervisores[[#This Row],[ORDEN]])-1,_xlfn.XMATCH(TablaSupervisores[REFERENCIA],TablaSeleccionSupervisores[#Headers])))</f>
        <v>5</v>
      </c>
      <c r="AD132" t="str" cm="1">
        <f t="array" ref="AD132">IF(INDEX(TablaSeleccionSupervisores[],ROW(TablaSeleccionSupervisores[[#This Row],[ORDEN]])-1,_xlfn.XMATCH("ADMITIDO ADSLITE",TablaSeleccionSupervisores[#Headers])+1)=0,"Sí admitido","No admitido")</f>
        <v>No admitido</v>
      </c>
      <c r="AE132">
        <v>1</v>
      </c>
      <c r="AF132">
        <v>0</v>
      </c>
      <c r="AG132">
        <v>4</v>
      </c>
      <c r="AH132">
        <v>0</v>
      </c>
    </row>
    <row r="133" spans="22:34" x14ac:dyDescent="0.25">
      <c r="V133">
        <v>132</v>
      </c>
      <c r="W133" cm="1">
        <f t="array" ref="W133">SUM(TablaSupervisores[DISPOSITIVOS TOTAL]*INDEX(TablaSeleccionSupervisores[],ROW(TablaSeleccionSupervisores[[#This Row],[ORDEN]])-1,_xlfn.XMATCH(TablaSupervisores[REFERENCIA],TablaSeleccionSupervisores[#Headers])))</f>
        <v>1440</v>
      </c>
      <c r="X133" cm="1">
        <f t="array" ref="X133">SUM(TablaSupervisores[DISPOSITIVOS BACNET MS/TP JC]*INDEX(TablaSeleccionSupervisores[],ROW(TablaSeleccionSupervisores[[#This Row],[ORDEN]])-1,_xlfn.XMATCH(TablaSupervisores[REFERENCIA],TablaSeleccionSupervisores[#Headers])))</f>
        <v>600</v>
      </c>
      <c r="Y133" cm="1">
        <f t="array" ref="Y133">SUM(TablaSupervisores[DISPOSITIVOS BACNET MS/TP COMPATIBLES]*INDEX(TablaSeleccionSupervisores[],ROW(TablaSeleccionSupervisores[[#This Row],[ORDEN]])-1,_xlfn.XMATCH(TablaSupervisores[REFERENCIA],TablaSeleccionSupervisores[#Headers])))</f>
        <v>384</v>
      </c>
      <c r="Z133" cm="1">
        <f t="array" ref="Z133">SUM(TablaSupervisores[DISPOSITIVOS BACNET IP]*INDEX(TablaSeleccionSupervisores[],ROW(TablaSeleccionSupervisores[[#This Row],[ORDEN]])-1,_xlfn.XMATCH(TablaSupervisores[REFERENCIA],TablaSeleccionSupervisores[#Headers])))</f>
        <v>1200</v>
      </c>
      <c r="AA133" cm="1">
        <f t="array" ref="AA133">SUM(TablaSupervisores[OBJETOS]*INDEX(TablaSeleccionSupervisores[],ROW(TablaSeleccionSupervisores[[#This Row],[ORDEN]])-1,_xlfn.XMATCH(TablaSupervisores[REFERENCIA],TablaSeleccionSupervisores[#Headers])))</f>
        <v>20000</v>
      </c>
      <c r="AB133" s="28" cm="1">
        <f t="array" ref="AB133">SUM(TablaSupervisores[COSTE]*INDEX(TablaSeleccionSupervisores[],ROW(TablaSeleccionSupervisores[[#This Row],[ORDEN]])-1,_xlfn.XMATCH(TablaSupervisores[REFERENCIA],TablaSeleccionSupervisores[#Headers])))</f>
        <v>17027.18</v>
      </c>
      <c r="AC133" cm="1">
        <f t="array" ref="AC133">SUM(INDEX(TablaSeleccionSupervisores[],ROW(TablaSeleccionSupervisores[[#This Row],[ORDEN]])-1,_xlfn.XMATCH(TablaSupervisores[REFERENCIA],TablaSeleccionSupervisores[#Headers])))</f>
        <v>6</v>
      </c>
      <c r="AD133" t="str" cm="1">
        <f t="array" ref="AD133">IF(INDEX(TablaSeleccionSupervisores[],ROW(TablaSeleccionSupervisores[[#This Row],[ORDEN]])-1,_xlfn.XMATCH("ADMITIDO ADSLITE",TablaSeleccionSupervisores[#Headers])+1)=0,"Sí admitido","No admitido")</f>
        <v>No admitido</v>
      </c>
      <c r="AE133">
        <v>2</v>
      </c>
      <c r="AF133">
        <v>0</v>
      </c>
      <c r="AG133">
        <v>4</v>
      </c>
      <c r="AH133">
        <v>0</v>
      </c>
    </row>
    <row r="134" spans="22:34" x14ac:dyDescent="0.25">
      <c r="V134">
        <v>133</v>
      </c>
      <c r="W134" cm="1">
        <f t="array" ref="W134">SUM(TablaSupervisores[DISPOSITIVOS TOTAL]*INDEX(TablaSeleccionSupervisores[],ROW(TablaSeleccionSupervisores[[#This Row],[ORDEN]])-1,_xlfn.XMATCH(TablaSupervisores[REFERENCIA],TablaSeleccionSupervisores[#Headers])))</f>
        <v>2040</v>
      </c>
      <c r="X134" cm="1">
        <f t="array" ref="X134">SUM(TablaSupervisores[DISPOSITIVOS BACNET MS/TP JC]*INDEX(TablaSeleccionSupervisores[],ROW(TablaSeleccionSupervisores[[#This Row],[ORDEN]])-1,_xlfn.XMATCH(TablaSupervisores[REFERENCIA],TablaSeleccionSupervisores[#Headers])))</f>
        <v>800</v>
      </c>
      <c r="Y134" cm="1">
        <f t="array" ref="Y134">SUM(TablaSupervisores[DISPOSITIVOS BACNET MS/TP COMPATIBLES]*INDEX(TablaSeleccionSupervisores[],ROW(TablaSeleccionSupervisores[[#This Row],[ORDEN]])-1,_xlfn.XMATCH(TablaSupervisores[REFERENCIA],TablaSeleccionSupervisores[#Headers])))</f>
        <v>512</v>
      </c>
      <c r="Z134" cm="1">
        <f t="array" ref="Z134">SUM(TablaSupervisores[DISPOSITIVOS BACNET IP]*INDEX(TablaSeleccionSupervisores[],ROW(TablaSeleccionSupervisores[[#This Row],[ORDEN]])-1,_xlfn.XMATCH(TablaSupervisores[REFERENCIA],TablaSeleccionSupervisores[#Headers])))</f>
        <v>1600</v>
      </c>
      <c r="AA134" cm="1">
        <f t="array" ref="AA134">SUM(TablaSupervisores[OBJETOS]*INDEX(TablaSeleccionSupervisores[],ROW(TablaSeleccionSupervisores[[#This Row],[ORDEN]])-1,_xlfn.XMATCH(TablaSupervisores[REFERENCIA],TablaSeleccionSupervisores[#Headers])))</f>
        <v>25000</v>
      </c>
      <c r="AB134" s="28" cm="1">
        <f t="array" ref="AB134">SUM(TablaSupervisores[COSTE]*INDEX(TablaSeleccionSupervisores[],ROW(TablaSeleccionSupervisores[[#This Row],[ORDEN]])-1,_xlfn.XMATCH(TablaSupervisores[REFERENCIA],TablaSeleccionSupervisores[#Headers])))</f>
        <v>22693.809999999998</v>
      </c>
      <c r="AC134" cm="1">
        <f t="array" ref="AC134">SUM(INDEX(TablaSeleccionSupervisores[],ROW(TablaSeleccionSupervisores[[#This Row],[ORDEN]])-1,_xlfn.XMATCH(TablaSupervisores[REFERENCIA],TablaSeleccionSupervisores[#Headers])))</f>
        <v>7</v>
      </c>
      <c r="AD134" t="str" cm="1">
        <f t="array" ref="AD134">IF(INDEX(TablaSeleccionSupervisores[],ROW(TablaSeleccionSupervisores[[#This Row],[ORDEN]])-1,_xlfn.XMATCH("ADMITIDO ADSLITE",TablaSeleccionSupervisores[#Headers])+1)=0,"Sí admitido","No admitido")</f>
        <v>No admitido</v>
      </c>
      <c r="AE134">
        <v>3</v>
      </c>
      <c r="AF134">
        <v>0</v>
      </c>
      <c r="AG134">
        <v>4</v>
      </c>
      <c r="AH134">
        <v>0</v>
      </c>
    </row>
    <row r="135" spans="22:34" x14ac:dyDescent="0.25">
      <c r="V135">
        <v>134</v>
      </c>
      <c r="W135" cm="1">
        <f t="array" ref="W135">SUM(TablaSupervisores[DISPOSITIVOS TOTAL]*INDEX(TablaSeleccionSupervisores[],ROW(TablaSeleccionSupervisores[[#This Row],[ORDEN]])-1,_xlfn.XMATCH(TablaSupervisores[REFERENCIA],TablaSeleccionSupervisores[#Headers])))</f>
        <v>2640</v>
      </c>
      <c r="X135" cm="1">
        <f t="array" ref="X135">SUM(TablaSupervisores[DISPOSITIVOS BACNET MS/TP JC]*INDEX(TablaSeleccionSupervisores[],ROW(TablaSeleccionSupervisores[[#This Row],[ORDEN]])-1,_xlfn.XMATCH(TablaSupervisores[REFERENCIA],TablaSeleccionSupervisores[#Headers])))</f>
        <v>1000</v>
      </c>
      <c r="Y135" cm="1">
        <f t="array" ref="Y135">SUM(TablaSupervisores[DISPOSITIVOS BACNET MS/TP COMPATIBLES]*INDEX(TablaSeleccionSupervisores[],ROW(TablaSeleccionSupervisores[[#This Row],[ORDEN]])-1,_xlfn.XMATCH(TablaSupervisores[REFERENCIA],TablaSeleccionSupervisores[#Headers])))</f>
        <v>640</v>
      </c>
      <c r="Z135" cm="1">
        <f t="array" ref="Z135">SUM(TablaSupervisores[DISPOSITIVOS BACNET IP]*INDEX(TablaSeleccionSupervisores[],ROW(TablaSeleccionSupervisores[[#This Row],[ORDEN]])-1,_xlfn.XMATCH(TablaSupervisores[REFERENCIA],TablaSeleccionSupervisores[#Headers])))</f>
        <v>2000</v>
      </c>
      <c r="AA135" cm="1">
        <f t="array" ref="AA135">SUM(TablaSupervisores[OBJETOS]*INDEX(TablaSeleccionSupervisores[],ROW(TablaSeleccionSupervisores[[#This Row],[ORDEN]])-1,_xlfn.XMATCH(TablaSupervisores[REFERENCIA],TablaSeleccionSupervisores[#Headers])))</f>
        <v>30000</v>
      </c>
      <c r="AB135" s="28" cm="1">
        <f t="array" ref="AB135">SUM(TablaSupervisores[COSTE]*INDEX(TablaSeleccionSupervisores[],ROW(TablaSeleccionSupervisores[[#This Row],[ORDEN]])-1,_xlfn.XMATCH(TablaSupervisores[REFERENCIA],TablaSeleccionSupervisores[#Headers])))</f>
        <v>28360.440000000002</v>
      </c>
      <c r="AC135" cm="1">
        <f t="array" ref="AC135">SUM(INDEX(TablaSeleccionSupervisores[],ROW(TablaSeleccionSupervisores[[#This Row],[ORDEN]])-1,_xlfn.XMATCH(TablaSupervisores[REFERENCIA],TablaSeleccionSupervisores[#Headers])))</f>
        <v>8</v>
      </c>
      <c r="AD135" t="str" cm="1">
        <f t="array" ref="AD135">IF(INDEX(TablaSeleccionSupervisores[],ROW(TablaSeleccionSupervisores[[#This Row],[ORDEN]])-1,_xlfn.XMATCH("ADMITIDO ADSLITE",TablaSeleccionSupervisores[#Headers])+1)=0,"Sí admitido","No admitido")</f>
        <v>No admitido</v>
      </c>
      <c r="AE135">
        <v>4</v>
      </c>
      <c r="AF135">
        <v>0</v>
      </c>
      <c r="AG135">
        <v>4</v>
      </c>
      <c r="AH135">
        <v>0</v>
      </c>
    </row>
    <row r="136" spans="22:34" x14ac:dyDescent="0.25">
      <c r="V136">
        <v>135</v>
      </c>
      <c r="W136" cm="1">
        <f t="array" ref="W136">SUM(TablaSupervisores[DISPOSITIVOS TOTAL]*INDEX(TablaSeleccionSupervisores[],ROW(TablaSeleccionSupervisores[[#This Row],[ORDEN]])-1,_xlfn.XMATCH(TablaSupervisores[REFERENCIA],TablaSeleccionSupervisores[#Headers])))</f>
        <v>390</v>
      </c>
      <c r="X136" cm="1">
        <f t="array" ref="X136">SUM(TablaSupervisores[DISPOSITIVOS BACNET MS/TP JC]*INDEX(TablaSeleccionSupervisores[],ROW(TablaSeleccionSupervisores[[#This Row],[ORDEN]])-1,_xlfn.XMATCH(TablaSupervisores[REFERENCIA],TablaSeleccionSupervisores[#Headers])))</f>
        <v>300</v>
      </c>
      <c r="Y136" cm="1">
        <f t="array" ref="Y136">SUM(TablaSupervisores[DISPOSITIVOS BACNET MS/TP COMPATIBLES]*INDEX(TablaSeleccionSupervisores[],ROW(TablaSeleccionSupervisores[[#This Row],[ORDEN]])-1,_xlfn.XMATCH(TablaSupervisores[REFERENCIA],TablaSeleccionSupervisores[#Headers])))</f>
        <v>192</v>
      </c>
      <c r="Z136" cm="1">
        <f t="array" ref="Z136">SUM(TablaSupervisores[DISPOSITIVOS BACNET IP]*INDEX(TablaSeleccionSupervisores[],ROW(TablaSeleccionSupervisores[[#This Row],[ORDEN]])-1,_xlfn.XMATCH(TablaSupervisores[REFERENCIA],TablaSeleccionSupervisores[#Headers])))</f>
        <v>600</v>
      </c>
      <c r="AA136" cm="1">
        <f t="array" ref="AA136">SUM(TablaSupervisores[OBJETOS]*INDEX(TablaSeleccionSupervisores[],ROW(TablaSeleccionSupervisores[[#This Row],[ORDEN]])-1,_xlfn.XMATCH(TablaSupervisores[REFERENCIA],TablaSeleccionSupervisores[#Headers])))</f>
        <v>12500</v>
      </c>
      <c r="AB136" s="28" cm="1">
        <f t="array" ref="AB136">SUM(TablaSupervisores[COSTE]*INDEX(TablaSeleccionSupervisores[],ROW(TablaSeleccionSupervisores[[#This Row],[ORDEN]])-1,_xlfn.XMATCH(TablaSupervisores[REFERENCIA],TablaSeleccionSupervisores[#Headers])))</f>
        <v>9682.65</v>
      </c>
      <c r="AC136" cm="1">
        <f t="array" ref="AC136">SUM(INDEX(TablaSeleccionSupervisores[],ROW(TablaSeleccionSupervisores[[#This Row],[ORDEN]])-1,_xlfn.XMATCH(TablaSupervisores[REFERENCIA],TablaSeleccionSupervisores[#Headers])))</f>
        <v>5</v>
      </c>
      <c r="AD136" t="str" cm="1">
        <f t="array" ref="AD136">IF(INDEX(TablaSeleccionSupervisores[],ROW(TablaSeleccionSupervisores[[#This Row],[ORDEN]])-1,_xlfn.XMATCH("ADMITIDO ADSLITE",TablaSeleccionSupervisores[#Headers])+1)=0,"Sí admitido","No admitido")</f>
        <v>Sí admitido</v>
      </c>
      <c r="AE136">
        <v>0</v>
      </c>
      <c r="AF136">
        <v>1</v>
      </c>
      <c r="AG136">
        <v>4</v>
      </c>
      <c r="AH136">
        <v>0</v>
      </c>
    </row>
    <row r="137" spans="22:34" x14ac:dyDescent="0.25">
      <c r="V137">
        <v>136</v>
      </c>
      <c r="W137" cm="1">
        <f t="array" ref="W137">SUM(TablaSupervisores[DISPOSITIVOS TOTAL]*INDEX(TablaSeleccionSupervisores[],ROW(TablaSeleccionSupervisores[[#This Row],[ORDEN]])-1,_xlfn.XMATCH(TablaSupervisores[REFERENCIA],TablaSeleccionSupervisores[#Headers])))</f>
        <v>990</v>
      </c>
      <c r="X137" cm="1">
        <f t="array" ref="X137">SUM(TablaSupervisores[DISPOSITIVOS BACNET MS/TP JC]*INDEX(TablaSeleccionSupervisores[],ROW(TablaSeleccionSupervisores[[#This Row],[ORDEN]])-1,_xlfn.XMATCH(TablaSupervisores[REFERENCIA],TablaSeleccionSupervisores[#Headers])))</f>
        <v>500</v>
      </c>
      <c r="Y137" cm="1">
        <f t="array" ref="Y137">SUM(TablaSupervisores[DISPOSITIVOS BACNET MS/TP COMPATIBLES]*INDEX(TablaSeleccionSupervisores[],ROW(TablaSeleccionSupervisores[[#This Row],[ORDEN]])-1,_xlfn.XMATCH(TablaSupervisores[REFERENCIA],TablaSeleccionSupervisores[#Headers])))</f>
        <v>320</v>
      </c>
      <c r="Z137" cm="1">
        <f t="array" ref="Z137">SUM(TablaSupervisores[DISPOSITIVOS BACNET IP]*INDEX(TablaSeleccionSupervisores[],ROW(TablaSeleccionSupervisores[[#This Row],[ORDEN]])-1,_xlfn.XMATCH(TablaSupervisores[REFERENCIA],TablaSeleccionSupervisores[#Headers])))</f>
        <v>1000</v>
      </c>
      <c r="AA137" cm="1">
        <f t="array" ref="AA137">SUM(TablaSupervisores[OBJETOS]*INDEX(TablaSeleccionSupervisores[],ROW(TablaSeleccionSupervisores[[#This Row],[ORDEN]])-1,_xlfn.XMATCH(TablaSupervisores[REFERENCIA],TablaSeleccionSupervisores[#Headers])))</f>
        <v>17500</v>
      </c>
      <c r="AB137" s="28" cm="1">
        <f t="array" ref="AB137">SUM(TablaSupervisores[COSTE]*INDEX(TablaSeleccionSupervisores[],ROW(TablaSeleccionSupervisores[[#This Row],[ORDEN]])-1,_xlfn.XMATCH(TablaSupervisores[REFERENCIA],TablaSeleccionSupervisores[#Headers])))</f>
        <v>15349.28</v>
      </c>
      <c r="AC137" cm="1">
        <f t="array" ref="AC137">SUM(INDEX(TablaSeleccionSupervisores[],ROW(TablaSeleccionSupervisores[[#This Row],[ORDEN]])-1,_xlfn.XMATCH(TablaSupervisores[REFERENCIA],TablaSeleccionSupervisores[#Headers])))</f>
        <v>6</v>
      </c>
      <c r="AD137" t="str" cm="1">
        <f t="array" ref="AD137">IF(INDEX(TablaSeleccionSupervisores[],ROW(TablaSeleccionSupervisores[[#This Row],[ORDEN]])-1,_xlfn.XMATCH("ADMITIDO ADSLITE",TablaSeleccionSupervisores[#Headers])+1)=0,"Sí admitido","No admitido")</f>
        <v>No admitido</v>
      </c>
      <c r="AE137">
        <v>1</v>
      </c>
      <c r="AF137">
        <v>1</v>
      </c>
      <c r="AG137">
        <v>4</v>
      </c>
      <c r="AH137">
        <v>0</v>
      </c>
    </row>
    <row r="138" spans="22:34" x14ac:dyDescent="0.25">
      <c r="V138">
        <v>137</v>
      </c>
      <c r="W138" cm="1">
        <f t="array" ref="W138">SUM(TablaSupervisores[DISPOSITIVOS TOTAL]*INDEX(TablaSeleccionSupervisores[],ROW(TablaSeleccionSupervisores[[#This Row],[ORDEN]])-1,_xlfn.XMATCH(TablaSupervisores[REFERENCIA],TablaSeleccionSupervisores[#Headers])))</f>
        <v>1590</v>
      </c>
      <c r="X138" cm="1">
        <f t="array" ref="X138">SUM(TablaSupervisores[DISPOSITIVOS BACNET MS/TP JC]*INDEX(TablaSeleccionSupervisores[],ROW(TablaSeleccionSupervisores[[#This Row],[ORDEN]])-1,_xlfn.XMATCH(TablaSupervisores[REFERENCIA],TablaSeleccionSupervisores[#Headers])))</f>
        <v>700</v>
      </c>
      <c r="Y138" cm="1">
        <f t="array" ref="Y138">SUM(TablaSupervisores[DISPOSITIVOS BACNET MS/TP COMPATIBLES]*INDEX(TablaSeleccionSupervisores[],ROW(TablaSeleccionSupervisores[[#This Row],[ORDEN]])-1,_xlfn.XMATCH(TablaSupervisores[REFERENCIA],TablaSeleccionSupervisores[#Headers])))</f>
        <v>448</v>
      </c>
      <c r="Z138" cm="1">
        <f t="array" ref="Z138">SUM(TablaSupervisores[DISPOSITIVOS BACNET IP]*INDEX(TablaSeleccionSupervisores[],ROW(TablaSeleccionSupervisores[[#This Row],[ORDEN]])-1,_xlfn.XMATCH(TablaSupervisores[REFERENCIA],TablaSeleccionSupervisores[#Headers])))</f>
        <v>1400</v>
      </c>
      <c r="AA138" cm="1">
        <f t="array" ref="AA138">SUM(TablaSupervisores[OBJETOS]*INDEX(TablaSeleccionSupervisores[],ROW(TablaSeleccionSupervisores[[#This Row],[ORDEN]])-1,_xlfn.XMATCH(TablaSupervisores[REFERENCIA],TablaSeleccionSupervisores[#Headers])))</f>
        <v>22500</v>
      </c>
      <c r="AB138" s="28" cm="1">
        <f t="array" ref="AB138">SUM(TablaSupervisores[COSTE]*INDEX(TablaSeleccionSupervisores[],ROW(TablaSeleccionSupervisores[[#This Row],[ORDEN]])-1,_xlfn.XMATCH(TablaSupervisores[REFERENCIA],TablaSeleccionSupervisores[#Headers])))</f>
        <v>21015.91</v>
      </c>
      <c r="AC138" cm="1">
        <f t="array" ref="AC138">SUM(INDEX(TablaSeleccionSupervisores[],ROW(TablaSeleccionSupervisores[[#This Row],[ORDEN]])-1,_xlfn.XMATCH(TablaSupervisores[REFERENCIA],TablaSeleccionSupervisores[#Headers])))</f>
        <v>7</v>
      </c>
      <c r="AD138" t="str" cm="1">
        <f t="array" ref="AD138">IF(INDEX(TablaSeleccionSupervisores[],ROW(TablaSeleccionSupervisores[[#This Row],[ORDEN]])-1,_xlfn.XMATCH("ADMITIDO ADSLITE",TablaSeleccionSupervisores[#Headers])+1)=0,"Sí admitido","No admitido")</f>
        <v>No admitido</v>
      </c>
      <c r="AE138">
        <v>2</v>
      </c>
      <c r="AF138">
        <v>1</v>
      </c>
      <c r="AG138">
        <v>4</v>
      </c>
      <c r="AH138">
        <v>0</v>
      </c>
    </row>
    <row r="139" spans="22:34" x14ac:dyDescent="0.25">
      <c r="V139">
        <v>138</v>
      </c>
      <c r="W139" cm="1">
        <f t="array" ref="W139">SUM(TablaSupervisores[DISPOSITIVOS TOTAL]*INDEX(TablaSeleccionSupervisores[],ROW(TablaSeleccionSupervisores[[#This Row],[ORDEN]])-1,_xlfn.XMATCH(TablaSupervisores[REFERENCIA],TablaSeleccionSupervisores[#Headers])))</f>
        <v>2190</v>
      </c>
      <c r="X139" cm="1">
        <f t="array" ref="X139">SUM(TablaSupervisores[DISPOSITIVOS BACNET MS/TP JC]*INDEX(TablaSeleccionSupervisores[],ROW(TablaSeleccionSupervisores[[#This Row],[ORDEN]])-1,_xlfn.XMATCH(TablaSupervisores[REFERENCIA],TablaSeleccionSupervisores[#Headers])))</f>
        <v>900</v>
      </c>
      <c r="Y139" cm="1">
        <f t="array" ref="Y139">SUM(TablaSupervisores[DISPOSITIVOS BACNET MS/TP COMPATIBLES]*INDEX(TablaSeleccionSupervisores[],ROW(TablaSeleccionSupervisores[[#This Row],[ORDEN]])-1,_xlfn.XMATCH(TablaSupervisores[REFERENCIA],TablaSeleccionSupervisores[#Headers])))</f>
        <v>576</v>
      </c>
      <c r="Z139" cm="1">
        <f t="array" ref="Z139">SUM(TablaSupervisores[DISPOSITIVOS BACNET IP]*INDEX(TablaSeleccionSupervisores[],ROW(TablaSeleccionSupervisores[[#This Row],[ORDEN]])-1,_xlfn.XMATCH(TablaSupervisores[REFERENCIA],TablaSeleccionSupervisores[#Headers])))</f>
        <v>1800</v>
      </c>
      <c r="AA139" cm="1">
        <f t="array" ref="AA139">SUM(TablaSupervisores[OBJETOS]*INDEX(TablaSeleccionSupervisores[],ROW(TablaSeleccionSupervisores[[#This Row],[ORDEN]])-1,_xlfn.XMATCH(TablaSupervisores[REFERENCIA],TablaSeleccionSupervisores[#Headers])))</f>
        <v>27500</v>
      </c>
      <c r="AB139" s="28" cm="1">
        <f t="array" ref="AB139">SUM(TablaSupervisores[COSTE]*INDEX(TablaSeleccionSupervisores[],ROW(TablaSeleccionSupervisores[[#This Row],[ORDEN]])-1,_xlfn.XMATCH(TablaSupervisores[REFERENCIA],TablaSeleccionSupervisores[#Headers])))</f>
        <v>26682.54</v>
      </c>
      <c r="AC139" cm="1">
        <f t="array" ref="AC139">SUM(INDEX(TablaSeleccionSupervisores[],ROW(TablaSeleccionSupervisores[[#This Row],[ORDEN]])-1,_xlfn.XMATCH(TablaSupervisores[REFERENCIA],TablaSeleccionSupervisores[#Headers])))</f>
        <v>8</v>
      </c>
      <c r="AD139" t="str" cm="1">
        <f t="array" ref="AD139">IF(INDEX(TablaSeleccionSupervisores[],ROW(TablaSeleccionSupervisores[[#This Row],[ORDEN]])-1,_xlfn.XMATCH("ADMITIDO ADSLITE",TablaSeleccionSupervisores[#Headers])+1)=0,"Sí admitido","No admitido")</f>
        <v>No admitido</v>
      </c>
      <c r="AE139">
        <v>3</v>
      </c>
      <c r="AF139">
        <v>1</v>
      </c>
      <c r="AG139">
        <v>4</v>
      </c>
      <c r="AH139">
        <v>0</v>
      </c>
    </row>
    <row r="140" spans="22:34" x14ac:dyDescent="0.25">
      <c r="V140">
        <v>139</v>
      </c>
      <c r="W140" cm="1">
        <f t="array" ref="W140">SUM(TablaSupervisores[DISPOSITIVOS TOTAL]*INDEX(TablaSeleccionSupervisores[],ROW(TablaSeleccionSupervisores[[#This Row],[ORDEN]])-1,_xlfn.XMATCH(TablaSupervisores[REFERENCIA],TablaSeleccionSupervisores[#Headers])))</f>
        <v>540</v>
      </c>
      <c r="X140" cm="1">
        <f t="array" ref="X140">SUM(TablaSupervisores[DISPOSITIVOS BACNET MS/TP JC]*INDEX(TablaSeleccionSupervisores[],ROW(TablaSeleccionSupervisores[[#This Row],[ORDEN]])-1,_xlfn.XMATCH(TablaSupervisores[REFERENCIA],TablaSeleccionSupervisores[#Headers])))</f>
        <v>400</v>
      </c>
      <c r="Y140" cm="1">
        <f t="array" ref="Y140">SUM(TablaSupervisores[DISPOSITIVOS BACNET MS/TP COMPATIBLES]*INDEX(TablaSeleccionSupervisores[],ROW(TablaSeleccionSupervisores[[#This Row],[ORDEN]])-1,_xlfn.XMATCH(TablaSupervisores[REFERENCIA],TablaSeleccionSupervisores[#Headers])))</f>
        <v>256</v>
      </c>
      <c r="Z140" cm="1">
        <f t="array" ref="Z140">SUM(TablaSupervisores[DISPOSITIVOS BACNET IP]*INDEX(TablaSeleccionSupervisores[],ROW(TablaSeleccionSupervisores[[#This Row],[ORDEN]])-1,_xlfn.XMATCH(TablaSupervisores[REFERENCIA],TablaSeleccionSupervisores[#Headers])))</f>
        <v>800</v>
      </c>
      <c r="AA140" cm="1">
        <f t="array" ref="AA140">SUM(TablaSupervisores[OBJETOS]*INDEX(TablaSeleccionSupervisores[],ROW(TablaSeleccionSupervisores[[#This Row],[ORDEN]])-1,_xlfn.XMATCH(TablaSupervisores[REFERENCIA],TablaSeleccionSupervisores[#Headers])))</f>
        <v>15000</v>
      </c>
      <c r="AB140" s="28" cm="1">
        <f t="array" ref="AB140">SUM(TablaSupervisores[COSTE]*INDEX(TablaSeleccionSupervisores[],ROW(TablaSeleccionSupervisores[[#This Row],[ORDEN]])-1,_xlfn.XMATCH(TablaSupervisores[REFERENCIA],TablaSeleccionSupervisores[#Headers])))</f>
        <v>13671.380000000001</v>
      </c>
      <c r="AC140" cm="1">
        <f t="array" ref="AC140">SUM(INDEX(TablaSeleccionSupervisores[],ROW(TablaSeleccionSupervisores[[#This Row],[ORDEN]])-1,_xlfn.XMATCH(TablaSupervisores[REFERENCIA],TablaSeleccionSupervisores[#Headers])))</f>
        <v>6</v>
      </c>
      <c r="AD140" t="str" cm="1">
        <f t="array" ref="AD140">IF(INDEX(TablaSeleccionSupervisores[],ROW(TablaSeleccionSupervisores[[#This Row],[ORDEN]])-1,_xlfn.XMATCH("ADMITIDO ADSLITE",TablaSeleccionSupervisores[#Headers])+1)=0,"Sí admitido","No admitido")</f>
        <v>Sí admitido</v>
      </c>
      <c r="AE140">
        <v>0</v>
      </c>
      <c r="AF140">
        <v>2</v>
      </c>
      <c r="AG140">
        <v>4</v>
      </c>
      <c r="AH140">
        <v>0</v>
      </c>
    </row>
    <row r="141" spans="22:34" x14ac:dyDescent="0.25">
      <c r="V141">
        <v>140</v>
      </c>
      <c r="W141" cm="1">
        <f t="array" ref="W141">SUM(TablaSupervisores[DISPOSITIVOS TOTAL]*INDEX(TablaSeleccionSupervisores[],ROW(TablaSeleccionSupervisores[[#This Row],[ORDEN]])-1,_xlfn.XMATCH(TablaSupervisores[REFERENCIA],TablaSeleccionSupervisores[#Headers])))</f>
        <v>1140</v>
      </c>
      <c r="X141" cm="1">
        <f t="array" ref="X141">SUM(TablaSupervisores[DISPOSITIVOS BACNET MS/TP JC]*INDEX(TablaSeleccionSupervisores[],ROW(TablaSeleccionSupervisores[[#This Row],[ORDEN]])-1,_xlfn.XMATCH(TablaSupervisores[REFERENCIA],TablaSeleccionSupervisores[#Headers])))</f>
        <v>600</v>
      </c>
      <c r="Y141" cm="1">
        <f t="array" ref="Y141">SUM(TablaSupervisores[DISPOSITIVOS BACNET MS/TP COMPATIBLES]*INDEX(TablaSeleccionSupervisores[],ROW(TablaSeleccionSupervisores[[#This Row],[ORDEN]])-1,_xlfn.XMATCH(TablaSupervisores[REFERENCIA],TablaSeleccionSupervisores[#Headers])))</f>
        <v>384</v>
      </c>
      <c r="Z141" cm="1">
        <f t="array" ref="Z141">SUM(TablaSupervisores[DISPOSITIVOS BACNET IP]*INDEX(TablaSeleccionSupervisores[],ROW(TablaSeleccionSupervisores[[#This Row],[ORDEN]])-1,_xlfn.XMATCH(TablaSupervisores[REFERENCIA],TablaSeleccionSupervisores[#Headers])))</f>
        <v>1200</v>
      </c>
      <c r="AA141" cm="1">
        <f t="array" ref="AA141">SUM(TablaSupervisores[OBJETOS]*INDEX(TablaSeleccionSupervisores[],ROW(TablaSeleccionSupervisores[[#This Row],[ORDEN]])-1,_xlfn.XMATCH(TablaSupervisores[REFERENCIA],TablaSeleccionSupervisores[#Headers])))</f>
        <v>20000</v>
      </c>
      <c r="AB141" s="28" cm="1">
        <f t="array" ref="AB141">SUM(TablaSupervisores[COSTE]*INDEX(TablaSeleccionSupervisores[],ROW(TablaSeleccionSupervisores[[#This Row],[ORDEN]])-1,_xlfn.XMATCH(TablaSupervisores[REFERENCIA],TablaSeleccionSupervisores[#Headers])))</f>
        <v>19338.010000000002</v>
      </c>
      <c r="AC141" cm="1">
        <f t="array" ref="AC141">SUM(INDEX(TablaSeleccionSupervisores[],ROW(TablaSeleccionSupervisores[[#This Row],[ORDEN]])-1,_xlfn.XMATCH(TablaSupervisores[REFERENCIA],TablaSeleccionSupervisores[#Headers])))</f>
        <v>7</v>
      </c>
      <c r="AD141" t="str" cm="1">
        <f t="array" ref="AD141">IF(INDEX(TablaSeleccionSupervisores[],ROW(TablaSeleccionSupervisores[[#This Row],[ORDEN]])-1,_xlfn.XMATCH("ADMITIDO ADSLITE",TablaSeleccionSupervisores[#Headers])+1)=0,"Sí admitido","No admitido")</f>
        <v>No admitido</v>
      </c>
      <c r="AE141">
        <v>1</v>
      </c>
      <c r="AF141">
        <v>2</v>
      </c>
      <c r="AG141">
        <v>4</v>
      </c>
      <c r="AH141">
        <v>0</v>
      </c>
    </row>
    <row r="142" spans="22:34" x14ac:dyDescent="0.25">
      <c r="V142">
        <v>141</v>
      </c>
      <c r="W142" cm="1">
        <f t="array" ref="W142">SUM(TablaSupervisores[DISPOSITIVOS TOTAL]*INDEX(TablaSeleccionSupervisores[],ROW(TablaSeleccionSupervisores[[#This Row],[ORDEN]])-1,_xlfn.XMATCH(TablaSupervisores[REFERENCIA],TablaSeleccionSupervisores[#Headers])))</f>
        <v>1740</v>
      </c>
      <c r="X142" cm="1">
        <f t="array" ref="X142">SUM(TablaSupervisores[DISPOSITIVOS BACNET MS/TP JC]*INDEX(TablaSeleccionSupervisores[],ROW(TablaSeleccionSupervisores[[#This Row],[ORDEN]])-1,_xlfn.XMATCH(TablaSupervisores[REFERENCIA],TablaSeleccionSupervisores[#Headers])))</f>
        <v>800</v>
      </c>
      <c r="Y142" cm="1">
        <f t="array" ref="Y142">SUM(TablaSupervisores[DISPOSITIVOS BACNET MS/TP COMPATIBLES]*INDEX(TablaSeleccionSupervisores[],ROW(TablaSeleccionSupervisores[[#This Row],[ORDEN]])-1,_xlfn.XMATCH(TablaSupervisores[REFERENCIA],TablaSeleccionSupervisores[#Headers])))</f>
        <v>512</v>
      </c>
      <c r="Z142" cm="1">
        <f t="array" ref="Z142">SUM(TablaSupervisores[DISPOSITIVOS BACNET IP]*INDEX(TablaSeleccionSupervisores[],ROW(TablaSeleccionSupervisores[[#This Row],[ORDEN]])-1,_xlfn.XMATCH(TablaSupervisores[REFERENCIA],TablaSeleccionSupervisores[#Headers])))</f>
        <v>1600</v>
      </c>
      <c r="AA142" cm="1">
        <f t="array" ref="AA142">SUM(TablaSupervisores[OBJETOS]*INDEX(TablaSeleccionSupervisores[],ROW(TablaSeleccionSupervisores[[#This Row],[ORDEN]])-1,_xlfn.XMATCH(TablaSupervisores[REFERENCIA],TablaSeleccionSupervisores[#Headers])))</f>
        <v>25000</v>
      </c>
      <c r="AB142" s="28" cm="1">
        <f t="array" ref="AB142">SUM(TablaSupervisores[COSTE]*INDEX(TablaSeleccionSupervisores[],ROW(TablaSeleccionSupervisores[[#This Row],[ORDEN]])-1,_xlfn.XMATCH(TablaSupervisores[REFERENCIA],TablaSeleccionSupervisores[#Headers])))</f>
        <v>25004.639999999999</v>
      </c>
      <c r="AC142" cm="1">
        <f t="array" ref="AC142">SUM(INDEX(TablaSeleccionSupervisores[],ROW(TablaSeleccionSupervisores[[#This Row],[ORDEN]])-1,_xlfn.XMATCH(TablaSupervisores[REFERENCIA],TablaSeleccionSupervisores[#Headers])))</f>
        <v>8</v>
      </c>
      <c r="AD142" t="str" cm="1">
        <f t="array" ref="AD142">IF(INDEX(TablaSeleccionSupervisores[],ROW(TablaSeleccionSupervisores[[#This Row],[ORDEN]])-1,_xlfn.XMATCH("ADMITIDO ADSLITE",TablaSeleccionSupervisores[#Headers])+1)=0,"Sí admitido","No admitido")</f>
        <v>No admitido</v>
      </c>
      <c r="AE142">
        <v>2</v>
      </c>
      <c r="AF142">
        <v>2</v>
      </c>
      <c r="AG142">
        <v>4</v>
      </c>
      <c r="AH142">
        <v>0</v>
      </c>
    </row>
    <row r="143" spans="22:34" x14ac:dyDescent="0.25">
      <c r="V143">
        <v>142</v>
      </c>
      <c r="W143" cm="1">
        <f t="array" ref="W143">SUM(TablaSupervisores[DISPOSITIVOS TOTAL]*INDEX(TablaSeleccionSupervisores[],ROW(TablaSeleccionSupervisores[[#This Row],[ORDEN]])-1,_xlfn.XMATCH(TablaSupervisores[REFERENCIA],TablaSeleccionSupervisores[#Headers])))</f>
        <v>690</v>
      </c>
      <c r="X143" cm="1">
        <f t="array" ref="X143">SUM(TablaSupervisores[DISPOSITIVOS BACNET MS/TP JC]*INDEX(TablaSeleccionSupervisores[],ROW(TablaSeleccionSupervisores[[#This Row],[ORDEN]])-1,_xlfn.XMATCH(TablaSupervisores[REFERENCIA],TablaSeleccionSupervisores[#Headers])))</f>
        <v>500</v>
      </c>
      <c r="Y143" cm="1">
        <f t="array" ref="Y143">SUM(TablaSupervisores[DISPOSITIVOS BACNET MS/TP COMPATIBLES]*INDEX(TablaSeleccionSupervisores[],ROW(TablaSeleccionSupervisores[[#This Row],[ORDEN]])-1,_xlfn.XMATCH(TablaSupervisores[REFERENCIA],TablaSeleccionSupervisores[#Headers])))</f>
        <v>320</v>
      </c>
      <c r="Z143" cm="1">
        <f t="array" ref="Z143">SUM(TablaSupervisores[DISPOSITIVOS BACNET IP]*INDEX(TablaSeleccionSupervisores[],ROW(TablaSeleccionSupervisores[[#This Row],[ORDEN]])-1,_xlfn.XMATCH(TablaSupervisores[REFERENCIA],TablaSeleccionSupervisores[#Headers])))</f>
        <v>1000</v>
      </c>
      <c r="AA143" cm="1">
        <f t="array" ref="AA143">SUM(TablaSupervisores[OBJETOS]*INDEX(TablaSeleccionSupervisores[],ROW(TablaSeleccionSupervisores[[#This Row],[ORDEN]])-1,_xlfn.XMATCH(TablaSupervisores[REFERENCIA],TablaSeleccionSupervisores[#Headers])))</f>
        <v>17500</v>
      </c>
      <c r="AB143" s="28" cm="1">
        <f t="array" ref="AB143">SUM(TablaSupervisores[COSTE]*INDEX(TablaSeleccionSupervisores[],ROW(TablaSeleccionSupervisores[[#This Row],[ORDEN]])-1,_xlfn.XMATCH(TablaSupervisores[REFERENCIA],TablaSeleccionSupervisores[#Headers])))</f>
        <v>17660.11</v>
      </c>
      <c r="AC143" cm="1">
        <f t="array" ref="AC143">SUM(INDEX(TablaSeleccionSupervisores[],ROW(TablaSeleccionSupervisores[[#This Row],[ORDEN]])-1,_xlfn.XMATCH(TablaSupervisores[REFERENCIA],TablaSeleccionSupervisores[#Headers])))</f>
        <v>7</v>
      </c>
      <c r="AD143" t="str" cm="1">
        <f t="array" ref="AD143">IF(INDEX(TablaSeleccionSupervisores[],ROW(TablaSeleccionSupervisores[[#This Row],[ORDEN]])-1,_xlfn.XMATCH("ADMITIDO ADSLITE",TablaSeleccionSupervisores[#Headers])+1)=0,"Sí admitido","No admitido")</f>
        <v>Sí admitido</v>
      </c>
      <c r="AE143">
        <v>0</v>
      </c>
      <c r="AF143">
        <v>3</v>
      </c>
      <c r="AG143">
        <v>4</v>
      </c>
      <c r="AH143">
        <v>0</v>
      </c>
    </row>
    <row r="144" spans="22:34" x14ac:dyDescent="0.25">
      <c r="V144">
        <v>143</v>
      </c>
      <c r="W144" cm="1">
        <f t="array" ref="W144">SUM(TablaSupervisores[DISPOSITIVOS TOTAL]*INDEX(TablaSeleccionSupervisores[],ROW(TablaSeleccionSupervisores[[#This Row],[ORDEN]])-1,_xlfn.XMATCH(TablaSupervisores[REFERENCIA],TablaSeleccionSupervisores[#Headers])))</f>
        <v>1290</v>
      </c>
      <c r="X144" cm="1">
        <f t="array" ref="X144">SUM(TablaSupervisores[DISPOSITIVOS BACNET MS/TP JC]*INDEX(TablaSeleccionSupervisores[],ROW(TablaSeleccionSupervisores[[#This Row],[ORDEN]])-1,_xlfn.XMATCH(TablaSupervisores[REFERENCIA],TablaSeleccionSupervisores[#Headers])))</f>
        <v>700</v>
      </c>
      <c r="Y144" cm="1">
        <f t="array" ref="Y144">SUM(TablaSupervisores[DISPOSITIVOS BACNET MS/TP COMPATIBLES]*INDEX(TablaSeleccionSupervisores[],ROW(TablaSeleccionSupervisores[[#This Row],[ORDEN]])-1,_xlfn.XMATCH(TablaSupervisores[REFERENCIA],TablaSeleccionSupervisores[#Headers])))</f>
        <v>448</v>
      </c>
      <c r="Z144" cm="1">
        <f t="array" ref="Z144">SUM(TablaSupervisores[DISPOSITIVOS BACNET IP]*INDEX(TablaSeleccionSupervisores[],ROW(TablaSeleccionSupervisores[[#This Row],[ORDEN]])-1,_xlfn.XMATCH(TablaSupervisores[REFERENCIA],TablaSeleccionSupervisores[#Headers])))</f>
        <v>1400</v>
      </c>
      <c r="AA144" cm="1">
        <f t="array" ref="AA144">SUM(TablaSupervisores[OBJETOS]*INDEX(TablaSeleccionSupervisores[],ROW(TablaSeleccionSupervisores[[#This Row],[ORDEN]])-1,_xlfn.XMATCH(TablaSupervisores[REFERENCIA],TablaSeleccionSupervisores[#Headers])))</f>
        <v>22500</v>
      </c>
      <c r="AB144" s="28" cm="1">
        <f t="array" ref="AB144">SUM(TablaSupervisores[COSTE]*INDEX(TablaSeleccionSupervisores[],ROW(TablaSeleccionSupervisores[[#This Row],[ORDEN]])-1,_xlfn.XMATCH(TablaSupervisores[REFERENCIA],TablaSeleccionSupervisores[#Headers])))</f>
        <v>23326.739999999998</v>
      </c>
      <c r="AC144" cm="1">
        <f t="array" ref="AC144">SUM(INDEX(TablaSeleccionSupervisores[],ROW(TablaSeleccionSupervisores[[#This Row],[ORDEN]])-1,_xlfn.XMATCH(TablaSupervisores[REFERENCIA],TablaSeleccionSupervisores[#Headers])))</f>
        <v>8</v>
      </c>
      <c r="AD144" t="str" cm="1">
        <f t="array" ref="AD144">IF(INDEX(TablaSeleccionSupervisores[],ROW(TablaSeleccionSupervisores[[#This Row],[ORDEN]])-1,_xlfn.XMATCH("ADMITIDO ADSLITE",TablaSeleccionSupervisores[#Headers])+1)=0,"Sí admitido","No admitido")</f>
        <v>No admitido</v>
      </c>
      <c r="AE144">
        <v>1</v>
      </c>
      <c r="AF144">
        <v>3</v>
      </c>
      <c r="AG144">
        <v>4</v>
      </c>
      <c r="AH144">
        <v>0</v>
      </c>
    </row>
    <row r="145" spans="22:34" x14ac:dyDescent="0.25">
      <c r="V145">
        <v>144</v>
      </c>
      <c r="W145" cm="1">
        <f t="array" ref="W145">SUM(TablaSupervisores[DISPOSITIVOS TOTAL]*INDEX(TablaSeleccionSupervisores[],ROW(TablaSeleccionSupervisores[[#This Row],[ORDEN]])-1,_xlfn.XMATCH(TablaSupervisores[REFERENCIA],TablaSeleccionSupervisores[#Headers])))</f>
        <v>840</v>
      </c>
      <c r="X145" cm="1">
        <f t="array" ref="X145">SUM(TablaSupervisores[DISPOSITIVOS BACNET MS/TP JC]*INDEX(TablaSeleccionSupervisores[],ROW(TablaSeleccionSupervisores[[#This Row],[ORDEN]])-1,_xlfn.XMATCH(TablaSupervisores[REFERENCIA],TablaSeleccionSupervisores[#Headers])))</f>
        <v>600</v>
      </c>
      <c r="Y145" cm="1">
        <f t="array" ref="Y145">SUM(TablaSupervisores[DISPOSITIVOS BACNET MS/TP COMPATIBLES]*INDEX(TablaSeleccionSupervisores[],ROW(TablaSeleccionSupervisores[[#This Row],[ORDEN]])-1,_xlfn.XMATCH(TablaSupervisores[REFERENCIA],TablaSeleccionSupervisores[#Headers])))</f>
        <v>384</v>
      </c>
      <c r="Z145" cm="1">
        <f t="array" ref="Z145">SUM(TablaSupervisores[DISPOSITIVOS BACNET IP]*INDEX(TablaSeleccionSupervisores[],ROW(TablaSeleccionSupervisores[[#This Row],[ORDEN]])-1,_xlfn.XMATCH(TablaSupervisores[REFERENCIA],TablaSeleccionSupervisores[#Headers])))</f>
        <v>1200</v>
      </c>
      <c r="AA145" cm="1">
        <f t="array" ref="AA145">SUM(TablaSupervisores[OBJETOS]*INDEX(TablaSeleccionSupervisores[],ROW(TablaSeleccionSupervisores[[#This Row],[ORDEN]])-1,_xlfn.XMATCH(TablaSupervisores[REFERENCIA],TablaSeleccionSupervisores[#Headers])))</f>
        <v>20000</v>
      </c>
      <c r="AB145" s="28" cm="1">
        <f t="array" ref="AB145">SUM(TablaSupervisores[COSTE]*INDEX(TablaSeleccionSupervisores[],ROW(TablaSeleccionSupervisores[[#This Row],[ORDEN]])-1,_xlfn.XMATCH(TablaSupervisores[REFERENCIA],TablaSeleccionSupervisores[#Headers])))</f>
        <v>21648.84</v>
      </c>
      <c r="AC145" cm="1">
        <f t="array" ref="AC145">SUM(INDEX(TablaSeleccionSupervisores[],ROW(TablaSeleccionSupervisores[[#This Row],[ORDEN]])-1,_xlfn.XMATCH(TablaSupervisores[REFERENCIA],TablaSeleccionSupervisores[#Headers])))</f>
        <v>8</v>
      </c>
      <c r="AD145" t="str" cm="1">
        <f t="array" ref="AD145">IF(INDEX(TablaSeleccionSupervisores[],ROW(TablaSeleccionSupervisores[[#This Row],[ORDEN]])-1,_xlfn.XMATCH("ADMITIDO ADSLITE",TablaSeleccionSupervisores[#Headers])+1)=0,"Sí admitido","No admitido")</f>
        <v>Sí admitido</v>
      </c>
      <c r="AE145">
        <v>0</v>
      </c>
      <c r="AF145">
        <v>4</v>
      </c>
      <c r="AG145">
        <v>4</v>
      </c>
      <c r="AH145">
        <v>0</v>
      </c>
    </row>
    <row r="146" spans="22:34" x14ac:dyDescent="0.25">
      <c r="V146">
        <v>145</v>
      </c>
      <c r="W146" cm="1">
        <f t="array" ref="W146">SUM(TablaSupervisores[DISPOSITIVOS TOTAL]*INDEX(TablaSeleccionSupervisores[],ROW(TablaSeleccionSupervisores[[#This Row],[ORDEN]])-1,_xlfn.XMATCH(TablaSupervisores[REFERENCIA],TablaSeleccionSupervisores[#Headers])))</f>
        <v>300</v>
      </c>
      <c r="X146" cm="1">
        <f t="array" ref="X146">SUM(TablaSupervisores[DISPOSITIVOS BACNET MS/TP JC]*INDEX(TablaSeleccionSupervisores[],ROW(TablaSeleccionSupervisores[[#This Row],[ORDEN]])-1,_xlfn.XMATCH(TablaSupervisores[REFERENCIA],TablaSeleccionSupervisores[#Headers])))</f>
        <v>250</v>
      </c>
      <c r="Y146" cm="1">
        <f t="array" ref="Y146">SUM(TablaSupervisores[DISPOSITIVOS BACNET MS/TP COMPATIBLES]*INDEX(TablaSeleccionSupervisores[],ROW(TablaSeleccionSupervisores[[#This Row],[ORDEN]])-1,_xlfn.XMATCH(TablaSupervisores[REFERENCIA],TablaSeleccionSupervisores[#Headers])))</f>
        <v>160</v>
      </c>
      <c r="Z146" cm="1">
        <f t="array" ref="Z146">SUM(TablaSupervisores[DISPOSITIVOS BACNET IP]*INDEX(TablaSeleccionSupervisores[],ROW(TablaSeleccionSupervisores[[#This Row],[ORDEN]])-1,_xlfn.XMATCH(TablaSupervisores[REFERENCIA],TablaSeleccionSupervisores[#Headers])))</f>
        <v>500</v>
      </c>
      <c r="AA146" cm="1">
        <f t="array" ref="AA146">SUM(TablaSupervisores[OBJETOS]*INDEX(TablaSeleccionSupervisores[],ROW(TablaSeleccionSupervisores[[#This Row],[ORDEN]])-1,_xlfn.XMATCH(TablaSupervisores[REFERENCIA],TablaSeleccionSupervisores[#Headers])))</f>
        <v>12500</v>
      </c>
      <c r="AB146" s="28" cm="1">
        <f t="array" ref="AB146">SUM(TablaSupervisores[COSTE]*INDEX(TablaSeleccionSupervisores[],ROW(TablaSeleccionSupervisores[[#This Row],[ORDEN]])-1,_xlfn.XMATCH(TablaSupervisores[REFERENCIA],TablaSeleccionSupervisores[#Headers])))</f>
        <v>7117.4</v>
      </c>
      <c r="AC146" cm="1">
        <f t="array" ref="AC146">SUM(INDEX(TablaSeleccionSupervisores[],ROW(TablaSeleccionSupervisores[[#This Row],[ORDEN]])-1,_xlfn.XMATCH(TablaSupervisores[REFERENCIA],TablaSeleccionSupervisores[#Headers])))</f>
        <v>5</v>
      </c>
      <c r="AD146" t="str" cm="1">
        <f t="array" ref="AD146">IF(INDEX(TablaSeleccionSupervisores[],ROW(TablaSeleccionSupervisores[[#This Row],[ORDEN]])-1,_xlfn.XMATCH("ADMITIDO ADSLITE",TablaSeleccionSupervisores[#Headers])+1)=0,"Sí admitido","No admitido")</f>
        <v>Sí admitido</v>
      </c>
      <c r="AE146">
        <v>0</v>
      </c>
      <c r="AF146">
        <v>0</v>
      </c>
      <c r="AG146">
        <v>5</v>
      </c>
      <c r="AH146">
        <v>0</v>
      </c>
    </row>
    <row r="147" spans="22:34" x14ac:dyDescent="0.25">
      <c r="V147">
        <v>146</v>
      </c>
      <c r="W147" cm="1">
        <f t="array" ref="W147">SUM(TablaSupervisores[DISPOSITIVOS TOTAL]*INDEX(TablaSeleccionSupervisores[],ROW(TablaSeleccionSupervisores[[#This Row],[ORDEN]])-1,_xlfn.XMATCH(TablaSupervisores[REFERENCIA],TablaSeleccionSupervisores[#Headers])))</f>
        <v>900</v>
      </c>
      <c r="X147" cm="1">
        <f t="array" ref="X147">SUM(TablaSupervisores[DISPOSITIVOS BACNET MS/TP JC]*INDEX(TablaSeleccionSupervisores[],ROW(TablaSeleccionSupervisores[[#This Row],[ORDEN]])-1,_xlfn.XMATCH(TablaSupervisores[REFERENCIA],TablaSeleccionSupervisores[#Headers])))</f>
        <v>450</v>
      </c>
      <c r="Y147" cm="1">
        <f t="array" ref="Y147">SUM(TablaSupervisores[DISPOSITIVOS BACNET MS/TP COMPATIBLES]*INDEX(TablaSeleccionSupervisores[],ROW(TablaSeleccionSupervisores[[#This Row],[ORDEN]])-1,_xlfn.XMATCH(TablaSupervisores[REFERENCIA],TablaSeleccionSupervisores[#Headers])))</f>
        <v>288</v>
      </c>
      <c r="Z147" cm="1">
        <f t="array" ref="Z147">SUM(TablaSupervisores[DISPOSITIVOS BACNET IP]*INDEX(TablaSeleccionSupervisores[],ROW(TablaSeleccionSupervisores[[#This Row],[ORDEN]])-1,_xlfn.XMATCH(TablaSupervisores[REFERENCIA],TablaSeleccionSupervisores[#Headers])))</f>
        <v>900</v>
      </c>
      <c r="AA147" cm="1">
        <f t="array" ref="AA147">SUM(TablaSupervisores[OBJETOS]*INDEX(TablaSeleccionSupervisores[],ROW(TablaSeleccionSupervisores[[#This Row],[ORDEN]])-1,_xlfn.XMATCH(TablaSupervisores[REFERENCIA],TablaSeleccionSupervisores[#Headers])))</f>
        <v>17500</v>
      </c>
      <c r="AB147" s="28" cm="1">
        <f t="array" ref="AB147">SUM(TablaSupervisores[COSTE]*INDEX(TablaSeleccionSupervisores[],ROW(TablaSeleccionSupervisores[[#This Row],[ORDEN]])-1,_xlfn.XMATCH(TablaSupervisores[REFERENCIA],TablaSeleccionSupervisores[#Headers])))</f>
        <v>12784.029999999999</v>
      </c>
      <c r="AC147" cm="1">
        <f t="array" ref="AC147">SUM(INDEX(TablaSeleccionSupervisores[],ROW(TablaSeleccionSupervisores[[#This Row],[ORDEN]])-1,_xlfn.XMATCH(TablaSupervisores[REFERENCIA],TablaSeleccionSupervisores[#Headers])))</f>
        <v>6</v>
      </c>
      <c r="AD147" t="str" cm="1">
        <f t="array" ref="AD147">IF(INDEX(TablaSeleccionSupervisores[],ROW(TablaSeleccionSupervisores[[#This Row],[ORDEN]])-1,_xlfn.XMATCH("ADMITIDO ADSLITE",TablaSeleccionSupervisores[#Headers])+1)=0,"Sí admitido","No admitido")</f>
        <v>No admitido</v>
      </c>
      <c r="AE147">
        <v>1</v>
      </c>
      <c r="AF147">
        <v>0</v>
      </c>
      <c r="AG147">
        <v>5</v>
      </c>
      <c r="AH147">
        <v>0</v>
      </c>
    </row>
    <row r="148" spans="22:34" x14ac:dyDescent="0.25">
      <c r="V148">
        <v>147</v>
      </c>
      <c r="W148" cm="1">
        <f t="array" ref="W148">SUM(TablaSupervisores[DISPOSITIVOS TOTAL]*INDEX(TablaSeleccionSupervisores[],ROW(TablaSeleccionSupervisores[[#This Row],[ORDEN]])-1,_xlfn.XMATCH(TablaSupervisores[REFERENCIA],TablaSeleccionSupervisores[#Headers])))</f>
        <v>1500</v>
      </c>
      <c r="X148" cm="1">
        <f t="array" ref="X148">SUM(TablaSupervisores[DISPOSITIVOS BACNET MS/TP JC]*INDEX(TablaSeleccionSupervisores[],ROW(TablaSeleccionSupervisores[[#This Row],[ORDEN]])-1,_xlfn.XMATCH(TablaSupervisores[REFERENCIA],TablaSeleccionSupervisores[#Headers])))</f>
        <v>650</v>
      </c>
      <c r="Y148" cm="1">
        <f t="array" ref="Y148">SUM(TablaSupervisores[DISPOSITIVOS BACNET MS/TP COMPATIBLES]*INDEX(TablaSeleccionSupervisores[],ROW(TablaSeleccionSupervisores[[#This Row],[ORDEN]])-1,_xlfn.XMATCH(TablaSupervisores[REFERENCIA],TablaSeleccionSupervisores[#Headers])))</f>
        <v>416</v>
      </c>
      <c r="Z148" cm="1">
        <f t="array" ref="Z148">SUM(TablaSupervisores[DISPOSITIVOS BACNET IP]*INDEX(TablaSeleccionSupervisores[],ROW(TablaSeleccionSupervisores[[#This Row],[ORDEN]])-1,_xlfn.XMATCH(TablaSupervisores[REFERENCIA],TablaSeleccionSupervisores[#Headers])))</f>
        <v>1300</v>
      </c>
      <c r="AA148" cm="1">
        <f t="array" ref="AA148">SUM(TablaSupervisores[OBJETOS]*INDEX(TablaSeleccionSupervisores[],ROW(TablaSeleccionSupervisores[[#This Row],[ORDEN]])-1,_xlfn.XMATCH(TablaSupervisores[REFERENCIA],TablaSeleccionSupervisores[#Headers])))</f>
        <v>22500</v>
      </c>
      <c r="AB148" s="28" cm="1">
        <f t="array" ref="AB148">SUM(TablaSupervisores[COSTE]*INDEX(TablaSeleccionSupervisores[],ROW(TablaSeleccionSupervisores[[#This Row],[ORDEN]])-1,_xlfn.XMATCH(TablaSupervisores[REFERENCIA],TablaSeleccionSupervisores[#Headers])))</f>
        <v>18450.66</v>
      </c>
      <c r="AC148" cm="1">
        <f t="array" ref="AC148">SUM(INDEX(TablaSeleccionSupervisores[],ROW(TablaSeleccionSupervisores[[#This Row],[ORDEN]])-1,_xlfn.XMATCH(TablaSupervisores[REFERENCIA],TablaSeleccionSupervisores[#Headers])))</f>
        <v>7</v>
      </c>
      <c r="AD148" t="str" cm="1">
        <f t="array" ref="AD148">IF(INDEX(TablaSeleccionSupervisores[],ROW(TablaSeleccionSupervisores[[#This Row],[ORDEN]])-1,_xlfn.XMATCH("ADMITIDO ADSLITE",TablaSeleccionSupervisores[#Headers])+1)=0,"Sí admitido","No admitido")</f>
        <v>No admitido</v>
      </c>
      <c r="AE148">
        <v>2</v>
      </c>
      <c r="AF148">
        <v>0</v>
      </c>
      <c r="AG148">
        <v>5</v>
      </c>
      <c r="AH148">
        <v>0</v>
      </c>
    </row>
    <row r="149" spans="22:34" x14ac:dyDescent="0.25">
      <c r="V149">
        <v>148</v>
      </c>
      <c r="W149" cm="1">
        <f t="array" ref="W149">SUM(TablaSupervisores[DISPOSITIVOS TOTAL]*INDEX(TablaSeleccionSupervisores[],ROW(TablaSeleccionSupervisores[[#This Row],[ORDEN]])-1,_xlfn.XMATCH(TablaSupervisores[REFERENCIA],TablaSeleccionSupervisores[#Headers])))</f>
        <v>2100</v>
      </c>
      <c r="X149" cm="1">
        <f t="array" ref="X149">SUM(TablaSupervisores[DISPOSITIVOS BACNET MS/TP JC]*INDEX(TablaSeleccionSupervisores[],ROW(TablaSeleccionSupervisores[[#This Row],[ORDEN]])-1,_xlfn.XMATCH(TablaSupervisores[REFERENCIA],TablaSeleccionSupervisores[#Headers])))</f>
        <v>850</v>
      </c>
      <c r="Y149" cm="1">
        <f t="array" ref="Y149">SUM(TablaSupervisores[DISPOSITIVOS BACNET MS/TP COMPATIBLES]*INDEX(TablaSeleccionSupervisores[],ROW(TablaSeleccionSupervisores[[#This Row],[ORDEN]])-1,_xlfn.XMATCH(TablaSupervisores[REFERENCIA],TablaSeleccionSupervisores[#Headers])))</f>
        <v>544</v>
      </c>
      <c r="Z149" cm="1">
        <f t="array" ref="Z149">SUM(TablaSupervisores[DISPOSITIVOS BACNET IP]*INDEX(TablaSeleccionSupervisores[],ROW(TablaSeleccionSupervisores[[#This Row],[ORDEN]])-1,_xlfn.XMATCH(TablaSupervisores[REFERENCIA],TablaSeleccionSupervisores[#Headers])))</f>
        <v>1700</v>
      </c>
      <c r="AA149" cm="1">
        <f t="array" ref="AA149">SUM(TablaSupervisores[OBJETOS]*INDEX(TablaSeleccionSupervisores[],ROW(TablaSeleccionSupervisores[[#This Row],[ORDEN]])-1,_xlfn.XMATCH(TablaSupervisores[REFERENCIA],TablaSeleccionSupervisores[#Headers])))</f>
        <v>27500</v>
      </c>
      <c r="AB149" s="28" cm="1">
        <f t="array" ref="AB149">SUM(TablaSupervisores[COSTE]*INDEX(TablaSeleccionSupervisores[],ROW(TablaSeleccionSupervisores[[#This Row],[ORDEN]])-1,_xlfn.XMATCH(TablaSupervisores[REFERENCIA],TablaSeleccionSupervisores[#Headers])))</f>
        <v>24117.29</v>
      </c>
      <c r="AC149" cm="1">
        <f t="array" ref="AC149">SUM(INDEX(TablaSeleccionSupervisores[],ROW(TablaSeleccionSupervisores[[#This Row],[ORDEN]])-1,_xlfn.XMATCH(TablaSupervisores[REFERENCIA],TablaSeleccionSupervisores[#Headers])))</f>
        <v>8</v>
      </c>
      <c r="AD149" t="str" cm="1">
        <f t="array" ref="AD149">IF(INDEX(TablaSeleccionSupervisores[],ROW(TablaSeleccionSupervisores[[#This Row],[ORDEN]])-1,_xlfn.XMATCH("ADMITIDO ADSLITE",TablaSeleccionSupervisores[#Headers])+1)=0,"Sí admitido","No admitido")</f>
        <v>No admitido</v>
      </c>
      <c r="AE149">
        <v>3</v>
      </c>
      <c r="AF149">
        <v>0</v>
      </c>
      <c r="AG149">
        <v>5</v>
      </c>
      <c r="AH149">
        <v>0</v>
      </c>
    </row>
    <row r="150" spans="22:34" x14ac:dyDescent="0.25">
      <c r="V150">
        <v>149</v>
      </c>
      <c r="W150" cm="1">
        <f t="array" ref="W150">SUM(TablaSupervisores[DISPOSITIVOS TOTAL]*INDEX(TablaSeleccionSupervisores[],ROW(TablaSeleccionSupervisores[[#This Row],[ORDEN]])-1,_xlfn.XMATCH(TablaSupervisores[REFERENCIA],TablaSeleccionSupervisores[#Headers])))</f>
        <v>450</v>
      </c>
      <c r="X150" cm="1">
        <f t="array" ref="X150">SUM(TablaSupervisores[DISPOSITIVOS BACNET MS/TP JC]*INDEX(TablaSeleccionSupervisores[],ROW(TablaSeleccionSupervisores[[#This Row],[ORDEN]])-1,_xlfn.XMATCH(TablaSupervisores[REFERENCIA],TablaSeleccionSupervisores[#Headers])))</f>
        <v>350</v>
      </c>
      <c r="Y150" cm="1">
        <f t="array" ref="Y150">SUM(TablaSupervisores[DISPOSITIVOS BACNET MS/TP COMPATIBLES]*INDEX(TablaSeleccionSupervisores[],ROW(TablaSeleccionSupervisores[[#This Row],[ORDEN]])-1,_xlfn.XMATCH(TablaSupervisores[REFERENCIA],TablaSeleccionSupervisores[#Headers])))</f>
        <v>224</v>
      </c>
      <c r="Z150" cm="1">
        <f t="array" ref="Z150">SUM(TablaSupervisores[DISPOSITIVOS BACNET IP]*INDEX(TablaSeleccionSupervisores[],ROW(TablaSeleccionSupervisores[[#This Row],[ORDEN]])-1,_xlfn.XMATCH(TablaSupervisores[REFERENCIA],TablaSeleccionSupervisores[#Headers])))</f>
        <v>700</v>
      </c>
      <c r="AA150" cm="1">
        <f t="array" ref="AA150">SUM(TablaSupervisores[OBJETOS]*INDEX(TablaSeleccionSupervisores[],ROW(TablaSeleccionSupervisores[[#This Row],[ORDEN]])-1,_xlfn.XMATCH(TablaSupervisores[REFERENCIA],TablaSeleccionSupervisores[#Headers])))</f>
        <v>15000</v>
      </c>
      <c r="AB150" s="28" cm="1">
        <f t="array" ref="AB150">SUM(TablaSupervisores[COSTE]*INDEX(TablaSeleccionSupervisores[],ROW(TablaSeleccionSupervisores[[#This Row],[ORDEN]])-1,_xlfn.XMATCH(TablaSupervisores[REFERENCIA],TablaSeleccionSupervisores[#Headers])))</f>
        <v>11106.13</v>
      </c>
      <c r="AC150" cm="1">
        <f t="array" ref="AC150">SUM(INDEX(TablaSeleccionSupervisores[],ROW(TablaSeleccionSupervisores[[#This Row],[ORDEN]])-1,_xlfn.XMATCH(TablaSupervisores[REFERENCIA],TablaSeleccionSupervisores[#Headers])))</f>
        <v>6</v>
      </c>
      <c r="AD150" t="str" cm="1">
        <f t="array" ref="AD150">IF(INDEX(TablaSeleccionSupervisores[],ROW(TablaSeleccionSupervisores[[#This Row],[ORDEN]])-1,_xlfn.XMATCH("ADMITIDO ADSLITE",TablaSeleccionSupervisores[#Headers])+1)=0,"Sí admitido","No admitido")</f>
        <v>Sí admitido</v>
      </c>
      <c r="AE150">
        <v>0</v>
      </c>
      <c r="AF150">
        <v>1</v>
      </c>
      <c r="AG150">
        <v>5</v>
      </c>
      <c r="AH150">
        <v>0</v>
      </c>
    </row>
    <row r="151" spans="22:34" x14ac:dyDescent="0.25">
      <c r="V151">
        <v>150</v>
      </c>
      <c r="W151" cm="1">
        <f t="array" ref="W151">SUM(TablaSupervisores[DISPOSITIVOS TOTAL]*INDEX(TablaSeleccionSupervisores[],ROW(TablaSeleccionSupervisores[[#This Row],[ORDEN]])-1,_xlfn.XMATCH(TablaSupervisores[REFERENCIA],TablaSeleccionSupervisores[#Headers])))</f>
        <v>1050</v>
      </c>
      <c r="X151" cm="1">
        <f t="array" ref="X151">SUM(TablaSupervisores[DISPOSITIVOS BACNET MS/TP JC]*INDEX(TablaSeleccionSupervisores[],ROW(TablaSeleccionSupervisores[[#This Row],[ORDEN]])-1,_xlfn.XMATCH(TablaSupervisores[REFERENCIA],TablaSeleccionSupervisores[#Headers])))</f>
        <v>550</v>
      </c>
      <c r="Y151" cm="1">
        <f t="array" ref="Y151">SUM(TablaSupervisores[DISPOSITIVOS BACNET MS/TP COMPATIBLES]*INDEX(TablaSeleccionSupervisores[],ROW(TablaSeleccionSupervisores[[#This Row],[ORDEN]])-1,_xlfn.XMATCH(TablaSupervisores[REFERENCIA],TablaSeleccionSupervisores[#Headers])))</f>
        <v>352</v>
      </c>
      <c r="Z151" cm="1">
        <f t="array" ref="Z151">SUM(TablaSupervisores[DISPOSITIVOS BACNET IP]*INDEX(TablaSeleccionSupervisores[],ROW(TablaSeleccionSupervisores[[#This Row],[ORDEN]])-1,_xlfn.XMATCH(TablaSupervisores[REFERENCIA],TablaSeleccionSupervisores[#Headers])))</f>
        <v>1100</v>
      </c>
      <c r="AA151" cm="1">
        <f t="array" ref="AA151">SUM(TablaSupervisores[OBJETOS]*INDEX(TablaSeleccionSupervisores[],ROW(TablaSeleccionSupervisores[[#This Row],[ORDEN]])-1,_xlfn.XMATCH(TablaSupervisores[REFERENCIA],TablaSeleccionSupervisores[#Headers])))</f>
        <v>20000</v>
      </c>
      <c r="AB151" s="28" cm="1">
        <f t="array" ref="AB151">SUM(TablaSupervisores[COSTE]*INDEX(TablaSeleccionSupervisores[],ROW(TablaSeleccionSupervisores[[#This Row],[ORDEN]])-1,_xlfn.XMATCH(TablaSupervisores[REFERENCIA],TablaSeleccionSupervisores[#Headers])))</f>
        <v>16772.760000000002</v>
      </c>
      <c r="AC151" cm="1">
        <f t="array" ref="AC151">SUM(INDEX(TablaSeleccionSupervisores[],ROW(TablaSeleccionSupervisores[[#This Row],[ORDEN]])-1,_xlfn.XMATCH(TablaSupervisores[REFERENCIA],TablaSeleccionSupervisores[#Headers])))</f>
        <v>7</v>
      </c>
      <c r="AD151" t="str" cm="1">
        <f t="array" ref="AD151">IF(INDEX(TablaSeleccionSupervisores[],ROW(TablaSeleccionSupervisores[[#This Row],[ORDEN]])-1,_xlfn.XMATCH("ADMITIDO ADSLITE",TablaSeleccionSupervisores[#Headers])+1)=0,"Sí admitido","No admitido")</f>
        <v>No admitido</v>
      </c>
      <c r="AE151">
        <v>1</v>
      </c>
      <c r="AF151">
        <v>1</v>
      </c>
      <c r="AG151">
        <v>5</v>
      </c>
      <c r="AH151">
        <v>0</v>
      </c>
    </row>
    <row r="152" spans="22:34" x14ac:dyDescent="0.25">
      <c r="V152">
        <v>151</v>
      </c>
      <c r="W152" cm="1">
        <f t="array" ref="W152">SUM(TablaSupervisores[DISPOSITIVOS TOTAL]*INDEX(TablaSeleccionSupervisores[],ROW(TablaSeleccionSupervisores[[#This Row],[ORDEN]])-1,_xlfn.XMATCH(TablaSupervisores[REFERENCIA],TablaSeleccionSupervisores[#Headers])))</f>
        <v>1650</v>
      </c>
      <c r="X152" cm="1">
        <f t="array" ref="X152">SUM(TablaSupervisores[DISPOSITIVOS BACNET MS/TP JC]*INDEX(TablaSeleccionSupervisores[],ROW(TablaSeleccionSupervisores[[#This Row],[ORDEN]])-1,_xlfn.XMATCH(TablaSupervisores[REFERENCIA],TablaSeleccionSupervisores[#Headers])))</f>
        <v>750</v>
      </c>
      <c r="Y152" cm="1">
        <f t="array" ref="Y152">SUM(TablaSupervisores[DISPOSITIVOS BACNET MS/TP COMPATIBLES]*INDEX(TablaSeleccionSupervisores[],ROW(TablaSeleccionSupervisores[[#This Row],[ORDEN]])-1,_xlfn.XMATCH(TablaSupervisores[REFERENCIA],TablaSeleccionSupervisores[#Headers])))</f>
        <v>480</v>
      </c>
      <c r="Z152" cm="1">
        <f t="array" ref="Z152">SUM(TablaSupervisores[DISPOSITIVOS BACNET IP]*INDEX(TablaSeleccionSupervisores[],ROW(TablaSeleccionSupervisores[[#This Row],[ORDEN]])-1,_xlfn.XMATCH(TablaSupervisores[REFERENCIA],TablaSeleccionSupervisores[#Headers])))</f>
        <v>1500</v>
      </c>
      <c r="AA152" cm="1">
        <f t="array" ref="AA152">SUM(TablaSupervisores[OBJETOS]*INDEX(TablaSeleccionSupervisores[],ROW(TablaSeleccionSupervisores[[#This Row],[ORDEN]])-1,_xlfn.XMATCH(TablaSupervisores[REFERENCIA],TablaSeleccionSupervisores[#Headers])))</f>
        <v>25000</v>
      </c>
      <c r="AB152" s="28" cm="1">
        <f t="array" ref="AB152">SUM(TablaSupervisores[COSTE]*INDEX(TablaSeleccionSupervisores[],ROW(TablaSeleccionSupervisores[[#This Row],[ORDEN]])-1,_xlfn.XMATCH(TablaSupervisores[REFERENCIA],TablaSeleccionSupervisores[#Headers])))</f>
        <v>22439.39</v>
      </c>
      <c r="AC152" cm="1">
        <f t="array" ref="AC152">SUM(INDEX(TablaSeleccionSupervisores[],ROW(TablaSeleccionSupervisores[[#This Row],[ORDEN]])-1,_xlfn.XMATCH(TablaSupervisores[REFERENCIA],TablaSeleccionSupervisores[#Headers])))</f>
        <v>8</v>
      </c>
      <c r="AD152" t="str" cm="1">
        <f t="array" ref="AD152">IF(INDEX(TablaSeleccionSupervisores[],ROW(TablaSeleccionSupervisores[[#This Row],[ORDEN]])-1,_xlfn.XMATCH("ADMITIDO ADSLITE",TablaSeleccionSupervisores[#Headers])+1)=0,"Sí admitido","No admitido")</f>
        <v>No admitido</v>
      </c>
      <c r="AE152">
        <v>2</v>
      </c>
      <c r="AF152">
        <v>1</v>
      </c>
      <c r="AG152">
        <v>5</v>
      </c>
      <c r="AH152">
        <v>0</v>
      </c>
    </row>
    <row r="153" spans="22:34" x14ac:dyDescent="0.25">
      <c r="V153">
        <v>152</v>
      </c>
      <c r="W153" cm="1">
        <f t="array" ref="W153">SUM(TablaSupervisores[DISPOSITIVOS TOTAL]*INDEX(TablaSeleccionSupervisores[],ROW(TablaSeleccionSupervisores[[#This Row],[ORDEN]])-1,_xlfn.XMATCH(TablaSupervisores[REFERENCIA],TablaSeleccionSupervisores[#Headers])))</f>
        <v>600</v>
      </c>
      <c r="X153" cm="1">
        <f t="array" ref="X153">SUM(TablaSupervisores[DISPOSITIVOS BACNET MS/TP JC]*INDEX(TablaSeleccionSupervisores[],ROW(TablaSeleccionSupervisores[[#This Row],[ORDEN]])-1,_xlfn.XMATCH(TablaSupervisores[REFERENCIA],TablaSeleccionSupervisores[#Headers])))</f>
        <v>450</v>
      </c>
      <c r="Y153" cm="1">
        <f t="array" ref="Y153">SUM(TablaSupervisores[DISPOSITIVOS BACNET MS/TP COMPATIBLES]*INDEX(TablaSeleccionSupervisores[],ROW(TablaSeleccionSupervisores[[#This Row],[ORDEN]])-1,_xlfn.XMATCH(TablaSupervisores[REFERENCIA],TablaSeleccionSupervisores[#Headers])))</f>
        <v>288</v>
      </c>
      <c r="Z153" cm="1">
        <f t="array" ref="Z153">SUM(TablaSupervisores[DISPOSITIVOS BACNET IP]*INDEX(TablaSeleccionSupervisores[],ROW(TablaSeleccionSupervisores[[#This Row],[ORDEN]])-1,_xlfn.XMATCH(TablaSupervisores[REFERENCIA],TablaSeleccionSupervisores[#Headers])))</f>
        <v>900</v>
      </c>
      <c r="AA153" cm="1">
        <f t="array" ref="AA153">SUM(TablaSupervisores[OBJETOS]*INDEX(TablaSeleccionSupervisores[],ROW(TablaSeleccionSupervisores[[#This Row],[ORDEN]])-1,_xlfn.XMATCH(TablaSupervisores[REFERENCIA],TablaSeleccionSupervisores[#Headers])))</f>
        <v>17500</v>
      </c>
      <c r="AB153" s="28" cm="1">
        <f t="array" ref="AB153">SUM(TablaSupervisores[COSTE]*INDEX(TablaSeleccionSupervisores[],ROW(TablaSeleccionSupervisores[[#This Row],[ORDEN]])-1,_xlfn.XMATCH(TablaSupervisores[REFERENCIA],TablaSeleccionSupervisores[#Headers])))</f>
        <v>15094.86</v>
      </c>
      <c r="AC153" cm="1">
        <f t="array" ref="AC153">SUM(INDEX(TablaSeleccionSupervisores[],ROW(TablaSeleccionSupervisores[[#This Row],[ORDEN]])-1,_xlfn.XMATCH(TablaSupervisores[REFERENCIA],TablaSeleccionSupervisores[#Headers])))</f>
        <v>7</v>
      </c>
      <c r="AD153" t="str" cm="1">
        <f t="array" ref="AD153">IF(INDEX(TablaSeleccionSupervisores[],ROW(TablaSeleccionSupervisores[[#This Row],[ORDEN]])-1,_xlfn.XMATCH("ADMITIDO ADSLITE",TablaSeleccionSupervisores[#Headers])+1)=0,"Sí admitido","No admitido")</f>
        <v>Sí admitido</v>
      </c>
      <c r="AE153">
        <v>0</v>
      </c>
      <c r="AF153">
        <v>2</v>
      </c>
      <c r="AG153">
        <v>5</v>
      </c>
      <c r="AH153">
        <v>0</v>
      </c>
    </row>
    <row r="154" spans="22:34" x14ac:dyDescent="0.25">
      <c r="V154">
        <v>153</v>
      </c>
      <c r="W154" cm="1">
        <f t="array" ref="W154">SUM(TablaSupervisores[DISPOSITIVOS TOTAL]*INDEX(TablaSeleccionSupervisores[],ROW(TablaSeleccionSupervisores[[#This Row],[ORDEN]])-1,_xlfn.XMATCH(TablaSupervisores[REFERENCIA],TablaSeleccionSupervisores[#Headers])))</f>
        <v>1200</v>
      </c>
      <c r="X154" cm="1">
        <f t="array" ref="X154">SUM(TablaSupervisores[DISPOSITIVOS BACNET MS/TP JC]*INDEX(TablaSeleccionSupervisores[],ROW(TablaSeleccionSupervisores[[#This Row],[ORDEN]])-1,_xlfn.XMATCH(TablaSupervisores[REFERENCIA],TablaSeleccionSupervisores[#Headers])))</f>
        <v>650</v>
      </c>
      <c r="Y154" cm="1">
        <f t="array" ref="Y154">SUM(TablaSupervisores[DISPOSITIVOS BACNET MS/TP COMPATIBLES]*INDEX(TablaSeleccionSupervisores[],ROW(TablaSeleccionSupervisores[[#This Row],[ORDEN]])-1,_xlfn.XMATCH(TablaSupervisores[REFERENCIA],TablaSeleccionSupervisores[#Headers])))</f>
        <v>416</v>
      </c>
      <c r="Z154" cm="1">
        <f t="array" ref="Z154">SUM(TablaSupervisores[DISPOSITIVOS BACNET IP]*INDEX(TablaSeleccionSupervisores[],ROW(TablaSeleccionSupervisores[[#This Row],[ORDEN]])-1,_xlfn.XMATCH(TablaSupervisores[REFERENCIA],TablaSeleccionSupervisores[#Headers])))</f>
        <v>1300</v>
      </c>
      <c r="AA154" cm="1">
        <f t="array" ref="AA154">SUM(TablaSupervisores[OBJETOS]*INDEX(TablaSeleccionSupervisores[],ROW(TablaSeleccionSupervisores[[#This Row],[ORDEN]])-1,_xlfn.XMATCH(TablaSupervisores[REFERENCIA],TablaSeleccionSupervisores[#Headers])))</f>
        <v>22500</v>
      </c>
      <c r="AB154" s="28" cm="1">
        <f t="array" ref="AB154">SUM(TablaSupervisores[COSTE]*INDEX(TablaSeleccionSupervisores[],ROW(TablaSeleccionSupervisores[[#This Row],[ORDEN]])-1,_xlfn.XMATCH(TablaSupervisores[REFERENCIA],TablaSeleccionSupervisores[#Headers])))</f>
        <v>20761.489999999998</v>
      </c>
      <c r="AC154" cm="1">
        <f t="array" ref="AC154">SUM(INDEX(TablaSeleccionSupervisores[],ROW(TablaSeleccionSupervisores[[#This Row],[ORDEN]])-1,_xlfn.XMATCH(TablaSupervisores[REFERENCIA],TablaSeleccionSupervisores[#Headers])))</f>
        <v>8</v>
      </c>
      <c r="AD154" t="str" cm="1">
        <f t="array" ref="AD154">IF(INDEX(TablaSeleccionSupervisores[],ROW(TablaSeleccionSupervisores[[#This Row],[ORDEN]])-1,_xlfn.XMATCH("ADMITIDO ADSLITE",TablaSeleccionSupervisores[#Headers])+1)=0,"Sí admitido","No admitido")</f>
        <v>No admitido</v>
      </c>
      <c r="AE154">
        <v>1</v>
      </c>
      <c r="AF154">
        <v>2</v>
      </c>
      <c r="AG154">
        <v>5</v>
      </c>
      <c r="AH154">
        <v>0</v>
      </c>
    </row>
    <row r="155" spans="22:34" x14ac:dyDescent="0.25">
      <c r="V155">
        <v>154</v>
      </c>
      <c r="W155" cm="1">
        <f t="array" ref="W155">SUM(TablaSupervisores[DISPOSITIVOS TOTAL]*INDEX(TablaSeleccionSupervisores[],ROW(TablaSeleccionSupervisores[[#This Row],[ORDEN]])-1,_xlfn.XMATCH(TablaSupervisores[REFERENCIA],TablaSeleccionSupervisores[#Headers])))</f>
        <v>750</v>
      </c>
      <c r="X155" cm="1">
        <f t="array" ref="X155">SUM(TablaSupervisores[DISPOSITIVOS BACNET MS/TP JC]*INDEX(TablaSeleccionSupervisores[],ROW(TablaSeleccionSupervisores[[#This Row],[ORDEN]])-1,_xlfn.XMATCH(TablaSupervisores[REFERENCIA],TablaSeleccionSupervisores[#Headers])))</f>
        <v>550</v>
      </c>
      <c r="Y155" cm="1">
        <f t="array" ref="Y155">SUM(TablaSupervisores[DISPOSITIVOS BACNET MS/TP COMPATIBLES]*INDEX(TablaSeleccionSupervisores[],ROW(TablaSeleccionSupervisores[[#This Row],[ORDEN]])-1,_xlfn.XMATCH(TablaSupervisores[REFERENCIA],TablaSeleccionSupervisores[#Headers])))</f>
        <v>352</v>
      </c>
      <c r="Z155" cm="1">
        <f t="array" ref="Z155">SUM(TablaSupervisores[DISPOSITIVOS BACNET IP]*INDEX(TablaSeleccionSupervisores[],ROW(TablaSeleccionSupervisores[[#This Row],[ORDEN]])-1,_xlfn.XMATCH(TablaSupervisores[REFERENCIA],TablaSeleccionSupervisores[#Headers])))</f>
        <v>1100</v>
      </c>
      <c r="AA155" cm="1">
        <f t="array" ref="AA155">SUM(TablaSupervisores[OBJETOS]*INDEX(TablaSeleccionSupervisores[],ROW(TablaSeleccionSupervisores[[#This Row],[ORDEN]])-1,_xlfn.XMATCH(TablaSupervisores[REFERENCIA],TablaSeleccionSupervisores[#Headers])))</f>
        <v>20000</v>
      </c>
      <c r="AB155" s="28" cm="1">
        <f t="array" ref="AB155">SUM(TablaSupervisores[COSTE]*INDEX(TablaSeleccionSupervisores[],ROW(TablaSeleccionSupervisores[[#This Row],[ORDEN]])-1,_xlfn.XMATCH(TablaSupervisores[REFERENCIA],TablaSeleccionSupervisores[#Headers])))</f>
        <v>19083.59</v>
      </c>
      <c r="AC155" cm="1">
        <f t="array" ref="AC155">SUM(INDEX(TablaSeleccionSupervisores[],ROW(TablaSeleccionSupervisores[[#This Row],[ORDEN]])-1,_xlfn.XMATCH(TablaSupervisores[REFERENCIA],TablaSeleccionSupervisores[#Headers])))</f>
        <v>8</v>
      </c>
      <c r="AD155" t="str" cm="1">
        <f t="array" ref="AD155">IF(INDEX(TablaSeleccionSupervisores[],ROW(TablaSeleccionSupervisores[[#This Row],[ORDEN]])-1,_xlfn.XMATCH("ADMITIDO ADSLITE",TablaSeleccionSupervisores[#Headers])+1)=0,"Sí admitido","No admitido")</f>
        <v>Sí admitido</v>
      </c>
      <c r="AE155">
        <v>0</v>
      </c>
      <c r="AF155">
        <v>3</v>
      </c>
      <c r="AG155">
        <v>5</v>
      </c>
      <c r="AH155">
        <v>0</v>
      </c>
    </row>
    <row r="156" spans="22:34" x14ac:dyDescent="0.25">
      <c r="V156">
        <v>155</v>
      </c>
      <c r="W156" cm="1">
        <f t="array" ref="W156">SUM(TablaSupervisores[DISPOSITIVOS TOTAL]*INDEX(TablaSeleccionSupervisores[],ROW(TablaSeleccionSupervisores[[#This Row],[ORDEN]])-1,_xlfn.XMATCH(TablaSupervisores[REFERENCIA],TablaSeleccionSupervisores[#Headers])))</f>
        <v>360</v>
      </c>
      <c r="X156" cm="1">
        <f t="array" ref="X156">SUM(TablaSupervisores[DISPOSITIVOS BACNET MS/TP JC]*INDEX(TablaSeleccionSupervisores[],ROW(TablaSeleccionSupervisores[[#This Row],[ORDEN]])-1,_xlfn.XMATCH(TablaSupervisores[REFERENCIA],TablaSeleccionSupervisores[#Headers])))</f>
        <v>300</v>
      </c>
      <c r="Y156" cm="1">
        <f t="array" ref="Y156">SUM(TablaSupervisores[DISPOSITIVOS BACNET MS/TP COMPATIBLES]*INDEX(TablaSeleccionSupervisores[],ROW(TablaSeleccionSupervisores[[#This Row],[ORDEN]])-1,_xlfn.XMATCH(TablaSupervisores[REFERENCIA],TablaSeleccionSupervisores[#Headers])))</f>
        <v>192</v>
      </c>
      <c r="Z156" cm="1">
        <f t="array" ref="Z156">SUM(TablaSupervisores[DISPOSITIVOS BACNET IP]*INDEX(TablaSeleccionSupervisores[],ROW(TablaSeleccionSupervisores[[#This Row],[ORDEN]])-1,_xlfn.XMATCH(TablaSupervisores[REFERENCIA],TablaSeleccionSupervisores[#Headers])))</f>
        <v>600</v>
      </c>
      <c r="AA156" cm="1">
        <f t="array" ref="AA156">SUM(TablaSupervisores[OBJETOS]*INDEX(TablaSeleccionSupervisores[],ROW(TablaSeleccionSupervisores[[#This Row],[ORDEN]])-1,_xlfn.XMATCH(TablaSupervisores[REFERENCIA],TablaSeleccionSupervisores[#Headers])))</f>
        <v>15000</v>
      </c>
      <c r="AB156" s="28" cm="1">
        <f t="array" ref="AB156">SUM(TablaSupervisores[COSTE]*INDEX(TablaSeleccionSupervisores[],ROW(TablaSeleccionSupervisores[[#This Row],[ORDEN]])-1,_xlfn.XMATCH(TablaSupervisores[REFERENCIA],TablaSeleccionSupervisores[#Headers])))</f>
        <v>8540.880000000001</v>
      </c>
      <c r="AC156" cm="1">
        <f t="array" ref="AC156">SUM(INDEX(TablaSeleccionSupervisores[],ROW(TablaSeleccionSupervisores[[#This Row],[ORDEN]])-1,_xlfn.XMATCH(TablaSupervisores[REFERENCIA],TablaSeleccionSupervisores[#Headers])))</f>
        <v>6</v>
      </c>
      <c r="AD156" t="str" cm="1">
        <f t="array" ref="AD156">IF(INDEX(TablaSeleccionSupervisores[],ROW(TablaSeleccionSupervisores[[#This Row],[ORDEN]])-1,_xlfn.XMATCH("ADMITIDO ADSLITE",TablaSeleccionSupervisores[#Headers])+1)=0,"Sí admitido","No admitido")</f>
        <v>Sí admitido</v>
      </c>
      <c r="AE156">
        <v>0</v>
      </c>
      <c r="AF156">
        <v>0</v>
      </c>
      <c r="AG156">
        <v>6</v>
      </c>
      <c r="AH156">
        <v>0</v>
      </c>
    </row>
    <row r="157" spans="22:34" x14ac:dyDescent="0.25">
      <c r="V157">
        <v>156</v>
      </c>
      <c r="W157" cm="1">
        <f t="array" ref="W157">SUM(TablaSupervisores[DISPOSITIVOS TOTAL]*INDEX(TablaSeleccionSupervisores[],ROW(TablaSeleccionSupervisores[[#This Row],[ORDEN]])-1,_xlfn.XMATCH(TablaSupervisores[REFERENCIA],TablaSeleccionSupervisores[#Headers])))</f>
        <v>960</v>
      </c>
      <c r="X157" cm="1">
        <f t="array" ref="X157">SUM(TablaSupervisores[DISPOSITIVOS BACNET MS/TP JC]*INDEX(TablaSeleccionSupervisores[],ROW(TablaSeleccionSupervisores[[#This Row],[ORDEN]])-1,_xlfn.XMATCH(TablaSupervisores[REFERENCIA],TablaSeleccionSupervisores[#Headers])))</f>
        <v>500</v>
      </c>
      <c r="Y157" cm="1">
        <f t="array" ref="Y157">SUM(TablaSupervisores[DISPOSITIVOS BACNET MS/TP COMPATIBLES]*INDEX(TablaSeleccionSupervisores[],ROW(TablaSeleccionSupervisores[[#This Row],[ORDEN]])-1,_xlfn.XMATCH(TablaSupervisores[REFERENCIA],TablaSeleccionSupervisores[#Headers])))</f>
        <v>320</v>
      </c>
      <c r="Z157" cm="1">
        <f t="array" ref="Z157">SUM(TablaSupervisores[DISPOSITIVOS BACNET IP]*INDEX(TablaSeleccionSupervisores[],ROW(TablaSeleccionSupervisores[[#This Row],[ORDEN]])-1,_xlfn.XMATCH(TablaSupervisores[REFERENCIA],TablaSeleccionSupervisores[#Headers])))</f>
        <v>1000</v>
      </c>
      <c r="AA157" cm="1">
        <f t="array" ref="AA157">SUM(TablaSupervisores[OBJETOS]*INDEX(TablaSeleccionSupervisores[],ROW(TablaSeleccionSupervisores[[#This Row],[ORDEN]])-1,_xlfn.XMATCH(TablaSupervisores[REFERENCIA],TablaSeleccionSupervisores[#Headers])))</f>
        <v>20000</v>
      </c>
      <c r="AB157" s="28" cm="1">
        <f t="array" ref="AB157">SUM(TablaSupervisores[COSTE]*INDEX(TablaSeleccionSupervisores[],ROW(TablaSeleccionSupervisores[[#This Row],[ORDEN]])-1,_xlfn.XMATCH(TablaSupervisores[REFERENCIA],TablaSeleccionSupervisores[#Headers])))</f>
        <v>14207.510000000002</v>
      </c>
      <c r="AC157" cm="1">
        <f t="array" ref="AC157">SUM(INDEX(TablaSeleccionSupervisores[],ROW(TablaSeleccionSupervisores[[#This Row],[ORDEN]])-1,_xlfn.XMATCH(TablaSupervisores[REFERENCIA],TablaSeleccionSupervisores[#Headers])))</f>
        <v>7</v>
      </c>
      <c r="AD157" t="str" cm="1">
        <f t="array" ref="AD157">IF(INDEX(TablaSeleccionSupervisores[],ROW(TablaSeleccionSupervisores[[#This Row],[ORDEN]])-1,_xlfn.XMATCH("ADMITIDO ADSLITE",TablaSeleccionSupervisores[#Headers])+1)=0,"Sí admitido","No admitido")</f>
        <v>No admitido</v>
      </c>
      <c r="AE157">
        <v>1</v>
      </c>
      <c r="AF157">
        <v>0</v>
      </c>
      <c r="AG157">
        <v>6</v>
      </c>
      <c r="AH157">
        <v>0</v>
      </c>
    </row>
    <row r="158" spans="22:34" x14ac:dyDescent="0.25">
      <c r="V158">
        <v>157</v>
      </c>
      <c r="W158" cm="1">
        <f t="array" ref="W158">SUM(TablaSupervisores[DISPOSITIVOS TOTAL]*INDEX(TablaSeleccionSupervisores[],ROW(TablaSeleccionSupervisores[[#This Row],[ORDEN]])-1,_xlfn.XMATCH(TablaSupervisores[REFERENCIA],TablaSeleccionSupervisores[#Headers])))</f>
        <v>1560</v>
      </c>
      <c r="X158" cm="1">
        <f t="array" ref="X158">SUM(TablaSupervisores[DISPOSITIVOS BACNET MS/TP JC]*INDEX(TablaSeleccionSupervisores[],ROW(TablaSeleccionSupervisores[[#This Row],[ORDEN]])-1,_xlfn.XMATCH(TablaSupervisores[REFERENCIA],TablaSeleccionSupervisores[#Headers])))</f>
        <v>700</v>
      </c>
      <c r="Y158" cm="1">
        <f t="array" ref="Y158">SUM(TablaSupervisores[DISPOSITIVOS BACNET MS/TP COMPATIBLES]*INDEX(TablaSeleccionSupervisores[],ROW(TablaSeleccionSupervisores[[#This Row],[ORDEN]])-1,_xlfn.XMATCH(TablaSupervisores[REFERENCIA],TablaSeleccionSupervisores[#Headers])))</f>
        <v>448</v>
      </c>
      <c r="Z158" cm="1">
        <f t="array" ref="Z158">SUM(TablaSupervisores[DISPOSITIVOS BACNET IP]*INDEX(TablaSeleccionSupervisores[],ROW(TablaSeleccionSupervisores[[#This Row],[ORDEN]])-1,_xlfn.XMATCH(TablaSupervisores[REFERENCIA],TablaSeleccionSupervisores[#Headers])))</f>
        <v>1400</v>
      </c>
      <c r="AA158" cm="1">
        <f t="array" ref="AA158">SUM(TablaSupervisores[OBJETOS]*INDEX(TablaSeleccionSupervisores[],ROW(TablaSeleccionSupervisores[[#This Row],[ORDEN]])-1,_xlfn.XMATCH(TablaSupervisores[REFERENCIA],TablaSeleccionSupervisores[#Headers])))</f>
        <v>25000</v>
      </c>
      <c r="AB158" s="28" cm="1">
        <f t="array" ref="AB158">SUM(TablaSupervisores[COSTE]*INDEX(TablaSeleccionSupervisores[],ROW(TablaSeleccionSupervisores[[#This Row],[ORDEN]])-1,_xlfn.XMATCH(TablaSupervisores[REFERENCIA],TablaSeleccionSupervisores[#Headers])))</f>
        <v>19874.14</v>
      </c>
      <c r="AC158" cm="1">
        <f t="array" ref="AC158">SUM(INDEX(TablaSeleccionSupervisores[],ROW(TablaSeleccionSupervisores[[#This Row],[ORDEN]])-1,_xlfn.XMATCH(TablaSupervisores[REFERENCIA],TablaSeleccionSupervisores[#Headers])))</f>
        <v>8</v>
      </c>
      <c r="AD158" t="str" cm="1">
        <f t="array" ref="AD158">IF(INDEX(TablaSeleccionSupervisores[],ROW(TablaSeleccionSupervisores[[#This Row],[ORDEN]])-1,_xlfn.XMATCH("ADMITIDO ADSLITE",TablaSeleccionSupervisores[#Headers])+1)=0,"Sí admitido","No admitido")</f>
        <v>No admitido</v>
      </c>
      <c r="AE158">
        <v>2</v>
      </c>
      <c r="AF158">
        <v>0</v>
      </c>
      <c r="AG158">
        <v>6</v>
      </c>
      <c r="AH158">
        <v>0</v>
      </c>
    </row>
    <row r="159" spans="22:34" x14ac:dyDescent="0.25">
      <c r="V159">
        <v>158</v>
      </c>
      <c r="W159" cm="1">
        <f t="array" ref="W159">SUM(TablaSupervisores[DISPOSITIVOS TOTAL]*INDEX(TablaSeleccionSupervisores[],ROW(TablaSeleccionSupervisores[[#This Row],[ORDEN]])-1,_xlfn.XMATCH(TablaSupervisores[REFERENCIA],TablaSeleccionSupervisores[#Headers])))</f>
        <v>510</v>
      </c>
      <c r="X159" cm="1">
        <f t="array" ref="X159">SUM(TablaSupervisores[DISPOSITIVOS BACNET MS/TP JC]*INDEX(TablaSeleccionSupervisores[],ROW(TablaSeleccionSupervisores[[#This Row],[ORDEN]])-1,_xlfn.XMATCH(TablaSupervisores[REFERENCIA],TablaSeleccionSupervisores[#Headers])))</f>
        <v>400</v>
      </c>
      <c r="Y159" cm="1">
        <f t="array" ref="Y159">SUM(TablaSupervisores[DISPOSITIVOS BACNET MS/TP COMPATIBLES]*INDEX(TablaSeleccionSupervisores[],ROW(TablaSeleccionSupervisores[[#This Row],[ORDEN]])-1,_xlfn.XMATCH(TablaSupervisores[REFERENCIA],TablaSeleccionSupervisores[#Headers])))</f>
        <v>256</v>
      </c>
      <c r="Z159" cm="1">
        <f t="array" ref="Z159">SUM(TablaSupervisores[DISPOSITIVOS BACNET IP]*INDEX(TablaSeleccionSupervisores[],ROW(TablaSeleccionSupervisores[[#This Row],[ORDEN]])-1,_xlfn.XMATCH(TablaSupervisores[REFERENCIA],TablaSeleccionSupervisores[#Headers])))</f>
        <v>800</v>
      </c>
      <c r="AA159" cm="1">
        <f t="array" ref="AA159">SUM(TablaSupervisores[OBJETOS]*INDEX(TablaSeleccionSupervisores[],ROW(TablaSeleccionSupervisores[[#This Row],[ORDEN]])-1,_xlfn.XMATCH(TablaSupervisores[REFERENCIA],TablaSeleccionSupervisores[#Headers])))</f>
        <v>17500</v>
      </c>
      <c r="AB159" s="28" cm="1">
        <f t="array" ref="AB159">SUM(TablaSupervisores[COSTE]*INDEX(TablaSeleccionSupervisores[],ROW(TablaSeleccionSupervisores[[#This Row],[ORDEN]])-1,_xlfn.XMATCH(TablaSupervisores[REFERENCIA],TablaSeleccionSupervisores[#Headers])))</f>
        <v>12529.61</v>
      </c>
      <c r="AC159" cm="1">
        <f t="array" ref="AC159">SUM(INDEX(TablaSeleccionSupervisores[],ROW(TablaSeleccionSupervisores[[#This Row],[ORDEN]])-1,_xlfn.XMATCH(TablaSupervisores[REFERENCIA],TablaSeleccionSupervisores[#Headers])))</f>
        <v>7</v>
      </c>
      <c r="AD159" t="str" cm="1">
        <f t="array" ref="AD159">IF(INDEX(TablaSeleccionSupervisores[],ROW(TablaSeleccionSupervisores[[#This Row],[ORDEN]])-1,_xlfn.XMATCH("ADMITIDO ADSLITE",TablaSeleccionSupervisores[#Headers])+1)=0,"Sí admitido","No admitido")</f>
        <v>Sí admitido</v>
      </c>
      <c r="AE159">
        <v>0</v>
      </c>
      <c r="AF159">
        <v>1</v>
      </c>
      <c r="AG159">
        <v>6</v>
      </c>
      <c r="AH159">
        <v>0</v>
      </c>
    </row>
    <row r="160" spans="22:34" x14ac:dyDescent="0.25">
      <c r="V160">
        <v>159</v>
      </c>
      <c r="W160" cm="1">
        <f t="array" ref="W160">SUM(TablaSupervisores[DISPOSITIVOS TOTAL]*INDEX(TablaSeleccionSupervisores[],ROW(TablaSeleccionSupervisores[[#This Row],[ORDEN]])-1,_xlfn.XMATCH(TablaSupervisores[REFERENCIA],TablaSeleccionSupervisores[#Headers])))</f>
        <v>1110</v>
      </c>
      <c r="X160" cm="1">
        <f t="array" ref="X160">SUM(TablaSupervisores[DISPOSITIVOS BACNET MS/TP JC]*INDEX(TablaSeleccionSupervisores[],ROW(TablaSeleccionSupervisores[[#This Row],[ORDEN]])-1,_xlfn.XMATCH(TablaSupervisores[REFERENCIA],TablaSeleccionSupervisores[#Headers])))</f>
        <v>600</v>
      </c>
      <c r="Y160" cm="1">
        <f t="array" ref="Y160">SUM(TablaSupervisores[DISPOSITIVOS BACNET MS/TP COMPATIBLES]*INDEX(TablaSeleccionSupervisores[],ROW(TablaSeleccionSupervisores[[#This Row],[ORDEN]])-1,_xlfn.XMATCH(TablaSupervisores[REFERENCIA],TablaSeleccionSupervisores[#Headers])))</f>
        <v>384</v>
      </c>
      <c r="Z160" cm="1">
        <f t="array" ref="Z160">SUM(TablaSupervisores[DISPOSITIVOS BACNET IP]*INDEX(TablaSeleccionSupervisores[],ROW(TablaSeleccionSupervisores[[#This Row],[ORDEN]])-1,_xlfn.XMATCH(TablaSupervisores[REFERENCIA],TablaSeleccionSupervisores[#Headers])))</f>
        <v>1200</v>
      </c>
      <c r="AA160" cm="1">
        <f t="array" ref="AA160">SUM(TablaSupervisores[OBJETOS]*INDEX(TablaSeleccionSupervisores[],ROW(TablaSeleccionSupervisores[[#This Row],[ORDEN]])-1,_xlfn.XMATCH(TablaSupervisores[REFERENCIA],TablaSeleccionSupervisores[#Headers])))</f>
        <v>22500</v>
      </c>
      <c r="AB160" s="28" cm="1">
        <f t="array" ref="AB160">SUM(TablaSupervisores[COSTE]*INDEX(TablaSeleccionSupervisores[],ROW(TablaSeleccionSupervisores[[#This Row],[ORDEN]])-1,_xlfn.XMATCH(TablaSupervisores[REFERENCIA],TablaSeleccionSupervisores[#Headers])))</f>
        <v>18196.240000000002</v>
      </c>
      <c r="AC160" cm="1">
        <f t="array" ref="AC160">SUM(INDEX(TablaSeleccionSupervisores[],ROW(TablaSeleccionSupervisores[[#This Row],[ORDEN]])-1,_xlfn.XMATCH(TablaSupervisores[REFERENCIA],TablaSeleccionSupervisores[#Headers])))</f>
        <v>8</v>
      </c>
      <c r="AD160" t="str" cm="1">
        <f t="array" ref="AD160">IF(INDEX(TablaSeleccionSupervisores[],ROW(TablaSeleccionSupervisores[[#This Row],[ORDEN]])-1,_xlfn.XMATCH("ADMITIDO ADSLITE",TablaSeleccionSupervisores[#Headers])+1)=0,"Sí admitido","No admitido")</f>
        <v>No admitido</v>
      </c>
      <c r="AE160">
        <v>1</v>
      </c>
      <c r="AF160">
        <v>1</v>
      </c>
      <c r="AG160">
        <v>6</v>
      </c>
      <c r="AH160">
        <v>0</v>
      </c>
    </row>
    <row r="161" spans="22:34" x14ac:dyDescent="0.25">
      <c r="V161">
        <v>160</v>
      </c>
      <c r="W161" cm="1">
        <f t="array" ref="W161">SUM(TablaSupervisores[DISPOSITIVOS TOTAL]*INDEX(TablaSeleccionSupervisores[],ROW(TablaSeleccionSupervisores[[#This Row],[ORDEN]])-1,_xlfn.XMATCH(TablaSupervisores[REFERENCIA],TablaSeleccionSupervisores[#Headers])))</f>
        <v>660</v>
      </c>
      <c r="X161" cm="1">
        <f t="array" ref="X161">SUM(TablaSupervisores[DISPOSITIVOS BACNET MS/TP JC]*INDEX(TablaSeleccionSupervisores[],ROW(TablaSeleccionSupervisores[[#This Row],[ORDEN]])-1,_xlfn.XMATCH(TablaSupervisores[REFERENCIA],TablaSeleccionSupervisores[#Headers])))</f>
        <v>500</v>
      </c>
      <c r="Y161" cm="1">
        <f t="array" ref="Y161">SUM(TablaSupervisores[DISPOSITIVOS BACNET MS/TP COMPATIBLES]*INDEX(TablaSeleccionSupervisores[],ROW(TablaSeleccionSupervisores[[#This Row],[ORDEN]])-1,_xlfn.XMATCH(TablaSupervisores[REFERENCIA],TablaSeleccionSupervisores[#Headers])))</f>
        <v>320</v>
      </c>
      <c r="Z161" cm="1">
        <f t="array" ref="Z161">SUM(TablaSupervisores[DISPOSITIVOS BACNET IP]*INDEX(TablaSeleccionSupervisores[],ROW(TablaSeleccionSupervisores[[#This Row],[ORDEN]])-1,_xlfn.XMATCH(TablaSupervisores[REFERENCIA],TablaSeleccionSupervisores[#Headers])))</f>
        <v>1000</v>
      </c>
      <c r="AA161" cm="1">
        <f t="array" ref="AA161">SUM(TablaSupervisores[OBJETOS]*INDEX(TablaSeleccionSupervisores[],ROW(TablaSeleccionSupervisores[[#This Row],[ORDEN]])-1,_xlfn.XMATCH(TablaSupervisores[REFERENCIA],TablaSeleccionSupervisores[#Headers])))</f>
        <v>20000</v>
      </c>
      <c r="AB161" s="28" cm="1">
        <f t="array" ref="AB161">SUM(TablaSupervisores[COSTE]*INDEX(TablaSeleccionSupervisores[],ROW(TablaSeleccionSupervisores[[#This Row],[ORDEN]])-1,_xlfn.XMATCH(TablaSupervisores[REFERENCIA],TablaSeleccionSupervisores[#Headers])))</f>
        <v>16518.34</v>
      </c>
      <c r="AC161" cm="1">
        <f t="array" ref="AC161">SUM(INDEX(TablaSeleccionSupervisores[],ROW(TablaSeleccionSupervisores[[#This Row],[ORDEN]])-1,_xlfn.XMATCH(TablaSupervisores[REFERENCIA],TablaSeleccionSupervisores[#Headers])))</f>
        <v>8</v>
      </c>
      <c r="AD161" t="str" cm="1">
        <f t="array" ref="AD161">IF(INDEX(TablaSeleccionSupervisores[],ROW(TablaSeleccionSupervisores[[#This Row],[ORDEN]])-1,_xlfn.XMATCH("ADMITIDO ADSLITE",TablaSeleccionSupervisores[#Headers])+1)=0,"Sí admitido","No admitido")</f>
        <v>Sí admitido</v>
      </c>
      <c r="AE161">
        <v>0</v>
      </c>
      <c r="AF161">
        <v>2</v>
      </c>
      <c r="AG161">
        <v>6</v>
      </c>
      <c r="AH161">
        <v>0</v>
      </c>
    </row>
    <row r="162" spans="22:34" x14ac:dyDescent="0.25">
      <c r="V162">
        <v>161</v>
      </c>
      <c r="W162" cm="1">
        <f t="array" ref="W162">SUM(TablaSupervisores[DISPOSITIVOS TOTAL]*INDEX(TablaSeleccionSupervisores[],ROW(TablaSeleccionSupervisores[[#This Row],[ORDEN]])-1,_xlfn.XMATCH(TablaSupervisores[REFERENCIA],TablaSeleccionSupervisores[#Headers])))</f>
        <v>420</v>
      </c>
      <c r="X162" cm="1">
        <f t="array" ref="X162">SUM(TablaSupervisores[DISPOSITIVOS BACNET MS/TP JC]*INDEX(TablaSeleccionSupervisores[],ROW(TablaSeleccionSupervisores[[#This Row],[ORDEN]])-1,_xlfn.XMATCH(TablaSupervisores[REFERENCIA],TablaSeleccionSupervisores[#Headers])))</f>
        <v>350</v>
      </c>
      <c r="Y162" cm="1">
        <f t="array" ref="Y162">SUM(TablaSupervisores[DISPOSITIVOS BACNET MS/TP COMPATIBLES]*INDEX(TablaSeleccionSupervisores[],ROW(TablaSeleccionSupervisores[[#This Row],[ORDEN]])-1,_xlfn.XMATCH(TablaSupervisores[REFERENCIA],TablaSeleccionSupervisores[#Headers])))</f>
        <v>224</v>
      </c>
      <c r="Z162" cm="1">
        <f t="array" ref="Z162">SUM(TablaSupervisores[DISPOSITIVOS BACNET IP]*INDEX(TablaSeleccionSupervisores[],ROW(TablaSeleccionSupervisores[[#This Row],[ORDEN]])-1,_xlfn.XMATCH(TablaSupervisores[REFERENCIA],TablaSeleccionSupervisores[#Headers])))</f>
        <v>700</v>
      </c>
      <c r="AA162" cm="1">
        <f t="array" ref="AA162">SUM(TablaSupervisores[OBJETOS]*INDEX(TablaSeleccionSupervisores[],ROW(TablaSeleccionSupervisores[[#This Row],[ORDEN]])-1,_xlfn.XMATCH(TablaSupervisores[REFERENCIA],TablaSeleccionSupervisores[#Headers])))</f>
        <v>17500</v>
      </c>
      <c r="AB162" s="28" cm="1">
        <f t="array" ref="AB162">SUM(TablaSupervisores[COSTE]*INDEX(TablaSeleccionSupervisores[],ROW(TablaSeleccionSupervisores[[#This Row],[ORDEN]])-1,_xlfn.XMATCH(TablaSupervisores[REFERENCIA],TablaSeleccionSupervisores[#Headers])))</f>
        <v>9964.36</v>
      </c>
      <c r="AC162" cm="1">
        <f t="array" ref="AC162">SUM(INDEX(TablaSeleccionSupervisores[],ROW(TablaSeleccionSupervisores[[#This Row],[ORDEN]])-1,_xlfn.XMATCH(TablaSupervisores[REFERENCIA],TablaSeleccionSupervisores[#Headers])))</f>
        <v>7</v>
      </c>
      <c r="AD162" t="str" cm="1">
        <f t="array" ref="AD162">IF(INDEX(TablaSeleccionSupervisores[],ROW(TablaSeleccionSupervisores[[#This Row],[ORDEN]])-1,_xlfn.XMATCH("ADMITIDO ADSLITE",TablaSeleccionSupervisores[#Headers])+1)=0,"Sí admitido","No admitido")</f>
        <v>Sí admitido</v>
      </c>
      <c r="AE162">
        <v>0</v>
      </c>
      <c r="AF162">
        <v>0</v>
      </c>
      <c r="AG162">
        <v>7</v>
      </c>
      <c r="AH162">
        <v>0</v>
      </c>
    </row>
    <row r="163" spans="22:34" x14ac:dyDescent="0.25">
      <c r="V163">
        <v>162</v>
      </c>
      <c r="W163" cm="1">
        <f t="array" ref="W163">SUM(TablaSupervisores[DISPOSITIVOS TOTAL]*INDEX(TablaSeleccionSupervisores[],ROW(TablaSeleccionSupervisores[[#This Row],[ORDEN]])-1,_xlfn.XMATCH(TablaSupervisores[REFERENCIA],TablaSeleccionSupervisores[#Headers])))</f>
        <v>1020</v>
      </c>
      <c r="X163" cm="1">
        <f t="array" ref="X163">SUM(TablaSupervisores[DISPOSITIVOS BACNET MS/TP JC]*INDEX(TablaSeleccionSupervisores[],ROW(TablaSeleccionSupervisores[[#This Row],[ORDEN]])-1,_xlfn.XMATCH(TablaSupervisores[REFERENCIA],TablaSeleccionSupervisores[#Headers])))</f>
        <v>550</v>
      </c>
      <c r="Y163" cm="1">
        <f t="array" ref="Y163">SUM(TablaSupervisores[DISPOSITIVOS BACNET MS/TP COMPATIBLES]*INDEX(TablaSeleccionSupervisores[],ROW(TablaSeleccionSupervisores[[#This Row],[ORDEN]])-1,_xlfn.XMATCH(TablaSupervisores[REFERENCIA],TablaSeleccionSupervisores[#Headers])))</f>
        <v>352</v>
      </c>
      <c r="Z163" cm="1">
        <f t="array" ref="Z163">SUM(TablaSupervisores[DISPOSITIVOS BACNET IP]*INDEX(TablaSeleccionSupervisores[],ROW(TablaSeleccionSupervisores[[#This Row],[ORDEN]])-1,_xlfn.XMATCH(TablaSupervisores[REFERENCIA],TablaSeleccionSupervisores[#Headers])))</f>
        <v>1100</v>
      </c>
      <c r="AA163" cm="1">
        <f t="array" ref="AA163">SUM(TablaSupervisores[OBJETOS]*INDEX(TablaSeleccionSupervisores[],ROW(TablaSeleccionSupervisores[[#This Row],[ORDEN]])-1,_xlfn.XMATCH(TablaSupervisores[REFERENCIA],TablaSeleccionSupervisores[#Headers])))</f>
        <v>22500</v>
      </c>
      <c r="AB163" s="28" cm="1">
        <f t="array" ref="AB163">SUM(TablaSupervisores[COSTE]*INDEX(TablaSeleccionSupervisores[],ROW(TablaSeleccionSupervisores[[#This Row],[ORDEN]])-1,_xlfn.XMATCH(TablaSupervisores[REFERENCIA],TablaSeleccionSupervisores[#Headers])))</f>
        <v>15630.990000000002</v>
      </c>
      <c r="AC163" cm="1">
        <f t="array" ref="AC163">SUM(INDEX(TablaSeleccionSupervisores[],ROW(TablaSeleccionSupervisores[[#This Row],[ORDEN]])-1,_xlfn.XMATCH(TablaSupervisores[REFERENCIA],TablaSeleccionSupervisores[#Headers])))</f>
        <v>8</v>
      </c>
      <c r="AD163" t="str" cm="1">
        <f t="array" ref="AD163">IF(INDEX(TablaSeleccionSupervisores[],ROW(TablaSeleccionSupervisores[[#This Row],[ORDEN]])-1,_xlfn.XMATCH("ADMITIDO ADSLITE",TablaSeleccionSupervisores[#Headers])+1)=0,"Sí admitido","No admitido")</f>
        <v>No admitido</v>
      </c>
      <c r="AE163">
        <v>1</v>
      </c>
      <c r="AF163">
        <v>0</v>
      </c>
      <c r="AG163">
        <v>7</v>
      </c>
      <c r="AH163">
        <v>0</v>
      </c>
    </row>
    <row r="164" spans="22:34" x14ac:dyDescent="0.25">
      <c r="V164">
        <v>163</v>
      </c>
      <c r="W164" cm="1">
        <f t="array" ref="W164">SUM(TablaSupervisores[DISPOSITIVOS TOTAL]*INDEX(TablaSeleccionSupervisores[],ROW(TablaSeleccionSupervisores[[#This Row],[ORDEN]])-1,_xlfn.XMATCH(TablaSupervisores[REFERENCIA],TablaSeleccionSupervisores[#Headers])))</f>
        <v>570</v>
      </c>
      <c r="X164" cm="1">
        <f t="array" ref="X164">SUM(TablaSupervisores[DISPOSITIVOS BACNET MS/TP JC]*INDEX(TablaSeleccionSupervisores[],ROW(TablaSeleccionSupervisores[[#This Row],[ORDEN]])-1,_xlfn.XMATCH(TablaSupervisores[REFERENCIA],TablaSeleccionSupervisores[#Headers])))</f>
        <v>450</v>
      </c>
      <c r="Y164" cm="1">
        <f t="array" ref="Y164">SUM(TablaSupervisores[DISPOSITIVOS BACNET MS/TP COMPATIBLES]*INDEX(TablaSeleccionSupervisores[],ROW(TablaSeleccionSupervisores[[#This Row],[ORDEN]])-1,_xlfn.XMATCH(TablaSupervisores[REFERENCIA],TablaSeleccionSupervisores[#Headers])))</f>
        <v>288</v>
      </c>
      <c r="Z164" cm="1">
        <f t="array" ref="Z164">SUM(TablaSupervisores[DISPOSITIVOS BACNET IP]*INDEX(TablaSeleccionSupervisores[],ROW(TablaSeleccionSupervisores[[#This Row],[ORDEN]])-1,_xlfn.XMATCH(TablaSupervisores[REFERENCIA],TablaSeleccionSupervisores[#Headers])))</f>
        <v>900</v>
      </c>
      <c r="AA164" cm="1">
        <f t="array" ref="AA164">SUM(TablaSupervisores[OBJETOS]*INDEX(TablaSeleccionSupervisores[],ROW(TablaSeleccionSupervisores[[#This Row],[ORDEN]])-1,_xlfn.XMATCH(TablaSupervisores[REFERENCIA],TablaSeleccionSupervisores[#Headers])))</f>
        <v>20000</v>
      </c>
      <c r="AB164" s="28" cm="1">
        <f t="array" ref="AB164">SUM(TablaSupervisores[COSTE]*INDEX(TablaSeleccionSupervisores[],ROW(TablaSeleccionSupervisores[[#This Row],[ORDEN]])-1,_xlfn.XMATCH(TablaSupervisores[REFERENCIA],TablaSeleccionSupervisores[#Headers])))</f>
        <v>13953.09</v>
      </c>
      <c r="AC164" cm="1">
        <f t="array" ref="AC164">SUM(INDEX(TablaSeleccionSupervisores[],ROW(TablaSeleccionSupervisores[[#This Row],[ORDEN]])-1,_xlfn.XMATCH(TablaSupervisores[REFERENCIA],TablaSeleccionSupervisores[#Headers])))</f>
        <v>8</v>
      </c>
      <c r="AD164" t="str" cm="1">
        <f t="array" ref="AD164">IF(INDEX(TablaSeleccionSupervisores[],ROW(TablaSeleccionSupervisores[[#This Row],[ORDEN]])-1,_xlfn.XMATCH("ADMITIDO ADSLITE",TablaSeleccionSupervisores[#Headers])+1)=0,"Sí admitido","No admitido")</f>
        <v>Sí admitido</v>
      </c>
      <c r="AE164">
        <v>0</v>
      </c>
      <c r="AF164">
        <v>1</v>
      </c>
      <c r="AG164">
        <v>7</v>
      </c>
      <c r="AH164">
        <v>0</v>
      </c>
    </row>
    <row r="165" spans="22:34" x14ac:dyDescent="0.25">
      <c r="V165">
        <v>164</v>
      </c>
      <c r="W165" cm="1">
        <f t="array" ref="W165">SUM(TablaSupervisores[DISPOSITIVOS TOTAL]*INDEX(TablaSeleccionSupervisores[],ROW(TablaSeleccionSupervisores[[#This Row],[ORDEN]])-1,_xlfn.XMATCH(TablaSupervisores[REFERENCIA],TablaSeleccionSupervisores[#Headers])))</f>
        <v>480</v>
      </c>
      <c r="X165" cm="1">
        <f t="array" ref="X165">SUM(TablaSupervisores[DISPOSITIVOS BACNET MS/TP JC]*INDEX(TablaSeleccionSupervisores[],ROW(TablaSeleccionSupervisores[[#This Row],[ORDEN]])-1,_xlfn.XMATCH(TablaSupervisores[REFERENCIA],TablaSeleccionSupervisores[#Headers])))</f>
        <v>400</v>
      </c>
      <c r="Y165" cm="1">
        <f t="array" ref="Y165">SUM(TablaSupervisores[DISPOSITIVOS BACNET MS/TP COMPATIBLES]*INDEX(TablaSeleccionSupervisores[],ROW(TablaSeleccionSupervisores[[#This Row],[ORDEN]])-1,_xlfn.XMATCH(TablaSupervisores[REFERENCIA],TablaSeleccionSupervisores[#Headers])))</f>
        <v>256</v>
      </c>
      <c r="Z165" cm="1">
        <f t="array" ref="Z165">SUM(TablaSupervisores[DISPOSITIVOS BACNET IP]*INDEX(TablaSeleccionSupervisores[],ROW(TablaSeleccionSupervisores[[#This Row],[ORDEN]])-1,_xlfn.XMATCH(TablaSupervisores[REFERENCIA],TablaSeleccionSupervisores[#Headers])))</f>
        <v>800</v>
      </c>
      <c r="AA165" cm="1">
        <f t="array" ref="AA165">SUM(TablaSupervisores[OBJETOS]*INDEX(TablaSeleccionSupervisores[],ROW(TablaSeleccionSupervisores[[#This Row],[ORDEN]])-1,_xlfn.XMATCH(TablaSupervisores[REFERENCIA],TablaSeleccionSupervisores[#Headers])))</f>
        <v>20000</v>
      </c>
      <c r="AB165" s="28" cm="1">
        <f t="array" ref="AB165">SUM(TablaSupervisores[COSTE]*INDEX(TablaSeleccionSupervisores[],ROW(TablaSeleccionSupervisores[[#This Row],[ORDEN]])-1,_xlfn.XMATCH(TablaSupervisores[REFERENCIA],TablaSeleccionSupervisores[#Headers])))</f>
        <v>11387.84</v>
      </c>
      <c r="AC165" cm="1">
        <f t="array" ref="AC165">SUM(INDEX(TablaSeleccionSupervisores[],ROW(TablaSeleccionSupervisores[[#This Row],[ORDEN]])-1,_xlfn.XMATCH(TablaSupervisores[REFERENCIA],TablaSeleccionSupervisores[#Headers])))</f>
        <v>8</v>
      </c>
      <c r="AD165" t="str" cm="1">
        <f t="array" ref="AD165">IF(INDEX(TablaSeleccionSupervisores[],ROW(TablaSeleccionSupervisores[[#This Row],[ORDEN]])-1,_xlfn.XMATCH("ADMITIDO ADSLITE",TablaSeleccionSupervisores[#Headers])+1)=0,"Sí admitido","No admitido")</f>
        <v>Sí admitido</v>
      </c>
      <c r="AE165">
        <v>0</v>
      </c>
      <c r="AF165">
        <v>0</v>
      </c>
      <c r="AG165">
        <v>8</v>
      </c>
      <c r="AH165">
        <v>0</v>
      </c>
    </row>
    <row r="166" spans="22:34" x14ac:dyDescent="0.25">
      <c r="V166">
        <v>165</v>
      </c>
      <c r="W166" cm="1">
        <f t="array" ref="W166">SUM(TablaSupervisores[DISPOSITIVOS TOTAL]*INDEX(TablaSeleccionSupervisores[],ROW(TablaSeleccionSupervisores[[#This Row],[ORDEN]])-1,_xlfn.XMATCH(TablaSupervisores[REFERENCIA],TablaSeleccionSupervisores[#Headers])))</f>
        <v>4</v>
      </c>
      <c r="X166" cm="1">
        <f t="array" ref="X166">SUM(TablaSupervisores[DISPOSITIVOS BACNET MS/TP JC]*INDEX(TablaSeleccionSupervisores[],ROW(TablaSeleccionSupervisores[[#This Row],[ORDEN]])-1,_xlfn.XMATCH(TablaSupervisores[REFERENCIA],TablaSeleccionSupervisores[#Headers])))</f>
        <v>4</v>
      </c>
      <c r="Y166" cm="1">
        <f t="array" ref="Y166">SUM(TablaSupervisores[DISPOSITIVOS BACNET MS/TP COMPATIBLES]*INDEX(TablaSeleccionSupervisores[],ROW(TablaSeleccionSupervisores[[#This Row],[ORDEN]])-1,_xlfn.XMATCH(TablaSupervisores[REFERENCIA],TablaSeleccionSupervisores[#Headers])))</f>
        <v>4</v>
      </c>
      <c r="Z166" cm="1">
        <f t="array" ref="Z166">SUM(TablaSupervisores[DISPOSITIVOS BACNET IP]*INDEX(TablaSeleccionSupervisores[],ROW(TablaSeleccionSupervisores[[#This Row],[ORDEN]])-1,_xlfn.XMATCH(TablaSupervisores[REFERENCIA],TablaSeleccionSupervisores[#Headers])))</f>
        <v>10</v>
      </c>
      <c r="AA166" cm="1">
        <f t="array" ref="AA166">SUM(TablaSupervisores[OBJETOS]*INDEX(TablaSeleccionSupervisores[],ROW(TablaSeleccionSupervisores[[#This Row],[ORDEN]])-1,_xlfn.XMATCH(TablaSupervisores[REFERENCIA],TablaSeleccionSupervisores[#Headers])))</f>
        <v>2500</v>
      </c>
      <c r="AB166" s="28" cm="1">
        <f t="array" ref="AB166">SUM(TablaSupervisores[COSTE]*INDEX(TablaSeleccionSupervisores[],ROW(TablaSeleccionSupervisores[[#This Row],[ORDEN]])-1,_xlfn.XMATCH(TablaSupervisores[REFERENCIA],TablaSeleccionSupervisores[#Headers])))</f>
        <v>748.35</v>
      </c>
      <c r="AC166" cm="1">
        <f t="array" ref="AC166">SUM(INDEX(TablaSeleccionSupervisores[],ROW(TablaSeleccionSupervisores[[#This Row],[ORDEN]])-1,_xlfn.XMATCH(TablaSupervisores[REFERENCIA],TablaSeleccionSupervisores[#Headers])))</f>
        <v>1</v>
      </c>
      <c r="AD166" t="str" cm="1">
        <f t="array" ref="AD166">IF(INDEX(TablaSeleccionSupervisores[],ROW(TablaSeleccionSupervisores[[#This Row],[ORDEN]])-1,_xlfn.XMATCH("ADMITIDO ADSLITE",TablaSeleccionSupervisores[#Headers])+1)=0,"Sí admitido","No admitido")</f>
        <v>Sí admitido</v>
      </c>
      <c r="AE166">
        <v>0</v>
      </c>
      <c r="AF166">
        <v>0</v>
      </c>
      <c r="AG166">
        <v>0</v>
      </c>
      <c r="AH166">
        <v>1</v>
      </c>
    </row>
    <row r="167" spans="22:34" x14ac:dyDescent="0.25">
      <c r="V167">
        <v>166</v>
      </c>
      <c r="W167" cm="1">
        <f t="array" ref="W167">SUM(TablaSupervisores[DISPOSITIVOS TOTAL]*INDEX(TablaSeleccionSupervisores[],ROW(TablaSeleccionSupervisores[[#This Row],[ORDEN]])-1,_xlfn.XMATCH(TablaSupervisores[REFERENCIA],TablaSeleccionSupervisores[#Headers])))</f>
        <v>604</v>
      </c>
      <c r="X167" cm="1">
        <f t="array" ref="X167">SUM(TablaSupervisores[DISPOSITIVOS BACNET MS/TP JC]*INDEX(TablaSeleccionSupervisores[],ROW(TablaSeleccionSupervisores[[#This Row],[ORDEN]])-1,_xlfn.XMATCH(TablaSupervisores[REFERENCIA],TablaSeleccionSupervisores[#Headers])))</f>
        <v>204</v>
      </c>
      <c r="Y167" cm="1">
        <f t="array" ref="Y167">SUM(TablaSupervisores[DISPOSITIVOS BACNET MS/TP COMPATIBLES]*INDEX(TablaSeleccionSupervisores[],ROW(TablaSeleccionSupervisores[[#This Row],[ORDEN]])-1,_xlfn.XMATCH(TablaSupervisores[REFERENCIA],TablaSeleccionSupervisores[#Headers])))</f>
        <v>132</v>
      </c>
      <c r="Z167" cm="1">
        <f t="array" ref="Z167">SUM(TablaSupervisores[DISPOSITIVOS BACNET IP]*INDEX(TablaSeleccionSupervisores[],ROW(TablaSeleccionSupervisores[[#This Row],[ORDEN]])-1,_xlfn.XMATCH(TablaSupervisores[REFERENCIA],TablaSeleccionSupervisores[#Headers])))</f>
        <v>410</v>
      </c>
      <c r="AA167" cm="1">
        <f t="array" ref="AA167">SUM(TablaSupervisores[OBJETOS]*INDEX(TablaSeleccionSupervisores[],ROW(TablaSeleccionSupervisores[[#This Row],[ORDEN]])-1,_xlfn.XMATCH(TablaSupervisores[REFERENCIA],TablaSeleccionSupervisores[#Headers])))</f>
        <v>7500</v>
      </c>
      <c r="AB167" s="28" cm="1">
        <f t="array" ref="AB167">SUM(TablaSupervisores[COSTE]*INDEX(TablaSeleccionSupervisores[],ROW(TablaSeleccionSupervisores[[#This Row],[ORDEN]])-1,_xlfn.XMATCH(TablaSupervisores[REFERENCIA],TablaSeleccionSupervisores[#Headers])))</f>
        <v>6414.9800000000005</v>
      </c>
      <c r="AC167" cm="1">
        <f t="array" ref="AC167">SUM(INDEX(TablaSeleccionSupervisores[],ROW(TablaSeleccionSupervisores[[#This Row],[ORDEN]])-1,_xlfn.XMATCH(TablaSupervisores[REFERENCIA],TablaSeleccionSupervisores[#Headers])))</f>
        <v>2</v>
      </c>
      <c r="AD167" t="str" cm="1">
        <f t="array" ref="AD167">IF(INDEX(TablaSeleccionSupervisores[],ROW(TablaSeleccionSupervisores[[#This Row],[ORDEN]])-1,_xlfn.XMATCH("ADMITIDO ADSLITE",TablaSeleccionSupervisores[#Headers])+1)=0,"Sí admitido","No admitido")</f>
        <v>No admitido</v>
      </c>
      <c r="AE167">
        <v>1</v>
      </c>
      <c r="AF167">
        <v>0</v>
      </c>
      <c r="AG167">
        <v>0</v>
      </c>
      <c r="AH167">
        <v>1</v>
      </c>
    </row>
    <row r="168" spans="22:34" x14ac:dyDescent="0.25">
      <c r="V168">
        <v>167</v>
      </c>
      <c r="W168" cm="1">
        <f t="array" ref="W168">SUM(TablaSupervisores[DISPOSITIVOS TOTAL]*INDEX(TablaSeleccionSupervisores[],ROW(TablaSeleccionSupervisores[[#This Row],[ORDEN]])-1,_xlfn.XMATCH(TablaSupervisores[REFERENCIA],TablaSeleccionSupervisores[#Headers])))</f>
        <v>1204</v>
      </c>
      <c r="X168" cm="1">
        <f t="array" ref="X168">SUM(TablaSupervisores[DISPOSITIVOS BACNET MS/TP JC]*INDEX(TablaSeleccionSupervisores[],ROW(TablaSeleccionSupervisores[[#This Row],[ORDEN]])-1,_xlfn.XMATCH(TablaSupervisores[REFERENCIA],TablaSeleccionSupervisores[#Headers])))</f>
        <v>404</v>
      </c>
      <c r="Y168" cm="1">
        <f t="array" ref="Y168">SUM(TablaSupervisores[DISPOSITIVOS BACNET MS/TP COMPATIBLES]*INDEX(TablaSeleccionSupervisores[],ROW(TablaSeleccionSupervisores[[#This Row],[ORDEN]])-1,_xlfn.XMATCH(TablaSupervisores[REFERENCIA],TablaSeleccionSupervisores[#Headers])))</f>
        <v>260</v>
      </c>
      <c r="Z168" cm="1">
        <f t="array" ref="Z168">SUM(TablaSupervisores[DISPOSITIVOS BACNET IP]*INDEX(TablaSeleccionSupervisores[],ROW(TablaSeleccionSupervisores[[#This Row],[ORDEN]])-1,_xlfn.XMATCH(TablaSupervisores[REFERENCIA],TablaSeleccionSupervisores[#Headers])))</f>
        <v>810</v>
      </c>
      <c r="AA168" cm="1">
        <f t="array" ref="AA168">SUM(TablaSupervisores[OBJETOS]*INDEX(TablaSeleccionSupervisores[],ROW(TablaSeleccionSupervisores[[#This Row],[ORDEN]])-1,_xlfn.XMATCH(TablaSupervisores[REFERENCIA],TablaSeleccionSupervisores[#Headers])))</f>
        <v>12500</v>
      </c>
      <c r="AB168" s="28" cm="1">
        <f t="array" ref="AB168">SUM(TablaSupervisores[COSTE]*INDEX(TablaSeleccionSupervisores[],ROW(TablaSeleccionSupervisores[[#This Row],[ORDEN]])-1,_xlfn.XMATCH(TablaSupervisores[REFERENCIA],TablaSeleccionSupervisores[#Headers])))</f>
        <v>12081.61</v>
      </c>
      <c r="AC168" cm="1">
        <f t="array" ref="AC168">SUM(INDEX(TablaSeleccionSupervisores[],ROW(TablaSeleccionSupervisores[[#This Row],[ORDEN]])-1,_xlfn.XMATCH(TablaSupervisores[REFERENCIA],TablaSeleccionSupervisores[#Headers])))</f>
        <v>3</v>
      </c>
      <c r="AD168" t="str" cm="1">
        <f t="array" ref="AD168">IF(INDEX(TablaSeleccionSupervisores[],ROW(TablaSeleccionSupervisores[[#This Row],[ORDEN]])-1,_xlfn.XMATCH("ADMITIDO ADSLITE",TablaSeleccionSupervisores[#Headers])+1)=0,"Sí admitido","No admitido")</f>
        <v>No admitido</v>
      </c>
      <c r="AE168">
        <v>2</v>
      </c>
      <c r="AF168">
        <v>0</v>
      </c>
      <c r="AG168">
        <v>0</v>
      </c>
      <c r="AH168">
        <v>1</v>
      </c>
    </row>
    <row r="169" spans="22:34" x14ac:dyDescent="0.25">
      <c r="V169">
        <v>168</v>
      </c>
      <c r="W169" cm="1">
        <f t="array" ref="W169">SUM(TablaSupervisores[DISPOSITIVOS TOTAL]*INDEX(TablaSeleccionSupervisores[],ROW(TablaSeleccionSupervisores[[#This Row],[ORDEN]])-1,_xlfn.XMATCH(TablaSupervisores[REFERENCIA],TablaSeleccionSupervisores[#Headers])))</f>
        <v>1804</v>
      </c>
      <c r="X169" cm="1">
        <f t="array" ref="X169">SUM(TablaSupervisores[DISPOSITIVOS BACNET MS/TP JC]*INDEX(TablaSeleccionSupervisores[],ROW(TablaSeleccionSupervisores[[#This Row],[ORDEN]])-1,_xlfn.XMATCH(TablaSupervisores[REFERENCIA],TablaSeleccionSupervisores[#Headers])))</f>
        <v>604</v>
      </c>
      <c r="Y169" cm="1">
        <f t="array" ref="Y169">SUM(TablaSupervisores[DISPOSITIVOS BACNET MS/TP COMPATIBLES]*INDEX(TablaSeleccionSupervisores[],ROW(TablaSeleccionSupervisores[[#This Row],[ORDEN]])-1,_xlfn.XMATCH(TablaSupervisores[REFERENCIA],TablaSeleccionSupervisores[#Headers])))</f>
        <v>388</v>
      </c>
      <c r="Z169" cm="1">
        <f t="array" ref="Z169">SUM(TablaSupervisores[DISPOSITIVOS BACNET IP]*INDEX(TablaSeleccionSupervisores[],ROW(TablaSeleccionSupervisores[[#This Row],[ORDEN]])-1,_xlfn.XMATCH(TablaSupervisores[REFERENCIA],TablaSeleccionSupervisores[#Headers])))</f>
        <v>1210</v>
      </c>
      <c r="AA169" cm="1">
        <f t="array" ref="AA169">SUM(TablaSupervisores[OBJETOS]*INDEX(TablaSeleccionSupervisores[],ROW(TablaSeleccionSupervisores[[#This Row],[ORDEN]])-1,_xlfn.XMATCH(TablaSupervisores[REFERENCIA],TablaSeleccionSupervisores[#Headers])))</f>
        <v>17500</v>
      </c>
      <c r="AB169" s="28" cm="1">
        <f t="array" ref="AB169">SUM(TablaSupervisores[COSTE]*INDEX(TablaSeleccionSupervisores[],ROW(TablaSeleccionSupervisores[[#This Row],[ORDEN]])-1,_xlfn.XMATCH(TablaSupervisores[REFERENCIA],TablaSeleccionSupervisores[#Headers])))</f>
        <v>17748.239999999998</v>
      </c>
      <c r="AC169" cm="1">
        <f t="array" ref="AC169">SUM(INDEX(TablaSeleccionSupervisores[],ROW(TablaSeleccionSupervisores[[#This Row],[ORDEN]])-1,_xlfn.XMATCH(TablaSupervisores[REFERENCIA],TablaSeleccionSupervisores[#Headers])))</f>
        <v>4</v>
      </c>
      <c r="AD169" t="str" cm="1">
        <f t="array" ref="AD169">IF(INDEX(TablaSeleccionSupervisores[],ROW(TablaSeleccionSupervisores[[#This Row],[ORDEN]])-1,_xlfn.XMATCH("ADMITIDO ADSLITE",TablaSeleccionSupervisores[#Headers])+1)=0,"Sí admitido","No admitido")</f>
        <v>No admitido</v>
      </c>
      <c r="AE169">
        <v>3</v>
      </c>
      <c r="AF169">
        <v>0</v>
      </c>
      <c r="AG169">
        <v>0</v>
      </c>
      <c r="AH169">
        <v>1</v>
      </c>
    </row>
    <row r="170" spans="22:34" x14ac:dyDescent="0.25">
      <c r="V170">
        <v>169</v>
      </c>
      <c r="W170" cm="1">
        <f t="array" ref="W170">SUM(TablaSupervisores[DISPOSITIVOS TOTAL]*INDEX(TablaSeleccionSupervisores[],ROW(TablaSeleccionSupervisores[[#This Row],[ORDEN]])-1,_xlfn.XMATCH(TablaSupervisores[REFERENCIA],TablaSeleccionSupervisores[#Headers])))</f>
        <v>2404</v>
      </c>
      <c r="X170" cm="1">
        <f t="array" ref="X170">SUM(TablaSupervisores[DISPOSITIVOS BACNET MS/TP JC]*INDEX(TablaSeleccionSupervisores[],ROW(TablaSeleccionSupervisores[[#This Row],[ORDEN]])-1,_xlfn.XMATCH(TablaSupervisores[REFERENCIA],TablaSeleccionSupervisores[#Headers])))</f>
        <v>804</v>
      </c>
      <c r="Y170" cm="1">
        <f t="array" ref="Y170">SUM(TablaSupervisores[DISPOSITIVOS BACNET MS/TP COMPATIBLES]*INDEX(TablaSeleccionSupervisores[],ROW(TablaSeleccionSupervisores[[#This Row],[ORDEN]])-1,_xlfn.XMATCH(TablaSupervisores[REFERENCIA],TablaSeleccionSupervisores[#Headers])))</f>
        <v>516</v>
      </c>
      <c r="Z170" cm="1">
        <f t="array" ref="Z170">SUM(TablaSupervisores[DISPOSITIVOS BACNET IP]*INDEX(TablaSeleccionSupervisores[],ROW(TablaSeleccionSupervisores[[#This Row],[ORDEN]])-1,_xlfn.XMATCH(TablaSupervisores[REFERENCIA],TablaSeleccionSupervisores[#Headers])))</f>
        <v>1610</v>
      </c>
      <c r="AA170" cm="1">
        <f t="array" ref="AA170">SUM(TablaSupervisores[OBJETOS]*INDEX(TablaSeleccionSupervisores[],ROW(TablaSeleccionSupervisores[[#This Row],[ORDEN]])-1,_xlfn.XMATCH(TablaSupervisores[REFERENCIA],TablaSeleccionSupervisores[#Headers])))</f>
        <v>22500</v>
      </c>
      <c r="AB170" s="28" cm="1">
        <f t="array" ref="AB170">SUM(TablaSupervisores[COSTE]*INDEX(TablaSeleccionSupervisores[],ROW(TablaSeleccionSupervisores[[#This Row],[ORDEN]])-1,_xlfn.XMATCH(TablaSupervisores[REFERENCIA],TablaSeleccionSupervisores[#Headers])))</f>
        <v>23414.87</v>
      </c>
      <c r="AC170" cm="1">
        <f t="array" ref="AC170">SUM(INDEX(TablaSeleccionSupervisores[],ROW(TablaSeleccionSupervisores[[#This Row],[ORDEN]])-1,_xlfn.XMATCH(TablaSupervisores[REFERENCIA],TablaSeleccionSupervisores[#Headers])))</f>
        <v>5</v>
      </c>
      <c r="AD170" t="str" cm="1">
        <f t="array" ref="AD170">IF(INDEX(TablaSeleccionSupervisores[],ROW(TablaSeleccionSupervisores[[#This Row],[ORDEN]])-1,_xlfn.XMATCH("ADMITIDO ADSLITE",TablaSeleccionSupervisores[#Headers])+1)=0,"Sí admitido","No admitido")</f>
        <v>No admitido</v>
      </c>
      <c r="AE170">
        <v>4</v>
      </c>
      <c r="AF170">
        <v>0</v>
      </c>
      <c r="AG170">
        <v>0</v>
      </c>
      <c r="AH170">
        <v>1</v>
      </c>
    </row>
    <row r="171" spans="22:34" x14ac:dyDescent="0.25">
      <c r="V171">
        <v>170</v>
      </c>
      <c r="W171" cm="1">
        <f t="array" ref="W171">SUM(TablaSupervisores[DISPOSITIVOS TOTAL]*INDEX(TablaSeleccionSupervisores[],ROW(TablaSeleccionSupervisores[[#This Row],[ORDEN]])-1,_xlfn.XMATCH(TablaSupervisores[REFERENCIA],TablaSeleccionSupervisores[#Headers])))</f>
        <v>3004</v>
      </c>
      <c r="X171" cm="1">
        <f t="array" ref="X171">SUM(TablaSupervisores[DISPOSITIVOS BACNET MS/TP JC]*INDEX(TablaSeleccionSupervisores[],ROW(TablaSeleccionSupervisores[[#This Row],[ORDEN]])-1,_xlfn.XMATCH(TablaSupervisores[REFERENCIA],TablaSeleccionSupervisores[#Headers])))</f>
        <v>1004</v>
      </c>
      <c r="Y171" cm="1">
        <f t="array" ref="Y171">SUM(TablaSupervisores[DISPOSITIVOS BACNET MS/TP COMPATIBLES]*INDEX(TablaSeleccionSupervisores[],ROW(TablaSeleccionSupervisores[[#This Row],[ORDEN]])-1,_xlfn.XMATCH(TablaSupervisores[REFERENCIA],TablaSeleccionSupervisores[#Headers])))</f>
        <v>644</v>
      </c>
      <c r="Z171" cm="1">
        <f t="array" ref="Z171">SUM(TablaSupervisores[DISPOSITIVOS BACNET IP]*INDEX(TablaSeleccionSupervisores[],ROW(TablaSeleccionSupervisores[[#This Row],[ORDEN]])-1,_xlfn.XMATCH(TablaSupervisores[REFERENCIA],TablaSeleccionSupervisores[#Headers])))</f>
        <v>2010</v>
      </c>
      <c r="AA171" cm="1">
        <f t="array" ref="AA171">SUM(TablaSupervisores[OBJETOS]*INDEX(TablaSeleccionSupervisores[],ROW(TablaSeleccionSupervisores[[#This Row],[ORDEN]])-1,_xlfn.XMATCH(TablaSupervisores[REFERENCIA],TablaSeleccionSupervisores[#Headers])))</f>
        <v>27500</v>
      </c>
      <c r="AB171" s="28" cm="1">
        <f t="array" ref="AB171">SUM(TablaSupervisores[COSTE]*INDEX(TablaSeleccionSupervisores[],ROW(TablaSeleccionSupervisores[[#This Row],[ORDEN]])-1,_xlfn.XMATCH(TablaSupervisores[REFERENCIA],TablaSeleccionSupervisores[#Headers])))</f>
        <v>29081.5</v>
      </c>
      <c r="AC171" cm="1">
        <f t="array" ref="AC171">SUM(INDEX(TablaSeleccionSupervisores[],ROW(TablaSeleccionSupervisores[[#This Row],[ORDEN]])-1,_xlfn.XMATCH(TablaSupervisores[REFERENCIA],TablaSeleccionSupervisores[#Headers])))</f>
        <v>6</v>
      </c>
      <c r="AD171" t="str" cm="1">
        <f t="array" ref="AD171">IF(INDEX(TablaSeleccionSupervisores[],ROW(TablaSeleccionSupervisores[[#This Row],[ORDEN]])-1,_xlfn.XMATCH("ADMITIDO ADSLITE",TablaSeleccionSupervisores[#Headers])+1)=0,"Sí admitido","No admitido")</f>
        <v>No admitido</v>
      </c>
      <c r="AE171">
        <v>5</v>
      </c>
      <c r="AF171">
        <v>0</v>
      </c>
      <c r="AG171">
        <v>0</v>
      </c>
      <c r="AH171">
        <v>1</v>
      </c>
    </row>
    <row r="172" spans="22:34" x14ac:dyDescent="0.25">
      <c r="V172">
        <v>171</v>
      </c>
      <c r="W172" cm="1">
        <f t="array" ref="W172">SUM(TablaSupervisores[DISPOSITIVOS TOTAL]*INDEX(TablaSeleccionSupervisores[],ROW(TablaSeleccionSupervisores[[#This Row],[ORDEN]])-1,_xlfn.XMATCH(TablaSupervisores[REFERENCIA],TablaSeleccionSupervisores[#Headers])))</f>
        <v>3604</v>
      </c>
      <c r="X172" cm="1">
        <f t="array" ref="X172">SUM(TablaSupervisores[DISPOSITIVOS BACNET MS/TP JC]*INDEX(TablaSeleccionSupervisores[],ROW(TablaSeleccionSupervisores[[#This Row],[ORDEN]])-1,_xlfn.XMATCH(TablaSupervisores[REFERENCIA],TablaSeleccionSupervisores[#Headers])))</f>
        <v>1204</v>
      </c>
      <c r="Y172" cm="1">
        <f t="array" ref="Y172">SUM(TablaSupervisores[DISPOSITIVOS BACNET MS/TP COMPATIBLES]*INDEX(TablaSeleccionSupervisores[],ROW(TablaSeleccionSupervisores[[#This Row],[ORDEN]])-1,_xlfn.XMATCH(TablaSupervisores[REFERENCIA],TablaSeleccionSupervisores[#Headers])))</f>
        <v>772</v>
      </c>
      <c r="Z172" cm="1">
        <f t="array" ref="Z172">SUM(TablaSupervisores[DISPOSITIVOS BACNET IP]*INDEX(TablaSeleccionSupervisores[],ROW(TablaSeleccionSupervisores[[#This Row],[ORDEN]])-1,_xlfn.XMATCH(TablaSupervisores[REFERENCIA],TablaSeleccionSupervisores[#Headers])))</f>
        <v>2410</v>
      </c>
      <c r="AA172" cm="1">
        <f t="array" ref="AA172">SUM(TablaSupervisores[OBJETOS]*INDEX(TablaSeleccionSupervisores[],ROW(TablaSeleccionSupervisores[[#This Row],[ORDEN]])-1,_xlfn.XMATCH(TablaSupervisores[REFERENCIA],TablaSeleccionSupervisores[#Headers])))</f>
        <v>32500</v>
      </c>
      <c r="AB172" s="28" cm="1">
        <f t="array" ref="AB172">SUM(TablaSupervisores[COSTE]*INDEX(TablaSeleccionSupervisores[],ROW(TablaSeleccionSupervisores[[#This Row],[ORDEN]])-1,_xlfn.XMATCH(TablaSupervisores[REFERENCIA],TablaSeleccionSupervisores[#Headers])))</f>
        <v>34748.129999999997</v>
      </c>
      <c r="AC172" cm="1">
        <f t="array" ref="AC172">SUM(INDEX(TablaSeleccionSupervisores[],ROW(TablaSeleccionSupervisores[[#This Row],[ORDEN]])-1,_xlfn.XMATCH(TablaSupervisores[REFERENCIA],TablaSeleccionSupervisores[#Headers])))</f>
        <v>7</v>
      </c>
      <c r="AD172" t="str" cm="1">
        <f t="array" ref="AD172">IF(INDEX(TablaSeleccionSupervisores[],ROW(TablaSeleccionSupervisores[[#This Row],[ORDEN]])-1,_xlfn.XMATCH("ADMITIDO ADSLITE",TablaSeleccionSupervisores[#Headers])+1)=0,"Sí admitido","No admitido")</f>
        <v>No admitido</v>
      </c>
      <c r="AE172">
        <v>6</v>
      </c>
      <c r="AF172">
        <v>0</v>
      </c>
      <c r="AG172">
        <v>0</v>
      </c>
      <c r="AH172">
        <v>1</v>
      </c>
    </row>
    <row r="173" spans="22:34" x14ac:dyDescent="0.25">
      <c r="V173">
        <v>172</v>
      </c>
      <c r="W173" cm="1">
        <f t="array" ref="W173">SUM(TablaSupervisores[DISPOSITIVOS TOTAL]*INDEX(TablaSeleccionSupervisores[],ROW(TablaSeleccionSupervisores[[#This Row],[ORDEN]])-1,_xlfn.XMATCH(TablaSupervisores[REFERENCIA],TablaSeleccionSupervisores[#Headers])))</f>
        <v>4204</v>
      </c>
      <c r="X173" cm="1">
        <f t="array" ref="X173">SUM(TablaSupervisores[DISPOSITIVOS BACNET MS/TP JC]*INDEX(TablaSeleccionSupervisores[],ROW(TablaSeleccionSupervisores[[#This Row],[ORDEN]])-1,_xlfn.XMATCH(TablaSupervisores[REFERENCIA],TablaSeleccionSupervisores[#Headers])))</f>
        <v>1404</v>
      </c>
      <c r="Y173" cm="1">
        <f t="array" ref="Y173">SUM(TablaSupervisores[DISPOSITIVOS BACNET MS/TP COMPATIBLES]*INDEX(TablaSeleccionSupervisores[],ROW(TablaSeleccionSupervisores[[#This Row],[ORDEN]])-1,_xlfn.XMATCH(TablaSupervisores[REFERENCIA],TablaSeleccionSupervisores[#Headers])))</f>
        <v>900</v>
      </c>
      <c r="Z173" cm="1">
        <f t="array" ref="Z173">SUM(TablaSupervisores[DISPOSITIVOS BACNET IP]*INDEX(TablaSeleccionSupervisores[],ROW(TablaSeleccionSupervisores[[#This Row],[ORDEN]])-1,_xlfn.XMATCH(TablaSupervisores[REFERENCIA],TablaSeleccionSupervisores[#Headers])))</f>
        <v>2810</v>
      </c>
      <c r="AA173" cm="1">
        <f t="array" ref="AA173">SUM(TablaSupervisores[OBJETOS]*INDEX(TablaSeleccionSupervisores[],ROW(TablaSeleccionSupervisores[[#This Row],[ORDEN]])-1,_xlfn.XMATCH(TablaSupervisores[REFERENCIA],TablaSeleccionSupervisores[#Headers])))</f>
        <v>37500</v>
      </c>
      <c r="AB173" s="28" cm="1">
        <f t="array" ref="AB173">SUM(TablaSupervisores[COSTE]*INDEX(TablaSeleccionSupervisores[],ROW(TablaSeleccionSupervisores[[#This Row],[ORDEN]])-1,_xlfn.XMATCH(TablaSupervisores[REFERENCIA],TablaSeleccionSupervisores[#Headers])))</f>
        <v>40414.76</v>
      </c>
      <c r="AC173" cm="1">
        <f t="array" ref="AC173">SUM(INDEX(TablaSeleccionSupervisores[],ROW(TablaSeleccionSupervisores[[#This Row],[ORDEN]])-1,_xlfn.XMATCH(TablaSupervisores[REFERENCIA],TablaSeleccionSupervisores[#Headers])))</f>
        <v>8</v>
      </c>
      <c r="AD173" t="str" cm="1">
        <f t="array" ref="AD173">IF(INDEX(TablaSeleccionSupervisores[],ROW(TablaSeleccionSupervisores[[#This Row],[ORDEN]])-1,_xlfn.XMATCH("ADMITIDO ADSLITE",TablaSeleccionSupervisores[#Headers])+1)=0,"Sí admitido","No admitido")</f>
        <v>No admitido</v>
      </c>
      <c r="AE173">
        <v>7</v>
      </c>
      <c r="AF173">
        <v>0</v>
      </c>
      <c r="AG173">
        <v>0</v>
      </c>
      <c r="AH173">
        <v>1</v>
      </c>
    </row>
    <row r="174" spans="22:34" x14ac:dyDescent="0.25">
      <c r="V174">
        <v>173</v>
      </c>
      <c r="W174" cm="1">
        <f t="array" ref="W174">SUM(TablaSupervisores[DISPOSITIVOS TOTAL]*INDEX(TablaSeleccionSupervisores[],ROW(TablaSeleccionSupervisores[[#This Row],[ORDEN]])-1,_xlfn.XMATCH(TablaSupervisores[REFERENCIA],TablaSeleccionSupervisores[#Headers])))</f>
        <v>154</v>
      </c>
      <c r="X174" cm="1">
        <f t="array" ref="X174">SUM(TablaSupervisores[DISPOSITIVOS BACNET MS/TP JC]*INDEX(TablaSeleccionSupervisores[],ROW(TablaSeleccionSupervisores[[#This Row],[ORDEN]])-1,_xlfn.XMATCH(TablaSupervisores[REFERENCIA],TablaSeleccionSupervisores[#Headers])))</f>
        <v>104</v>
      </c>
      <c r="Y174" cm="1">
        <f t="array" ref="Y174">SUM(TablaSupervisores[DISPOSITIVOS BACNET MS/TP COMPATIBLES]*INDEX(TablaSeleccionSupervisores[],ROW(TablaSeleccionSupervisores[[#This Row],[ORDEN]])-1,_xlfn.XMATCH(TablaSupervisores[REFERENCIA],TablaSeleccionSupervisores[#Headers])))</f>
        <v>68</v>
      </c>
      <c r="Z174" cm="1">
        <f t="array" ref="Z174">SUM(TablaSupervisores[DISPOSITIVOS BACNET IP]*INDEX(TablaSeleccionSupervisores[],ROW(TablaSeleccionSupervisores[[#This Row],[ORDEN]])-1,_xlfn.XMATCH(TablaSupervisores[REFERENCIA],TablaSeleccionSupervisores[#Headers])))</f>
        <v>210</v>
      </c>
      <c r="AA174" cm="1">
        <f t="array" ref="AA174">SUM(TablaSupervisores[OBJETOS]*INDEX(TablaSeleccionSupervisores[],ROW(TablaSeleccionSupervisores[[#This Row],[ORDEN]])-1,_xlfn.XMATCH(TablaSupervisores[REFERENCIA],TablaSeleccionSupervisores[#Headers])))</f>
        <v>5000</v>
      </c>
      <c r="AB174" s="28" cm="1">
        <f t="array" ref="AB174">SUM(TablaSupervisores[COSTE]*INDEX(TablaSeleccionSupervisores[],ROW(TablaSeleccionSupervisores[[#This Row],[ORDEN]])-1,_xlfn.XMATCH(TablaSupervisores[REFERENCIA],TablaSeleccionSupervisores[#Headers])))</f>
        <v>4737.08</v>
      </c>
      <c r="AC174" cm="1">
        <f t="array" ref="AC174">SUM(INDEX(TablaSeleccionSupervisores[],ROW(TablaSeleccionSupervisores[[#This Row],[ORDEN]])-1,_xlfn.XMATCH(TablaSupervisores[REFERENCIA],TablaSeleccionSupervisores[#Headers])))</f>
        <v>2</v>
      </c>
      <c r="AD174" t="str" cm="1">
        <f t="array" ref="AD174">IF(INDEX(TablaSeleccionSupervisores[],ROW(TablaSeleccionSupervisores[[#This Row],[ORDEN]])-1,_xlfn.XMATCH("ADMITIDO ADSLITE",TablaSeleccionSupervisores[#Headers])+1)=0,"Sí admitido","No admitido")</f>
        <v>Sí admitido</v>
      </c>
      <c r="AE174">
        <v>0</v>
      </c>
      <c r="AF174">
        <v>1</v>
      </c>
      <c r="AG174">
        <v>0</v>
      </c>
      <c r="AH174">
        <v>1</v>
      </c>
    </row>
    <row r="175" spans="22:34" x14ac:dyDescent="0.25">
      <c r="V175">
        <v>174</v>
      </c>
      <c r="W175" cm="1">
        <f t="array" ref="W175">SUM(TablaSupervisores[DISPOSITIVOS TOTAL]*INDEX(TablaSeleccionSupervisores[],ROW(TablaSeleccionSupervisores[[#This Row],[ORDEN]])-1,_xlfn.XMATCH(TablaSupervisores[REFERENCIA],TablaSeleccionSupervisores[#Headers])))</f>
        <v>754</v>
      </c>
      <c r="X175" cm="1">
        <f t="array" ref="X175">SUM(TablaSupervisores[DISPOSITIVOS BACNET MS/TP JC]*INDEX(TablaSeleccionSupervisores[],ROW(TablaSeleccionSupervisores[[#This Row],[ORDEN]])-1,_xlfn.XMATCH(TablaSupervisores[REFERENCIA],TablaSeleccionSupervisores[#Headers])))</f>
        <v>304</v>
      </c>
      <c r="Y175" cm="1">
        <f t="array" ref="Y175">SUM(TablaSupervisores[DISPOSITIVOS BACNET MS/TP COMPATIBLES]*INDEX(TablaSeleccionSupervisores[],ROW(TablaSeleccionSupervisores[[#This Row],[ORDEN]])-1,_xlfn.XMATCH(TablaSupervisores[REFERENCIA],TablaSeleccionSupervisores[#Headers])))</f>
        <v>196</v>
      </c>
      <c r="Z175" cm="1">
        <f t="array" ref="Z175">SUM(TablaSupervisores[DISPOSITIVOS BACNET IP]*INDEX(TablaSeleccionSupervisores[],ROW(TablaSeleccionSupervisores[[#This Row],[ORDEN]])-1,_xlfn.XMATCH(TablaSupervisores[REFERENCIA],TablaSeleccionSupervisores[#Headers])))</f>
        <v>610</v>
      </c>
      <c r="AA175" cm="1">
        <f t="array" ref="AA175">SUM(TablaSupervisores[OBJETOS]*INDEX(TablaSeleccionSupervisores[],ROW(TablaSeleccionSupervisores[[#This Row],[ORDEN]])-1,_xlfn.XMATCH(TablaSupervisores[REFERENCIA],TablaSeleccionSupervisores[#Headers])))</f>
        <v>10000</v>
      </c>
      <c r="AB175" s="28" cm="1">
        <f t="array" ref="AB175">SUM(TablaSupervisores[COSTE]*INDEX(TablaSeleccionSupervisores[],ROW(TablaSeleccionSupervisores[[#This Row],[ORDEN]])-1,_xlfn.XMATCH(TablaSupervisores[REFERENCIA],TablaSeleccionSupervisores[#Headers])))</f>
        <v>10403.710000000001</v>
      </c>
      <c r="AC175" cm="1">
        <f t="array" ref="AC175">SUM(INDEX(TablaSeleccionSupervisores[],ROW(TablaSeleccionSupervisores[[#This Row],[ORDEN]])-1,_xlfn.XMATCH(TablaSupervisores[REFERENCIA],TablaSeleccionSupervisores[#Headers])))</f>
        <v>3</v>
      </c>
      <c r="AD175" t="str" cm="1">
        <f t="array" ref="AD175">IF(INDEX(TablaSeleccionSupervisores[],ROW(TablaSeleccionSupervisores[[#This Row],[ORDEN]])-1,_xlfn.XMATCH("ADMITIDO ADSLITE",TablaSeleccionSupervisores[#Headers])+1)=0,"Sí admitido","No admitido")</f>
        <v>No admitido</v>
      </c>
      <c r="AE175">
        <v>1</v>
      </c>
      <c r="AF175">
        <v>1</v>
      </c>
      <c r="AG175">
        <v>0</v>
      </c>
      <c r="AH175">
        <v>1</v>
      </c>
    </row>
    <row r="176" spans="22:34" x14ac:dyDescent="0.25">
      <c r="V176">
        <v>175</v>
      </c>
      <c r="W176" cm="1">
        <f t="array" ref="W176">SUM(TablaSupervisores[DISPOSITIVOS TOTAL]*INDEX(TablaSeleccionSupervisores[],ROW(TablaSeleccionSupervisores[[#This Row],[ORDEN]])-1,_xlfn.XMATCH(TablaSupervisores[REFERENCIA],TablaSeleccionSupervisores[#Headers])))</f>
        <v>1354</v>
      </c>
      <c r="X176" cm="1">
        <f t="array" ref="X176">SUM(TablaSupervisores[DISPOSITIVOS BACNET MS/TP JC]*INDEX(TablaSeleccionSupervisores[],ROW(TablaSeleccionSupervisores[[#This Row],[ORDEN]])-1,_xlfn.XMATCH(TablaSupervisores[REFERENCIA],TablaSeleccionSupervisores[#Headers])))</f>
        <v>504</v>
      </c>
      <c r="Y176" cm="1">
        <f t="array" ref="Y176">SUM(TablaSupervisores[DISPOSITIVOS BACNET MS/TP COMPATIBLES]*INDEX(TablaSeleccionSupervisores[],ROW(TablaSeleccionSupervisores[[#This Row],[ORDEN]])-1,_xlfn.XMATCH(TablaSupervisores[REFERENCIA],TablaSeleccionSupervisores[#Headers])))</f>
        <v>324</v>
      </c>
      <c r="Z176" cm="1">
        <f t="array" ref="Z176">SUM(TablaSupervisores[DISPOSITIVOS BACNET IP]*INDEX(TablaSeleccionSupervisores[],ROW(TablaSeleccionSupervisores[[#This Row],[ORDEN]])-1,_xlfn.XMATCH(TablaSupervisores[REFERENCIA],TablaSeleccionSupervisores[#Headers])))</f>
        <v>1010</v>
      </c>
      <c r="AA176" cm="1">
        <f t="array" ref="AA176">SUM(TablaSupervisores[OBJETOS]*INDEX(TablaSeleccionSupervisores[],ROW(TablaSeleccionSupervisores[[#This Row],[ORDEN]])-1,_xlfn.XMATCH(TablaSupervisores[REFERENCIA],TablaSeleccionSupervisores[#Headers])))</f>
        <v>15000</v>
      </c>
      <c r="AB176" s="28" cm="1">
        <f t="array" ref="AB176">SUM(TablaSupervisores[COSTE]*INDEX(TablaSeleccionSupervisores[],ROW(TablaSeleccionSupervisores[[#This Row],[ORDEN]])-1,_xlfn.XMATCH(TablaSupervisores[REFERENCIA],TablaSeleccionSupervisores[#Headers])))</f>
        <v>16070.34</v>
      </c>
      <c r="AC176" cm="1">
        <f t="array" ref="AC176">SUM(INDEX(TablaSeleccionSupervisores[],ROW(TablaSeleccionSupervisores[[#This Row],[ORDEN]])-1,_xlfn.XMATCH(TablaSupervisores[REFERENCIA],TablaSeleccionSupervisores[#Headers])))</f>
        <v>4</v>
      </c>
      <c r="AD176" t="str" cm="1">
        <f t="array" ref="AD176">IF(INDEX(TablaSeleccionSupervisores[],ROW(TablaSeleccionSupervisores[[#This Row],[ORDEN]])-1,_xlfn.XMATCH("ADMITIDO ADSLITE",TablaSeleccionSupervisores[#Headers])+1)=0,"Sí admitido","No admitido")</f>
        <v>No admitido</v>
      </c>
      <c r="AE176">
        <v>2</v>
      </c>
      <c r="AF176">
        <v>1</v>
      </c>
      <c r="AG176">
        <v>0</v>
      </c>
      <c r="AH176">
        <v>1</v>
      </c>
    </row>
    <row r="177" spans="22:34" x14ac:dyDescent="0.25">
      <c r="V177">
        <v>176</v>
      </c>
      <c r="W177" cm="1">
        <f t="array" ref="W177">SUM(TablaSupervisores[DISPOSITIVOS TOTAL]*INDEX(TablaSeleccionSupervisores[],ROW(TablaSeleccionSupervisores[[#This Row],[ORDEN]])-1,_xlfn.XMATCH(TablaSupervisores[REFERENCIA],TablaSeleccionSupervisores[#Headers])))</f>
        <v>1954</v>
      </c>
      <c r="X177" cm="1">
        <f t="array" ref="X177">SUM(TablaSupervisores[DISPOSITIVOS BACNET MS/TP JC]*INDEX(TablaSeleccionSupervisores[],ROW(TablaSeleccionSupervisores[[#This Row],[ORDEN]])-1,_xlfn.XMATCH(TablaSupervisores[REFERENCIA],TablaSeleccionSupervisores[#Headers])))</f>
        <v>704</v>
      </c>
      <c r="Y177" cm="1">
        <f t="array" ref="Y177">SUM(TablaSupervisores[DISPOSITIVOS BACNET MS/TP COMPATIBLES]*INDEX(TablaSeleccionSupervisores[],ROW(TablaSeleccionSupervisores[[#This Row],[ORDEN]])-1,_xlfn.XMATCH(TablaSupervisores[REFERENCIA],TablaSeleccionSupervisores[#Headers])))</f>
        <v>452</v>
      </c>
      <c r="Z177" cm="1">
        <f t="array" ref="Z177">SUM(TablaSupervisores[DISPOSITIVOS BACNET IP]*INDEX(TablaSeleccionSupervisores[],ROW(TablaSeleccionSupervisores[[#This Row],[ORDEN]])-1,_xlfn.XMATCH(TablaSupervisores[REFERENCIA],TablaSeleccionSupervisores[#Headers])))</f>
        <v>1410</v>
      </c>
      <c r="AA177" cm="1">
        <f t="array" ref="AA177">SUM(TablaSupervisores[OBJETOS]*INDEX(TablaSeleccionSupervisores[],ROW(TablaSeleccionSupervisores[[#This Row],[ORDEN]])-1,_xlfn.XMATCH(TablaSupervisores[REFERENCIA],TablaSeleccionSupervisores[#Headers])))</f>
        <v>20000</v>
      </c>
      <c r="AB177" s="28" cm="1">
        <f t="array" ref="AB177">SUM(TablaSupervisores[COSTE]*INDEX(TablaSeleccionSupervisores[],ROW(TablaSeleccionSupervisores[[#This Row],[ORDEN]])-1,_xlfn.XMATCH(TablaSupervisores[REFERENCIA],TablaSeleccionSupervisores[#Headers])))</f>
        <v>21736.969999999998</v>
      </c>
      <c r="AC177" cm="1">
        <f t="array" ref="AC177">SUM(INDEX(TablaSeleccionSupervisores[],ROW(TablaSeleccionSupervisores[[#This Row],[ORDEN]])-1,_xlfn.XMATCH(TablaSupervisores[REFERENCIA],TablaSeleccionSupervisores[#Headers])))</f>
        <v>5</v>
      </c>
      <c r="AD177" t="str" cm="1">
        <f t="array" ref="AD177">IF(INDEX(TablaSeleccionSupervisores[],ROW(TablaSeleccionSupervisores[[#This Row],[ORDEN]])-1,_xlfn.XMATCH("ADMITIDO ADSLITE",TablaSeleccionSupervisores[#Headers])+1)=0,"Sí admitido","No admitido")</f>
        <v>No admitido</v>
      </c>
      <c r="AE177">
        <v>3</v>
      </c>
      <c r="AF177">
        <v>1</v>
      </c>
      <c r="AG177">
        <v>0</v>
      </c>
      <c r="AH177">
        <v>1</v>
      </c>
    </row>
    <row r="178" spans="22:34" x14ac:dyDescent="0.25">
      <c r="V178">
        <v>177</v>
      </c>
      <c r="W178" cm="1">
        <f t="array" ref="W178">SUM(TablaSupervisores[DISPOSITIVOS TOTAL]*INDEX(TablaSeleccionSupervisores[],ROW(TablaSeleccionSupervisores[[#This Row],[ORDEN]])-1,_xlfn.XMATCH(TablaSupervisores[REFERENCIA],TablaSeleccionSupervisores[#Headers])))</f>
        <v>2554</v>
      </c>
      <c r="X178" cm="1">
        <f t="array" ref="X178">SUM(TablaSupervisores[DISPOSITIVOS BACNET MS/TP JC]*INDEX(TablaSeleccionSupervisores[],ROW(TablaSeleccionSupervisores[[#This Row],[ORDEN]])-1,_xlfn.XMATCH(TablaSupervisores[REFERENCIA],TablaSeleccionSupervisores[#Headers])))</f>
        <v>904</v>
      </c>
      <c r="Y178" cm="1">
        <f t="array" ref="Y178">SUM(TablaSupervisores[DISPOSITIVOS BACNET MS/TP COMPATIBLES]*INDEX(TablaSeleccionSupervisores[],ROW(TablaSeleccionSupervisores[[#This Row],[ORDEN]])-1,_xlfn.XMATCH(TablaSupervisores[REFERENCIA],TablaSeleccionSupervisores[#Headers])))</f>
        <v>580</v>
      </c>
      <c r="Z178" cm="1">
        <f t="array" ref="Z178">SUM(TablaSupervisores[DISPOSITIVOS BACNET IP]*INDEX(TablaSeleccionSupervisores[],ROW(TablaSeleccionSupervisores[[#This Row],[ORDEN]])-1,_xlfn.XMATCH(TablaSupervisores[REFERENCIA],TablaSeleccionSupervisores[#Headers])))</f>
        <v>1810</v>
      </c>
      <c r="AA178" cm="1">
        <f t="array" ref="AA178">SUM(TablaSupervisores[OBJETOS]*INDEX(TablaSeleccionSupervisores[],ROW(TablaSeleccionSupervisores[[#This Row],[ORDEN]])-1,_xlfn.XMATCH(TablaSupervisores[REFERENCIA],TablaSeleccionSupervisores[#Headers])))</f>
        <v>25000</v>
      </c>
      <c r="AB178" s="28" cm="1">
        <f t="array" ref="AB178">SUM(TablaSupervisores[COSTE]*INDEX(TablaSeleccionSupervisores[],ROW(TablaSeleccionSupervisores[[#This Row],[ORDEN]])-1,_xlfn.XMATCH(TablaSupervisores[REFERENCIA],TablaSeleccionSupervisores[#Headers])))</f>
        <v>27403.599999999999</v>
      </c>
      <c r="AC178" cm="1">
        <f t="array" ref="AC178">SUM(INDEX(TablaSeleccionSupervisores[],ROW(TablaSeleccionSupervisores[[#This Row],[ORDEN]])-1,_xlfn.XMATCH(TablaSupervisores[REFERENCIA],TablaSeleccionSupervisores[#Headers])))</f>
        <v>6</v>
      </c>
      <c r="AD178" t="str" cm="1">
        <f t="array" ref="AD178">IF(INDEX(TablaSeleccionSupervisores[],ROW(TablaSeleccionSupervisores[[#This Row],[ORDEN]])-1,_xlfn.XMATCH("ADMITIDO ADSLITE",TablaSeleccionSupervisores[#Headers])+1)=0,"Sí admitido","No admitido")</f>
        <v>No admitido</v>
      </c>
      <c r="AE178">
        <v>4</v>
      </c>
      <c r="AF178">
        <v>1</v>
      </c>
      <c r="AG178">
        <v>0</v>
      </c>
      <c r="AH178">
        <v>1</v>
      </c>
    </row>
    <row r="179" spans="22:34" x14ac:dyDescent="0.25">
      <c r="V179">
        <v>178</v>
      </c>
      <c r="W179" cm="1">
        <f t="array" ref="W179">SUM(TablaSupervisores[DISPOSITIVOS TOTAL]*INDEX(TablaSeleccionSupervisores[],ROW(TablaSeleccionSupervisores[[#This Row],[ORDEN]])-1,_xlfn.XMATCH(TablaSupervisores[REFERENCIA],TablaSeleccionSupervisores[#Headers])))</f>
        <v>3154</v>
      </c>
      <c r="X179" cm="1">
        <f t="array" ref="X179">SUM(TablaSupervisores[DISPOSITIVOS BACNET MS/TP JC]*INDEX(TablaSeleccionSupervisores[],ROW(TablaSeleccionSupervisores[[#This Row],[ORDEN]])-1,_xlfn.XMATCH(TablaSupervisores[REFERENCIA],TablaSeleccionSupervisores[#Headers])))</f>
        <v>1104</v>
      </c>
      <c r="Y179" cm="1">
        <f t="array" ref="Y179">SUM(TablaSupervisores[DISPOSITIVOS BACNET MS/TP COMPATIBLES]*INDEX(TablaSeleccionSupervisores[],ROW(TablaSeleccionSupervisores[[#This Row],[ORDEN]])-1,_xlfn.XMATCH(TablaSupervisores[REFERENCIA],TablaSeleccionSupervisores[#Headers])))</f>
        <v>708</v>
      </c>
      <c r="Z179" cm="1">
        <f t="array" ref="Z179">SUM(TablaSupervisores[DISPOSITIVOS BACNET IP]*INDEX(TablaSeleccionSupervisores[],ROW(TablaSeleccionSupervisores[[#This Row],[ORDEN]])-1,_xlfn.XMATCH(TablaSupervisores[REFERENCIA],TablaSeleccionSupervisores[#Headers])))</f>
        <v>2210</v>
      </c>
      <c r="AA179" cm="1">
        <f t="array" ref="AA179">SUM(TablaSupervisores[OBJETOS]*INDEX(TablaSeleccionSupervisores[],ROW(TablaSeleccionSupervisores[[#This Row],[ORDEN]])-1,_xlfn.XMATCH(TablaSupervisores[REFERENCIA],TablaSeleccionSupervisores[#Headers])))</f>
        <v>30000</v>
      </c>
      <c r="AB179" s="28" cm="1">
        <f t="array" ref="AB179">SUM(TablaSupervisores[COSTE]*INDEX(TablaSeleccionSupervisores[],ROW(TablaSeleccionSupervisores[[#This Row],[ORDEN]])-1,_xlfn.XMATCH(TablaSupervisores[REFERENCIA],TablaSeleccionSupervisores[#Headers])))</f>
        <v>33070.230000000003</v>
      </c>
      <c r="AC179" cm="1">
        <f t="array" ref="AC179">SUM(INDEX(TablaSeleccionSupervisores[],ROW(TablaSeleccionSupervisores[[#This Row],[ORDEN]])-1,_xlfn.XMATCH(TablaSupervisores[REFERENCIA],TablaSeleccionSupervisores[#Headers])))</f>
        <v>7</v>
      </c>
      <c r="AD179" t="str" cm="1">
        <f t="array" ref="AD179">IF(INDEX(TablaSeleccionSupervisores[],ROW(TablaSeleccionSupervisores[[#This Row],[ORDEN]])-1,_xlfn.XMATCH("ADMITIDO ADSLITE",TablaSeleccionSupervisores[#Headers])+1)=0,"Sí admitido","No admitido")</f>
        <v>No admitido</v>
      </c>
      <c r="AE179">
        <v>5</v>
      </c>
      <c r="AF179">
        <v>1</v>
      </c>
      <c r="AG179">
        <v>0</v>
      </c>
      <c r="AH179">
        <v>1</v>
      </c>
    </row>
    <row r="180" spans="22:34" x14ac:dyDescent="0.25">
      <c r="V180">
        <v>179</v>
      </c>
      <c r="W180" cm="1">
        <f t="array" ref="W180">SUM(TablaSupervisores[DISPOSITIVOS TOTAL]*INDEX(TablaSeleccionSupervisores[],ROW(TablaSeleccionSupervisores[[#This Row],[ORDEN]])-1,_xlfn.XMATCH(TablaSupervisores[REFERENCIA],TablaSeleccionSupervisores[#Headers])))</f>
        <v>3754</v>
      </c>
      <c r="X180" cm="1">
        <f t="array" ref="X180">SUM(TablaSupervisores[DISPOSITIVOS BACNET MS/TP JC]*INDEX(TablaSeleccionSupervisores[],ROW(TablaSeleccionSupervisores[[#This Row],[ORDEN]])-1,_xlfn.XMATCH(TablaSupervisores[REFERENCIA],TablaSeleccionSupervisores[#Headers])))</f>
        <v>1304</v>
      </c>
      <c r="Y180" cm="1">
        <f t="array" ref="Y180">SUM(TablaSupervisores[DISPOSITIVOS BACNET MS/TP COMPATIBLES]*INDEX(TablaSeleccionSupervisores[],ROW(TablaSeleccionSupervisores[[#This Row],[ORDEN]])-1,_xlfn.XMATCH(TablaSupervisores[REFERENCIA],TablaSeleccionSupervisores[#Headers])))</f>
        <v>836</v>
      </c>
      <c r="Z180" cm="1">
        <f t="array" ref="Z180">SUM(TablaSupervisores[DISPOSITIVOS BACNET IP]*INDEX(TablaSeleccionSupervisores[],ROW(TablaSeleccionSupervisores[[#This Row],[ORDEN]])-1,_xlfn.XMATCH(TablaSupervisores[REFERENCIA],TablaSeleccionSupervisores[#Headers])))</f>
        <v>2610</v>
      </c>
      <c r="AA180" cm="1">
        <f t="array" ref="AA180">SUM(TablaSupervisores[OBJETOS]*INDEX(TablaSeleccionSupervisores[],ROW(TablaSeleccionSupervisores[[#This Row],[ORDEN]])-1,_xlfn.XMATCH(TablaSupervisores[REFERENCIA],TablaSeleccionSupervisores[#Headers])))</f>
        <v>35000</v>
      </c>
      <c r="AB180" s="28" cm="1">
        <f t="array" ref="AB180">SUM(TablaSupervisores[COSTE]*INDEX(TablaSeleccionSupervisores[],ROW(TablaSeleccionSupervisores[[#This Row],[ORDEN]])-1,_xlfn.XMATCH(TablaSupervisores[REFERENCIA],TablaSeleccionSupervisores[#Headers])))</f>
        <v>38736.86</v>
      </c>
      <c r="AC180" cm="1">
        <f t="array" ref="AC180">SUM(INDEX(TablaSeleccionSupervisores[],ROW(TablaSeleccionSupervisores[[#This Row],[ORDEN]])-1,_xlfn.XMATCH(TablaSupervisores[REFERENCIA],TablaSeleccionSupervisores[#Headers])))</f>
        <v>8</v>
      </c>
      <c r="AD180" t="str" cm="1">
        <f t="array" ref="AD180">IF(INDEX(TablaSeleccionSupervisores[],ROW(TablaSeleccionSupervisores[[#This Row],[ORDEN]])-1,_xlfn.XMATCH("ADMITIDO ADSLITE",TablaSeleccionSupervisores[#Headers])+1)=0,"Sí admitido","No admitido")</f>
        <v>No admitido</v>
      </c>
      <c r="AE180">
        <v>6</v>
      </c>
      <c r="AF180">
        <v>1</v>
      </c>
      <c r="AG180">
        <v>0</v>
      </c>
      <c r="AH180">
        <v>1</v>
      </c>
    </row>
    <row r="181" spans="22:34" x14ac:dyDescent="0.25">
      <c r="V181">
        <v>180</v>
      </c>
      <c r="W181" cm="1">
        <f t="array" ref="W181">SUM(TablaSupervisores[DISPOSITIVOS TOTAL]*INDEX(TablaSeleccionSupervisores[],ROW(TablaSeleccionSupervisores[[#This Row],[ORDEN]])-1,_xlfn.XMATCH(TablaSupervisores[REFERENCIA],TablaSeleccionSupervisores[#Headers])))</f>
        <v>304</v>
      </c>
      <c r="X181" cm="1">
        <f t="array" ref="X181">SUM(TablaSupervisores[DISPOSITIVOS BACNET MS/TP JC]*INDEX(TablaSeleccionSupervisores[],ROW(TablaSeleccionSupervisores[[#This Row],[ORDEN]])-1,_xlfn.XMATCH(TablaSupervisores[REFERENCIA],TablaSeleccionSupervisores[#Headers])))</f>
        <v>204</v>
      </c>
      <c r="Y181" cm="1">
        <f t="array" ref="Y181">SUM(TablaSupervisores[DISPOSITIVOS BACNET MS/TP COMPATIBLES]*INDEX(TablaSeleccionSupervisores[],ROW(TablaSeleccionSupervisores[[#This Row],[ORDEN]])-1,_xlfn.XMATCH(TablaSupervisores[REFERENCIA],TablaSeleccionSupervisores[#Headers])))</f>
        <v>132</v>
      </c>
      <c r="Z181" cm="1">
        <f t="array" ref="Z181">SUM(TablaSupervisores[DISPOSITIVOS BACNET IP]*INDEX(TablaSeleccionSupervisores[],ROW(TablaSeleccionSupervisores[[#This Row],[ORDEN]])-1,_xlfn.XMATCH(TablaSupervisores[REFERENCIA],TablaSeleccionSupervisores[#Headers])))</f>
        <v>410</v>
      </c>
      <c r="AA181" cm="1">
        <f t="array" ref="AA181">SUM(TablaSupervisores[OBJETOS]*INDEX(TablaSeleccionSupervisores[],ROW(TablaSeleccionSupervisores[[#This Row],[ORDEN]])-1,_xlfn.XMATCH(TablaSupervisores[REFERENCIA],TablaSeleccionSupervisores[#Headers])))</f>
        <v>7500</v>
      </c>
      <c r="AB181" s="28" cm="1">
        <f t="array" ref="AB181">SUM(TablaSupervisores[COSTE]*INDEX(TablaSeleccionSupervisores[],ROW(TablaSeleccionSupervisores[[#This Row],[ORDEN]])-1,_xlfn.XMATCH(TablaSupervisores[REFERENCIA],TablaSeleccionSupervisores[#Headers])))</f>
        <v>8725.81</v>
      </c>
      <c r="AC181" cm="1">
        <f t="array" ref="AC181">SUM(INDEX(TablaSeleccionSupervisores[],ROW(TablaSeleccionSupervisores[[#This Row],[ORDEN]])-1,_xlfn.XMATCH(TablaSupervisores[REFERENCIA],TablaSeleccionSupervisores[#Headers])))</f>
        <v>3</v>
      </c>
      <c r="AD181" t="str" cm="1">
        <f t="array" ref="AD181">IF(INDEX(TablaSeleccionSupervisores[],ROW(TablaSeleccionSupervisores[[#This Row],[ORDEN]])-1,_xlfn.XMATCH("ADMITIDO ADSLITE",TablaSeleccionSupervisores[#Headers])+1)=0,"Sí admitido","No admitido")</f>
        <v>Sí admitido</v>
      </c>
      <c r="AE181">
        <v>0</v>
      </c>
      <c r="AF181">
        <v>2</v>
      </c>
      <c r="AG181">
        <v>0</v>
      </c>
      <c r="AH181">
        <v>1</v>
      </c>
    </row>
    <row r="182" spans="22:34" x14ac:dyDescent="0.25">
      <c r="V182">
        <v>181</v>
      </c>
      <c r="W182" cm="1">
        <f t="array" ref="W182">SUM(TablaSupervisores[DISPOSITIVOS TOTAL]*INDEX(TablaSeleccionSupervisores[],ROW(TablaSeleccionSupervisores[[#This Row],[ORDEN]])-1,_xlfn.XMATCH(TablaSupervisores[REFERENCIA],TablaSeleccionSupervisores[#Headers])))</f>
        <v>904</v>
      </c>
      <c r="X182" cm="1">
        <f t="array" ref="X182">SUM(TablaSupervisores[DISPOSITIVOS BACNET MS/TP JC]*INDEX(TablaSeleccionSupervisores[],ROW(TablaSeleccionSupervisores[[#This Row],[ORDEN]])-1,_xlfn.XMATCH(TablaSupervisores[REFERENCIA],TablaSeleccionSupervisores[#Headers])))</f>
        <v>404</v>
      </c>
      <c r="Y182" cm="1">
        <f t="array" ref="Y182">SUM(TablaSupervisores[DISPOSITIVOS BACNET MS/TP COMPATIBLES]*INDEX(TablaSeleccionSupervisores[],ROW(TablaSeleccionSupervisores[[#This Row],[ORDEN]])-1,_xlfn.XMATCH(TablaSupervisores[REFERENCIA],TablaSeleccionSupervisores[#Headers])))</f>
        <v>260</v>
      </c>
      <c r="Z182" cm="1">
        <f t="array" ref="Z182">SUM(TablaSupervisores[DISPOSITIVOS BACNET IP]*INDEX(TablaSeleccionSupervisores[],ROW(TablaSeleccionSupervisores[[#This Row],[ORDEN]])-1,_xlfn.XMATCH(TablaSupervisores[REFERENCIA],TablaSeleccionSupervisores[#Headers])))</f>
        <v>810</v>
      </c>
      <c r="AA182" cm="1">
        <f t="array" ref="AA182">SUM(TablaSupervisores[OBJETOS]*INDEX(TablaSeleccionSupervisores[],ROW(TablaSeleccionSupervisores[[#This Row],[ORDEN]])-1,_xlfn.XMATCH(TablaSupervisores[REFERENCIA],TablaSeleccionSupervisores[#Headers])))</f>
        <v>12500</v>
      </c>
      <c r="AB182" s="28" cm="1">
        <f t="array" ref="AB182">SUM(TablaSupervisores[COSTE]*INDEX(TablaSeleccionSupervisores[],ROW(TablaSeleccionSupervisores[[#This Row],[ORDEN]])-1,_xlfn.XMATCH(TablaSupervisores[REFERENCIA],TablaSeleccionSupervisores[#Headers])))</f>
        <v>14392.44</v>
      </c>
      <c r="AC182" cm="1">
        <f t="array" ref="AC182">SUM(INDEX(TablaSeleccionSupervisores[],ROW(TablaSeleccionSupervisores[[#This Row],[ORDEN]])-1,_xlfn.XMATCH(TablaSupervisores[REFERENCIA],TablaSeleccionSupervisores[#Headers])))</f>
        <v>4</v>
      </c>
      <c r="AD182" t="str" cm="1">
        <f t="array" ref="AD182">IF(INDEX(TablaSeleccionSupervisores[],ROW(TablaSeleccionSupervisores[[#This Row],[ORDEN]])-1,_xlfn.XMATCH("ADMITIDO ADSLITE",TablaSeleccionSupervisores[#Headers])+1)=0,"Sí admitido","No admitido")</f>
        <v>No admitido</v>
      </c>
      <c r="AE182">
        <v>1</v>
      </c>
      <c r="AF182">
        <v>2</v>
      </c>
      <c r="AG182">
        <v>0</v>
      </c>
      <c r="AH182">
        <v>1</v>
      </c>
    </row>
    <row r="183" spans="22:34" x14ac:dyDescent="0.25">
      <c r="V183">
        <v>182</v>
      </c>
      <c r="W183" cm="1">
        <f t="array" ref="W183">SUM(TablaSupervisores[DISPOSITIVOS TOTAL]*INDEX(TablaSeleccionSupervisores[],ROW(TablaSeleccionSupervisores[[#This Row],[ORDEN]])-1,_xlfn.XMATCH(TablaSupervisores[REFERENCIA],TablaSeleccionSupervisores[#Headers])))</f>
        <v>1504</v>
      </c>
      <c r="X183" cm="1">
        <f t="array" ref="X183">SUM(TablaSupervisores[DISPOSITIVOS BACNET MS/TP JC]*INDEX(TablaSeleccionSupervisores[],ROW(TablaSeleccionSupervisores[[#This Row],[ORDEN]])-1,_xlfn.XMATCH(TablaSupervisores[REFERENCIA],TablaSeleccionSupervisores[#Headers])))</f>
        <v>604</v>
      </c>
      <c r="Y183" cm="1">
        <f t="array" ref="Y183">SUM(TablaSupervisores[DISPOSITIVOS BACNET MS/TP COMPATIBLES]*INDEX(TablaSeleccionSupervisores[],ROW(TablaSeleccionSupervisores[[#This Row],[ORDEN]])-1,_xlfn.XMATCH(TablaSupervisores[REFERENCIA],TablaSeleccionSupervisores[#Headers])))</f>
        <v>388</v>
      </c>
      <c r="Z183" cm="1">
        <f t="array" ref="Z183">SUM(TablaSupervisores[DISPOSITIVOS BACNET IP]*INDEX(TablaSeleccionSupervisores[],ROW(TablaSeleccionSupervisores[[#This Row],[ORDEN]])-1,_xlfn.XMATCH(TablaSupervisores[REFERENCIA],TablaSeleccionSupervisores[#Headers])))</f>
        <v>1210</v>
      </c>
      <c r="AA183" cm="1">
        <f t="array" ref="AA183">SUM(TablaSupervisores[OBJETOS]*INDEX(TablaSeleccionSupervisores[],ROW(TablaSeleccionSupervisores[[#This Row],[ORDEN]])-1,_xlfn.XMATCH(TablaSupervisores[REFERENCIA],TablaSeleccionSupervisores[#Headers])))</f>
        <v>17500</v>
      </c>
      <c r="AB183" s="28" cm="1">
        <f t="array" ref="AB183">SUM(TablaSupervisores[COSTE]*INDEX(TablaSeleccionSupervisores[],ROW(TablaSeleccionSupervisores[[#This Row],[ORDEN]])-1,_xlfn.XMATCH(TablaSupervisores[REFERENCIA],TablaSeleccionSupervisores[#Headers])))</f>
        <v>20059.07</v>
      </c>
      <c r="AC183" cm="1">
        <f t="array" ref="AC183">SUM(INDEX(TablaSeleccionSupervisores[],ROW(TablaSeleccionSupervisores[[#This Row],[ORDEN]])-1,_xlfn.XMATCH(TablaSupervisores[REFERENCIA],TablaSeleccionSupervisores[#Headers])))</f>
        <v>5</v>
      </c>
      <c r="AD183" t="str" cm="1">
        <f t="array" ref="AD183">IF(INDEX(TablaSeleccionSupervisores[],ROW(TablaSeleccionSupervisores[[#This Row],[ORDEN]])-1,_xlfn.XMATCH("ADMITIDO ADSLITE",TablaSeleccionSupervisores[#Headers])+1)=0,"Sí admitido","No admitido")</f>
        <v>No admitido</v>
      </c>
      <c r="AE183">
        <v>2</v>
      </c>
      <c r="AF183">
        <v>2</v>
      </c>
      <c r="AG183">
        <v>0</v>
      </c>
      <c r="AH183">
        <v>1</v>
      </c>
    </row>
    <row r="184" spans="22:34" x14ac:dyDescent="0.25">
      <c r="V184">
        <v>183</v>
      </c>
      <c r="W184" cm="1">
        <f t="array" ref="W184">SUM(TablaSupervisores[DISPOSITIVOS TOTAL]*INDEX(TablaSeleccionSupervisores[],ROW(TablaSeleccionSupervisores[[#This Row],[ORDEN]])-1,_xlfn.XMATCH(TablaSupervisores[REFERENCIA],TablaSeleccionSupervisores[#Headers])))</f>
        <v>2104</v>
      </c>
      <c r="X184" cm="1">
        <f t="array" ref="X184">SUM(TablaSupervisores[DISPOSITIVOS BACNET MS/TP JC]*INDEX(TablaSeleccionSupervisores[],ROW(TablaSeleccionSupervisores[[#This Row],[ORDEN]])-1,_xlfn.XMATCH(TablaSupervisores[REFERENCIA],TablaSeleccionSupervisores[#Headers])))</f>
        <v>804</v>
      </c>
      <c r="Y184" cm="1">
        <f t="array" ref="Y184">SUM(TablaSupervisores[DISPOSITIVOS BACNET MS/TP COMPATIBLES]*INDEX(TablaSeleccionSupervisores[],ROW(TablaSeleccionSupervisores[[#This Row],[ORDEN]])-1,_xlfn.XMATCH(TablaSupervisores[REFERENCIA],TablaSeleccionSupervisores[#Headers])))</f>
        <v>516</v>
      </c>
      <c r="Z184" cm="1">
        <f t="array" ref="Z184">SUM(TablaSupervisores[DISPOSITIVOS BACNET IP]*INDEX(TablaSeleccionSupervisores[],ROW(TablaSeleccionSupervisores[[#This Row],[ORDEN]])-1,_xlfn.XMATCH(TablaSupervisores[REFERENCIA],TablaSeleccionSupervisores[#Headers])))</f>
        <v>1610</v>
      </c>
      <c r="AA184" cm="1">
        <f t="array" ref="AA184">SUM(TablaSupervisores[OBJETOS]*INDEX(TablaSeleccionSupervisores[],ROW(TablaSeleccionSupervisores[[#This Row],[ORDEN]])-1,_xlfn.XMATCH(TablaSupervisores[REFERENCIA],TablaSeleccionSupervisores[#Headers])))</f>
        <v>22500</v>
      </c>
      <c r="AB184" s="28" cm="1">
        <f t="array" ref="AB184">SUM(TablaSupervisores[COSTE]*INDEX(TablaSeleccionSupervisores[],ROW(TablaSeleccionSupervisores[[#This Row],[ORDEN]])-1,_xlfn.XMATCH(TablaSupervisores[REFERENCIA],TablaSeleccionSupervisores[#Headers])))</f>
        <v>25725.699999999997</v>
      </c>
      <c r="AC184" cm="1">
        <f t="array" ref="AC184">SUM(INDEX(TablaSeleccionSupervisores[],ROW(TablaSeleccionSupervisores[[#This Row],[ORDEN]])-1,_xlfn.XMATCH(TablaSupervisores[REFERENCIA],TablaSeleccionSupervisores[#Headers])))</f>
        <v>6</v>
      </c>
      <c r="AD184" t="str" cm="1">
        <f t="array" ref="AD184">IF(INDEX(TablaSeleccionSupervisores[],ROW(TablaSeleccionSupervisores[[#This Row],[ORDEN]])-1,_xlfn.XMATCH("ADMITIDO ADSLITE",TablaSeleccionSupervisores[#Headers])+1)=0,"Sí admitido","No admitido")</f>
        <v>No admitido</v>
      </c>
      <c r="AE184">
        <v>3</v>
      </c>
      <c r="AF184">
        <v>2</v>
      </c>
      <c r="AG184">
        <v>0</v>
      </c>
      <c r="AH184">
        <v>1</v>
      </c>
    </row>
    <row r="185" spans="22:34" x14ac:dyDescent="0.25">
      <c r="V185">
        <v>184</v>
      </c>
      <c r="W185" cm="1">
        <f t="array" ref="W185">SUM(TablaSupervisores[DISPOSITIVOS TOTAL]*INDEX(TablaSeleccionSupervisores[],ROW(TablaSeleccionSupervisores[[#This Row],[ORDEN]])-1,_xlfn.XMATCH(TablaSupervisores[REFERENCIA],TablaSeleccionSupervisores[#Headers])))</f>
        <v>2704</v>
      </c>
      <c r="X185" cm="1">
        <f t="array" ref="X185">SUM(TablaSupervisores[DISPOSITIVOS BACNET MS/TP JC]*INDEX(TablaSeleccionSupervisores[],ROW(TablaSeleccionSupervisores[[#This Row],[ORDEN]])-1,_xlfn.XMATCH(TablaSupervisores[REFERENCIA],TablaSeleccionSupervisores[#Headers])))</f>
        <v>1004</v>
      </c>
      <c r="Y185" cm="1">
        <f t="array" ref="Y185">SUM(TablaSupervisores[DISPOSITIVOS BACNET MS/TP COMPATIBLES]*INDEX(TablaSeleccionSupervisores[],ROW(TablaSeleccionSupervisores[[#This Row],[ORDEN]])-1,_xlfn.XMATCH(TablaSupervisores[REFERENCIA],TablaSeleccionSupervisores[#Headers])))</f>
        <v>644</v>
      </c>
      <c r="Z185" cm="1">
        <f t="array" ref="Z185">SUM(TablaSupervisores[DISPOSITIVOS BACNET IP]*INDEX(TablaSeleccionSupervisores[],ROW(TablaSeleccionSupervisores[[#This Row],[ORDEN]])-1,_xlfn.XMATCH(TablaSupervisores[REFERENCIA],TablaSeleccionSupervisores[#Headers])))</f>
        <v>2010</v>
      </c>
      <c r="AA185" cm="1">
        <f t="array" ref="AA185">SUM(TablaSupervisores[OBJETOS]*INDEX(TablaSeleccionSupervisores[],ROW(TablaSeleccionSupervisores[[#This Row],[ORDEN]])-1,_xlfn.XMATCH(TablaSupervisores[REFERENCIA],TablaSeleccionSupervisores[#Headers])))</f>
        <v>27500</v>
      </c>
      <c r="AB185" s="28" cm="1">
        <f t="array" ref="AB185">SUM(TablaSupervisores[COSTE]*INDEX(TablaSeleccionSupervisores[],ROW(TablaSeleccionSupervisores[[#This Row],[ORDEN]])-1,_xlfn.XMATCH(TablaSupervisores[REFERENCIA],TablaSeleccionSupervisores[#Headers])))</f>
        <v>31392.329999999998</v>
      </c>
      <c r="AC185" cm="1">
        <f t="array" ref="AC185">SUM(INDEX(TablaSeleccionSupervisores[],ROW(TablaSeleccionSupervisores[[#This Row],[ORDEN]])-1,_xlfn.XMATCH(TablaSupervisores[REFERENCIA],TablaSeleccionSupervisores[#Headers])))</f>
        <v>7</v>
      </c>
      <c r="AD185" t="str" cm="1">
        <f t="array" ref="AD185">IF(INDEX(TablaSeleccionSupervisores[],ROW(TablaSeleccionSupervisores[[#This Row],[ORDEN]])-1,_xlfn.XMATCH("ADMITIDO ADSLITE",TablaSeleccionSupervisores[#Headers])+1)=0,"Sí admitido","No admitido")</f>
        <v>No admitido</v>
      </c>
      <c r="AE185">
        <v>4</v>
      </c>
      <c r="AF185">
        <v>2</v>
      </c>
      <c r="AG185">
        <v>0</v>
      </c>
      <c r="AH185">
        <v>1</v>
      </c>
    </row>
    <row r="186" spans="22:34" x14ac:dyDescent="0.25">
      <c r="V186">
        <v>185</v>
      </c>
      <c r="W186" cm="1">
        <f t="array" ref="W186">SUM(TablaSupervisores[DISPOSITIVOS TOTAL]*INDEX(TablaSeleccionSupervisores[],ROW(TablaSeleccionSupervisores[[#This Row],[ORDEN]])-1,_xlfn.XMATCH(TablaSupervisores[REFERENCIA],TablaSeleccionSupervisores[#Headers])))</f>
        <v>3304</v>
      </c>
      <c r="X186" cm="1">
        <f t="array" ref="X186">SUM(TablaSupervisores[DISPOSITIVOS BACNET MS/TP JC]*INDEX(TablaSeleccionSupervisores[],ROW(TablaSeleccionSupervisores[[#This Row],[ORDEN]])-1,_xlfn.XMATCH(TablaSupervisores[REFERENCIA],TablaSeleccionSupervisores[#Headers])))</f>
        <v>1204</v>
      </c>
      <c r="Y186" cm="1">
        <f t="array" ref="Y186">SUM(TablaSupervisores[DISPOSITIVOS BACNET MS/TP COMPATIBLES]*INDEX(TablaSeleccionSupervisores[],ROW(TablaSeleccionSupervisores[[#This Row],[ORDEN]])-1,_xlfn.XMATCH(TablaSupervisores[REFERENCIA],TablaSeleccionSupervisores[#Headers])))</f>
        <v>772</v>
      </c>
      <c r="Z186" cm="1">
        <f t="array" ref="Z186">SUM(TablaSupervisores[DISPOSITIVOS BACNET IP]*INDEX(TablaSeleccionSupervisores[],ROW(TablaSeleccionSupervisores[[#This Row],[ORDEN]])-1,_xlfn.XMATCH(TablaSupervisores[REFERENCIA],TablaSeleccionSupervisores[#Headers])))</f>
        <v>2410</v>
      </c>
      <c r="AA186" cm="1">
        <f t="array" ref="AA186">SUM(TablaSupervisores[OBJETOS]*INDEX(TablaSeleccionSupervisores[],ROW(TablaSeleccionSupervisores[[#This Row],[ORDEN]])-1,_xlfn.XMATCH(TablaSupervisores[REFERENCIA],TablaSeleccionSupervisores[#Headers])))</f>
        <v>32500</v>
      </c>
      <c r="AB186" s="28" cm="1">
        <f t="array" ref="AB186">SUM(TablaSupervisores[COSTE]*INDEX(TablaSeleccionSupervisores[],ROW(TablaSeleccionSupervisores[[#This Row],[ORDEN]])-1,_xlfn.XMATCH(TablaSupervisores[REFERENCIA],TablaSeleccionSupervisores[#Headers])))</f>
        <v>37058.959999999999</v>
      </c>
      <c r="AC186" cm="1">
        <f t="array" ref="AC186">SUM(INDEX(TablaSeleccionSupervisores[],ROW(TablaSeleccionSupervisores[[#This Row],[ORDEN]])-1,_xlfn.XMATCH(TablaSupervisores[REFERENCIA],TablaSeleccionSupervisores[#Headers])))</f>
        <v>8</v>
      </c>
      <c r="AD186" t="str" cm="1">
        <f t="array" ref="AD186">IF(INDEX(TablaSeleccionSupervisores[],ROW(TablaSeleccionSupervisores[[#This Row],[ORDEN]])-1,_xlfn.XMATCH("ADMITIDO ADSLITE",TablaSeleccionSupervisores[#Headers])+1)=0,"Sí admitido","No admitido")</f>
        <v>No admitido</v>
      </c>
      <c r="AE186">
        <v>5</v>
      </c>
      <c r="AF186">
        <v>2</v>
      </c>
      <c r="AG186">
        <v>0</v>
      </c>
      <c r="AH186">
        <v>1</v>
      </c>
    </row>
    <row r="187" spans="22:34" x14ac:dyDescent="0.25">
      <c r="V187">
        <v>186</v>
      </c>
      <c r="W187" cm="1">
        <f t="array" ref="W187">SUM(TablaSupervisores[DISPOSITIVOS TOTAL]*INDEX(TablaSeleccionSupervisores[],ROW(TablaSeleccionSupervisores[[#This Row],[ORDEN]])-1,_xlfn.XMATCH(TablaSupervisores[REFERENCIA],TablaSeleccionSupervisores[#Headers])))</f>
        <v>454</v>
      </c>
      <c r="X187" cm="1">
        <f t="array" ref="X187">SUM(TablaSupervisores[DISPOSITIVOS BACNET MS/TP JC]*INDEX(TablaSeleccionSupervisores[],ROW(TablaSeleccionSupervisores[[#This Row],[ORDEN]])-1,_xlfn.XMATCH(TablaSupervisores[REFERENCIA],TablaSeleccionSupervisores[#Headers])))</f>
        <v>304</v>
      </c>
      <c r="Y187" cm="1">
        <f t="array" ref="Y187">SUM(TablaSupervisores[DISPOSITIVOS BACNET MS/TP COMPATIBLES]*INDEX(TablaSeleccionSupervisores[],ROW(TablaSeleccionSupervisores[[#This Row],[ORDEN]])-1,_xlfn.XMATCH(TablaSupervisores[REFERENCIA],TablaSeleccionSupervisores[#Headers])))</f>
        <v>196</v>
      </c>
      <c r="Z187" cm="1">
        <f t="array" ref="Z187">SUM(TablaSupervisores[DISPOSITIVOS BACNET IP]*INDEX(TablaSeleccionSupervisores[],ROW(TablaSeleccionSupervisores[[#This Row],[ORDEN]])-1,_xlfn.XMATCH(TablaSupervisores[REFERENCIA],TablaSeleccionSupervisores[#Headers])))</f>
        <v>610</v>
      </c>
      <c r="AA187" cm="1">
        <f t="array" ref="AA187">SUM(TablaSupervisores[OBJETOS]*INDEX(TablaSeleccionSupervisores[],ROW(TablaSeleccionSupervisores[[#This Row],[ORDEN]])-1,_xlfn.XMATCH(TablaSupervisores[REFERENCIA],TablaSeleccionSupervisores[#Headers])))</f>
        <v>10000</v>
      </c>
      <c r="AB187" s="28" cm="1">
        <f t="array" ref="AB187">SUM(TablaSupervisores[COSTE]*INDEX(TablaSeleccionSupervisores[],ROW(TablaSeleccionSupervisores[[#This Row],[ORDEN]])-1,_xlfn.XMATCH(TablaSupervisores[REFERENCIA],TablaSeleccionSupervisores[#Headers])))</f>
        <v>12714.54</v>
      </c>
      <c r="AC187" cm="1">
        <f t="array" ref="AC187">SUM(INDEX(TablaSeleccionSupervisores[],ROW(TablaSeleccionSupervisores[[#This Row],[ORDEN]])-1,_xlfn.XMATCH(TablaSupervisores[REFERENCIA],TablaSeleccionSupervisores[#Headers])))</f>
        <v>4</v>
      </c>
      <c r="AD187" t="str" cm="1">
        <f t="array" ref="AD187">IF(INDEX(TablaSeleccionSupervisores[],ROW(TablaSeleccionSupervisores[[#This Row],[ORDEN]])-1,_xlfn.XMATCH("ADMITIDO ADSLITE",TablaSeleccionSupervisores[#Headers])+1)=0,"Sí admitido","No admitido")</f>
        <v>Sí admitido</v>
      </c>
      <c r="AE187">
        <v>0</v>
      </c>
      <c r="AF187">
        <v>3</v>
      </c>
      <c r="AG187">
        <v>0</v>
      </c>
      <c r="AH187">
        <v>1</v>
      </c>
    </row>
    <row r="188" spans="22:34" x14ac:dyDescent="0.25">
      <c r="V188">
        <v>187</v>
      </c>
      <c r="W188" cm="1">
        <f t="array" ref="W188">SUM(TablaSupervisores[DISPOSITIVOS TOTAL]*INDEX(TablaSeleccionSupervisores[],ROW(TablaSeleccionSupervisores[[#This Row],[ORDEN]])-1,_xlfn.XMATCH(TablaSupervisores[REFERENCIA],TablaSeleccionSupervisores[#Headers])))</f>
        <v>1054</v>
      </c>
      <c r="X188" cm="1">
        <f t="array" ref="X188">SUM(TablaSupervisores[DISPOSITIVOS BACNET MS/TP JC]*INDEX(TablaSeleccionSupervisores[],ROW(TablaSeleccionSupervisores[[#This Row],[ORDEN]])-1,_xlfn.XMATCH(TablaSupervisores[REFERENCIA],TablaSeleccionSupervisores[#Headers])))</f>
        <v>504</v>
      </c>
      <c r="Y188" cm="1">
        <f t="array" ref="Y188">SUM(TablaSupervisores[DISPOSITIVOS BACNET MS/TP COMPATIBLES]*INDEX(TablaSeleccionSupervisores[],ROW(TablaSeleccionSupervisores[[#This Row],[ORDEN]])-1,_xlfn.XMATCH(TablaSupervisores[REFERENCIA],TablaSeleccionSupervisores[#Headers])))</f>
        <v>324</v>
      </c>
      <c r="Z188" cm="1">
        <f t="array" ref="Z188">SUM(TablaSupervisores[DISPOSITIVOS BACNET IP]*INDEX(TablaSeleccionSupervisores[],ROW(TablaSeleccionSupervisores[[#This Row],[ORDEN]])-1,_xlfn.XMATCH(TablaSupervisores[REFERENCIA],TablaSeleccionSupervisores[#Headers])))</f>
        <v>1010</v>
      </c>
      <c r="AA188" cm="1">
        <f t="array" ref="AA188">SUM(TablaSupervisores[OBJETOS]*INDEX(TablaSeleccionSupervisores[],ROW(TablaSeleccionSupervisores[[#This Row],[ORDEN]])-1,_xlfn.XMATCH(TablaSupervisores[REFERENCIA],TablaSeleccionSupervisores[#Headers])))</f>
        <v>15000</v>
      </c>
      <c r="AB188" s="28" cm="1">
        <f t="array" ref="AB188">SUM(TablaSupervisores[COSTE]*INDEX(TablaSeleccionSupervisores[],ROW(TablaSeleccionSupervisores[[#This Row],[ORDEN]])-1,_xlfn.XMATCH(TablaSupervisores[REFERENCIA],TablaSeleccionSupervisores[#Headers])))</f>
        <v>18381.169999999998</v>
      </c>
      <c r="AC188" cm="1">
        <f t="array" ref="AC188">SUM(INDEX(TablaSeleccionSupervisores[],ROW(TablaSeleccionSupervisores[[#This Row],[ORDEN]])-1,_xlfn.XMATCH(TablaSupervisores[REFERENCIA],TablaSeleccionSupervisores[#Headers])))</f>
        <v>5</v>
      </c>
      <c r="AD188" t="str" cm="1">
        <f t="array" ref="AD188">IF(INDEX(TablaSeleccionSupervisores[],ROW(TablaSeleccionSupervisores[[#This Row],[ORDEN]])-1,_xlfn.XMATCH("ADMITIDO ADSLITE",TablaSeleccionSupervisores[#Headers])+1)=0,"Sí admitido","No admitido")</f>
        <v>No admitido</v>
      </c>
      <c r="AE188">
        <v>1</v>
      </c>
      <c r="AF188">
        <v>3</v>
      </c>
      <c r="AG188">
        <v>0</v>
      </c>
      <c r="AH188">
        <v>1</v>
      </c>
    </row>
    <row r="189" spans="22:34" x14ac:dyDescent="0.25">
      <c r="V189">
        <v>188</v>
      </c>
      <c r="W189" cm="1">
        <f t="array" ref="W189">SUM(TablaSupervisores[DISPOSITIVOS TOTAL]*INDEX(TablaSeleccionSupervisores[],ROW(TablaSeleccionSupervisores[[#This Row],[ORDEN]])-1,_xlfn.XMATCH(TablaSupervisores[REFERENCIA],TablaSeleccionSupervisores[#Headers])))</f>
        <v>1654</v>
      </c>
      <c r="X189" cm="1">
        <f t="array" ref="X189">SUM(TablaSupervisores[DISPOSITIVOS BACNET MS/TP JC]*INDEX(TablaSeleccionSupervisores[],ROW(TablaSeleccionSupervisores[[#This Row],[ORDEN]])-1,_xlfn.XMATCH(TablaSupervisores[REFERENCIA],TablaSeleccionSupervisores[#Headers])))</f>
        <v>704</v>
      </c>
      <c r="Y189" cm="1">
        <f t="array" ref="Y189">SUM(TablaSupervisores[DISPOSITIVOS BACNET MS/TP COMPATIBLES]*INDEX(TablaSeleccionSupervisores[],ROW(TablaSeleccionSupervisores[[#This Row],[ORDEN]])-1,_xlfn.XMATCH(TablaSupervisores[REFERENCIA],TablaSeleccionSupervisores[#Headers])))</f>
        <v>452</v>
      </c>
      <c r="Z189" cm="1">
        <f t="array" ref="Z189">SUM(TablaSupervisores[DISPOSITIVOS BACNET IP]*INDEX(TablaSeleccionSupervisores[],ROW(TablaSeleccionSupervisores[[#This Row],[ORDEN]])-1,_xlfn.XMATCH(TablaSupervisores[REFERENCIA],TablaSeleccionSupervisores[#Headers])))</f>
        <v>1410</v>
      </c>
      <c r="AA189" cm="1">
        <f t="array" ref="AA189">SUM(TablaSupervisores[OBJETOS]*INDEX(TablaSeleccionSupervisores[],ROW(TablaSeleccionSupervisores[[#This Row],[ORDEN]])-1,_xlfn.XMATCH(TablaSupervisores[REFERENCIA],TablaSeleccionSupervisores[#Headers])))</f>
        <v>20000</v>
      </c>
      <c r="AB189" s="28" cm="1">
        <f t="array" ref="AB189">SUM(TablaSupervisores[COSTE]*INDEX(TablaSeleccionSupervisores[],ROW(TablaSeleccionSupervisores[[#This Row],[ORDEN]])-1,_xlfn.XMATCH(TablaSupervisores[REFERENCIA],TablaSeleccionSupervisores[#Headers])))</f>
        <v>24047.8</v>
      </c>
      <c r="AC189" cm="1">
        <f t="array" ref="AC189">SUM(INDEX(TablaSeleccionSupervisores[],ROW(TablaSeleccionSupervisores[[#This Row],[ORDEN]])-1,_xlfn.XMATCH(TablaSupervisores[REFERENCIA],TablaSeleccionSupervisores[#Headers])))</f>
        <v>6</v>
      </c>
      <c r="AD189" t="str" cm="1">
        <f t="array" ref="AD189">IF(INDEX(TablaSeleccionSupervisores[],ROW(TablaSeleccionSupervisores[[#This Row],[ORDEN]])-1,_xlfn.XMATCH("ADMITIDO ADSLITE",TablaSeleccionSupervisores[#Headers])+1)=0,"Sí admitido","No admitido")</f>
        <v>No admitido</v>
      </c>
      <c r="AE189">
        <v>2</v>
      </c>
      <c r="AF189">
        <v>3</v>
      </c>
      <c r="AG189">
        <v>0</v>
      </c>
      <c r="AH189">
        <v>1</v>
      </c>
    </row>
    <row r="190" spans="22:34" x14ac:dyDescent="0.25">
      <c r="V190">
        <v>189</v>
      </c>
      <c r="W190" cm="1">
        <f t="array" ref="W190">SUM(TablaSupervisores[DISPOSITIVOS TOTAL]*INDEX(TablaSeleccionSupervisores[],ROW(TablaSeleccionSupervisores[[#This Row],[ORDEN]])-1,_xlfn.XMATCH(TablaSupervisores[REFERENCIA],TablaSeleccionSupervisores[#Headers])))</f>
        <v>2254</v>
      </c>
      <c r="X190" cm="1">
        <f t="array" ref="X190">SUM(TablaSupervisores[DISPOSITIVOS BACNET MS/TP JC]*INDEX(TablaSeleccionSupervisores[],ROW(TablaSeleccionSupervisores[[#This Row],[ORDEN]])-1,_xlfn.XMATCH(TablaSupervisores[REFERENCIA],TablaSeleccionSupervisores[#Headers])))</f>
        <v>904</v>
      </c>
      <c r="Y190" cm="1">
        <f t="array" ref="Y190">SUM(TablaSupervisores[DISPOSITIVOS BACNET MS/TP COMPATIBLES]*INDEX(TablaSeleccionSupervisores[],ROW(TablaSeleccionSupervisores[[#This Row],[ORDEN]])-1,_xlfn.XMATCH(TablaSupervisores[REFERENCIA],TablaSeleccionSupervisores[#Headers])))</f>
        <v>580</v>
      </c>
      <c r="Z190" cm="1">
        <f t="array" ref="Z190">SUM(TablaSupervisores[DISPOSITIVOS BACNET IP]*INDEX(TablaSeleccionSupervisores[],ROW(TablaSeleccionSupervisores[[#This Row],[ORDEN]])-1,_xlfn.XMATCH(TablaSupervisores[REFERENCIA],TablaSeleccionSupervisores[#Headers])))</f>
        <v>1810</v>
      </c>
      <c r="AA190" cm="1">
        <f t="array" ref="AA190">SUM(TablaSupervisores[OBJETOS]*INDEX(TablaSeleccionSupervisores[],ROW(TablaSeleccionSupervisores[[#This Row],[ORDEN]])-1,_xlfn.XMATCH(TablaSupervisores[REFERENCIA],TablaSeleccionSupervisores[#Headers])))</f>
        <v>25000</v>
      </c>
      <c r="AB190" s="28" cm="1">
        <f t="array" ref="AB190">SUM(TablaSupervisores[COSTE]*INDEX(TablaSeleccionSupervisores[],ROW(TablaSeleccionSupervisores[[#This Row],[ORDEN]])-1,_xlfn.XMATCH(TablaSupervisores[REFERENCIA],TablaSeleccionSupervisores[#Headers])))</f>
        <v>29714.43</v>
      </c>
      <c r="AC190" cm="1">
        <f t="array" ref="AC190">SUM(INDEX(TablaSeleccionSupervisores[],ROW(TablaSeleccionSupervisores[[#This Row],[ORDEN]])-1,_xlfn.XMATCH(TablaSupervisores[REFERENCIA],TablaSeleccionSupervisores[#Headers])))</f>
        <v>7</v>
      </c>
      <c r="AD190" t="str" cm="1">
        <f t="array" ref="AD190">IF(INDEX(TablaSeleccionSupervisores[],ROW(TablaSeleccionSupervisores[[#This Row],[ORDEN]])-1,_xlfn.XMATCH("ADMITIDO ADSLITE",TablaSeleccionSupervisores[#Headers])+1)=0,"Sí admitido","No admitido")</f>
        <v>No admitido</v>
      </c>
      <c r="AE190">
        <v>3</v>
      </c>
      <c r="AF190">
        <v>3</v>
      </c>
      <c r="AG190">
        <v>0</v>
      </c>
      <c r="AH190">
        <v>1</v>
      </c>
    </row>
    <row r="191" spans="22:34" x14ac:dyDescent="0.25">
      <c r="V191">
        <v>190</v>
      </c>
      <c r="W191" cm="1">
        <f t="array" ref="W191">SUM(TablaSupervisores[DISPOSITIVOS TOTAL]*INDEX(TablaSeleccionSupervisores[],ROW(TablaSeleccionSupervisores[[#This Row],[ORDEN]])-1,_xlfn.XMATCH(TablaSupervisores[REFERENCIA],TablaSeleccionSupervisores[#Headers])))</f>
        <v>2854</v>
      </c>
      <c r="X191" cm="1">
        <f t="array" ref="X191">SUM(TablaSupervisores[DISPOSITIVOS BACNET MS/TP JC]*INDEX(TablaSeleccionSupervisores[],ROW(TablaSeleccionSupervisores[[#This Row],[ORDEN]])-1,_xlfn.XMATCH(TablaSupervisores[REFERENCIA],TablaSeleccionSupervisores[#Headers])))</f>
        <v>1104</v>
      </c>
      <c r="Y191" cm="1">
        <f t="array" ref="Y191">SUM(TablaSupervisores[DISPOSITIVOS BACNET MS/TP COMPATIBLES]*INDEX(TablaSeleccionSupervisores[],ROW(TablaSeleccionSupervisores[[#This Row],[ORDEN]])-1,_xlfn.XMATCH(TablaSupervisores[REFERENCIA],TablaSeleccionSupervisores[#Headers])))</f>
        <v>708</v>
      </c>
      <c r="Z191" cm="1">
        <f t="array" ref="Z191">SUM(TablaSupervisores[DISPOSITIVOS BACNET IP]*INDEX(TablaSeleccionSupervisores[],ROW(TablaSeleccionSupervisores[[#This Row],[ORDEN]])-1,_xlfn.XMATCH(TablaSupervisores[REFERENCIA],TablaSeleccionSupervisores[#Headers])))</f>
        <v>2210</v>
      </c>
      <c r="AA191" cm="1">
        <f t="array" ref="AA191">SUM(TablaSupervisores[OBJETOS]*INDEX(TablaSeleccionSupervisores[],ROW(TablaSeleccionSupervisores[[#This Row],[ORDEN]])-1,_xlfn.XMATCH(TablaSupervisores[REFERENCIA],TablaSeleccionSupervisores[#Headers])))</f>
        <v>30000</v>
      </c>
      <c r="AB191" s="28" cm="1">
        <f t="array" ref="AB191">SUM(TablaSupervisores[COSTE]*INDEX(TablaSeleccionSupervisores[],ROW(TablaSeleccionSupervisores[[#This Row],[ORDEN]])-1,_xlfn.XMATCH(TablaSupervisores[REFERENCIA],TablaSeleccionSupervisores[#Headers])))</f>
        <v>35381.06</v>
      </c>
      <c r="AC191" cm="1">
        <f t="array" ref="AC191">SUM(INDEX(TablaSeleccionSupervisores[],ROW(TablaSeleccionSupervisores[[#This Row],[ORDEN]])-1,_xlfn.XMATCH(TablaSupervisores[REFERENCIA],TablaSeleccionSupervisores[#Headers])))</f>
        <v>8</v>
      </c>
      <c r="AD191" t="str" cm="1">
        <f t="array" ref="AD191">IF(INDEX(TablaSeleccionSupervisores[],ROW(TablaSeleccionSupervisores[[#This Row],[ORDEN]])-1,_xlfn.XMATCH("ADMITIDO ADSLITE",TablaSeleccionSupervisores[#Headers])+1)=0,"Sí admitido","No admitido")</f>
        <v>No admitido</v>
      </c>
      <c r="AE191">
        <v>4</v>
      </c>
      <c r="AF191">
        <v>3</v>
      </c>
      <c r="AG191">
        <v>0</v>
      </c>
      <c r="AH191">
        <v>1</v>
      </c>
    </row>
    <row r="192" spans="22:34" x14ac:dyDescent="0.25">
      <c r="V192">
        <v>191</v>
      </c>
      <c r="W192" cm="1">
        <f t="array" ref="W192">SUM(TablaSupervisores[DISPOSITIVOS TOTAL]*INDEX(TablaSeleccionSupervisores[],ROW(TablaSeleccionSupervisores[[#This Row],[ORDEN]])-1,_xlfn.XMATCH(TablaSupervisores[REFERENCIA],TablaSeleccionSupervisores[#Headers])))</f>
        <v>604</v>
      </c>
      <c r="X192" cm="1">
        <f t="array" ref="X192">SUM(TablaSupervisores[DISPOSITIVOS BACNET MS/TP JC]*INDEX(TablaSeleccionSupervisores[],ROW(TablaSeleccionSupervisores[[#This Row],[ORDEN]])-1,_xlfn.XMATCH(TablaSupervisores[REFERENCIA],TablaSeleccionSupervisores[#Headers])))</f>
        <v>404</v>
      </c>
      <c r="Y192" cm="1">
        <f t="array" ref="Y192">SUM(TablaSupervisores[DISPOSITIVOS BACNET MS/TP COMPATIBLES]*INDEX(TablaSeleccionSupervisores[],ROW(TablaSeleccionSupervisores[[#This Row],[ORDEN]])-1,_xlfn.XMATCH(TablaSupervisores[REFERENCIA],TablaSeleccionSupervisores[#Headers])))</f>
        <v>260</v>
      </c>
      <c r="Z192" cm="1">
        <f t="array" ref="Z192">SUM(TablaSupervisores[DISPOSITIVOS BACNET IP]*INDEX(TablaSeleccionSupervisores[],ROW(TablaSeleccionSupervisores[[#This Row],[ORDEN]])-1,_xlfn.XMATCH(TablaSupervisores[REFERENCIA],TablaSeleccionSupervisores[#Headers])))</f>
        <v>810</v>
      </c>
      <c r="AA192" cm="1">
        <f t="array" ref="AA192">SUM(TablaSupervisores[OBJETOS]*INDEX(TablaSeleccionSupervisores[],ROW(TablaSeleccionSupervisores[[#This Row],[ORDEN]])-1,_xlfn.XMATCH(TablaSupervisores[REFERENCIA],TablaSeleccionSupervisores[#Headers])))</f>
        <v>12500</v>
      </c>
      <c r="AB192" s="28" cm="1">
        <f t="array" ref="AB192">SUM(TablaSupervisores[COSTE]*INDEX(TablaSeleccionSupervisores[],ROW(TablaSeleccionSupervisores[[#This Row],[ORDEN]])-1,_xlfn.XMATCH(TablaSupervisores[REFERENCIA],TablaSeleccionSupervisores[#Headers])))</f>
        <v>16703.27</v>
      </c>
      <c r="AC192" cm="1">
        <f t="array" ref="AC192">SUM(INDEX(TablaSeleccionSupervisores[],ROW(TablaSeleccionSupervisores[[#This Row],[ORDEN]])-1,_xlfn.XMATCH(TablaSupervisores[REFERENCIA],TablaSeleccionSupervisores[#Headers])))</f>
        <v>5</v>
      </c>
      <c r="AD192" t="str" cm="1">
        <f t="array" ref="AD192">IF(INDEX(TablaSeleccionSupervisores[],ROW(TablaSeleccionSupervisores[[#This Row],[ORDEN]])-1,_xlfn.XMATCH("ADMITIDO ADSLITE",TablaSeleccionSupervisores[#Headers])+1)=0,"Sí admitido","No admitido")</f>
        <v>Sí admitido</v>
      </c>
      <c r="AE192">
        <v>0</v>
      </c>
      <c r="AF192">
        <v>4</v>
      </c>
      <c r="AG192">
        <v>0</v>
      </c>
      <c r="AH192">
        <v>1</v>
      </c>
    </row>
    <row r="193" spans="22:34" x14ac:dyDescent="0.25">
      <c r="V193">
        <v>192</v>
      </c>
      <c r="W193" cm="1">
        <f t="array" ref="W193">SUM(TablaSupervisores[DISPOSITIVOS TOTAL]*INDEX(TablaSeleccionSupervisores[],ROW(TablaSeleccionSupervisores[[#This Row],[ORDEN]])-1,_xlfn.XMATCH(TablaSupervisores[REFERENCIA],TablaSeleccionSupervisores[#Headers])))</f>
        <v>1204</v>
      </c>
      <c r="X193" cm="1">
        <f t="array" ref="X193">SUM(TablaSupervisores[DISPOSITIVOS BACNET MS/TP JC]*INDEX(TablaSeleccionSupervisores[],ROW(TablaSeleccionSupervisores[[#This Row],[ORDEN]])-1,_xlfn.XMATCH(TablaSupervisores[REFERENCIA],TablaSeleccionSupervisores[#Headers])))</f>
        <v>604</v>
      </c>
      <c r="Y193" cm="1">
        <f t="array" ref="Y193">SUM(TablaSupervisores[DISPOSITIVOS BACNET MS/TP COMPATIBLES]*INDEX(TablaSeleccionSupervisores[],ROW(TablaSeleccionSupervisores[[#This Row],[ORDEN]])-1,_xlfn.XMATCH(TablaSupervisores[REFERENCIA],TablaSeleccionSupervisores[#Headers])))</f>
        <v>388</v>
      </c>
      <c r="Z193" cm="1">
        <f t="array" ref="Z193">SUM(TablaSupervisores[DISPOSITIVOS BACNET IP]*INDEX(TablaSeleccionSupervisores[],ROW(TablaSeleccionSupervisores[[#This Row],[ORDEN]])-1,_xlfn.XMATCH(TablaSupervisores[REFERENCIA],TablaSeleccionSupervisores[#Headers])))</f>
        <v>1210</v>
      </c>
      <c r="AA193" cm="1">
        <f t="array" ref="AA193">SUM(TablaSupervisores[OBJETOS]*INDEX(TablaSeleccionSupervisores[],ROW(TablaSeleccionSupervisores[[#This Row],[ORDEN]])-1,_xlfn.XMATCH(TablaSupervisores[REFERENCIA],TablaSeleccionSupervisores[#Headers])))</f>
        <v>17500</v>
      </c>
      <c r="AB193" s="28" cm="1">
        <f t="array" ref="AB193">SUM(TablaSupervisores[COSTE]*INDEX(TablaSeleccionSupervisores[],ROW(TablaSeleccionSupervisores[[#This Row],[ORDEN]])-1,_xlfn.XMATCH(TablaSupervisores[REFERENCIA],TablaSeleccionSupervisores[#Headers])))</f>
        <v>22369.899999999998</v>
      </c>
      <c r="AC193" cm="1">
        <f t="array" ref="AC193">SUM(INDEX(TablaSeleccionSupervisores[],ROW(TablaSeleccionSupervisores[[#This Row],[ORDEN]])-1,_xlfn.XMATCH(TablaSupervisores[REFERENCIA],TablaSeleccionSupervisores[#Headers])))</f>
        <v>6</v>
      </c>
      <c r="AD193" t="str" cm="1">
        <f t="array" ref="AD193">IF(INDEX(TablaSeleccionSupervisores[],ROW(TablaSeleccionSupervisores[[#This Row],[ORDEN]])-1,_xlfn.XMATCH("ADMITIDO ADSLITE",TablaSeleccionSupervisores[#Headers])+1)=0,"Sí admitido","No admitido")</f>
        <v>No admitido</v>
      </c>
      <c r="AE193">
        <v>1</v>
      </c>
      <c r="AF193">
        <v>4</v>
      </c>
      <c r="AG193">
        <v>0</v>
      </c>
      <c r="AH193">
        <v>1</v>
      </c>
    </row>
    <row r="194" spans="22:34" x14ac:dyDescent="0.25">
      <c r="V194">
        <v>193</v>
      </c>
      <c r="W194" cm="1">
        <f t="array" ref="W194">SUM(TablaSupervisores[DISPOSITIVOS TOTAL]*INDEX(TablaSeleccionSupervisores[],ROW(TablaSeleccionSupervisores[[#This Row],[ORDEN]])-1,_xlfn.XMATCH(TablaSupervisores[REFERENCIA],TablaSeleccionSupervisores[#Headers])))</f>
        <v>1804</v>
      </c>
      <c r="X194" cm="1">
        <f t="array" ref="X194">SUM(TablaSupervisores[DISPOSITIVOS BACNET MS/TP JC]*INDEX(TablaSeleccionSupervisores[],ROW(TablaSeleccionSupervisores[[#This Row],[ORDEN]])-1,_xlfn.XMATCH(TablaSupervisores[REFERENCIA],TablaSeleccionSupervisores[#Headers])))</f>
        <v>804</v>
      </c>
      <c r="Y194" cm="1">
        <f t="array" ref="Y194">SUM(TablaSupervisores[DISPOSITIVOS BACNET MS/TP COMPATIBLES]*INDEX(TablaSeleccionSupervisores[],ROW(TablaSeleccionSupervisores[[#This Row],[ORDEN]])-1,_xlfn.XMATCH(TablaSupervisores[REFERENCIA],TablaSeleccionSupervisores[#Headers])))</f>
        <v>516</v>
      </c>
      <c r="Z194" cm="1">
        <f t="array" ref="Z194">SUM(TablaSupervisores[DISPOSITIVOS BACNET IP]*INDEX(TablaSeleccionSupervisores[],ROW(TablaSeleccionSupervisores[[#This Row],[ORDEN]])-1,_xlfn.XMATCH(TablaSupervisores[REFERENCIA],TablaSeleccionSupervisores[#Headers])))</f>
        <v>1610</v>
      </c>
      <c r="AA194" cm="1">
        <f t="array" ref="AA194">SUM(TablaSupervisores[OBJETOS]*INDEX(TablaSeleccionSupervisores[],ROW(TablaSeleccionSupervisores[[#This Row],[ORDEN]])-1,_xlfn.XMATCH(TablaSupervisores[REFERENCIA],TablaSeleccionSupervisores[#Headers])))</f>
        <v>22500</v>
      </c>
      <c r="AB194" s="28" cm="1">
        <f t="array" ref="AB194">SUM(TablaSupervisores[COSTE]*INDEX(TablaSeleccionSupervisores[],ROW(TablaSeleccionSupervisores[[#This Row],[ORDEN]])-1,_xlfn.XMATCH(TablaSupervisores[REFERENCIA],TablaSeleccionSupervisores[#Headers])))</f>
        <v>28036.53</v>
      </c>
      <c r="AC194" cm="1">
        <f t="array" ref="AC194">SUM(INDEX(TablaSeleccionSupervisores[],ROW(TablaSeleccionSupervisores[[#This Row],[ORDEN]])-1,_xlfn.XMATCH(TablaSupervisores[REFERENCIA],TablaSeleccionSupervisores[#Headers])))</f>
        <v>7</v>
      </c>
      <c r="AD194" t="str" cm="1">
        <f t="array" ref="AD194">IF(INDEX(TablaSeleccionSupervisores[],ROW(TablaSeleccionSupervisores[[#This Row],[ORDEN]])-1,_xlfn.XMATCH("ADMITIDO ADSLITE",TablaSeleccionSupervisores[#Headers])+1)=0,"Sí admitido","No admitido")</f>
        <v>No admitido</v>
      </c>
      <c r="AE194">
        <v>2</v>
      </c>
      <c r="AF194">
        <v>4</v>
      </c>
      <c r="AG194">
        <v>0</v>
      </c>
      <c r="AH194">
        <v>1</v>
      </c>
    </row>
    <row r="195" spans="22:34" x14ac:dyDescent="0.25">
      <c r="V195">
        <v>194</v>
      </c>
      <c r="W195" cm="1">
        <f t="array" ref="W195">SUM(TablaSupervisores[DISPOSITIVOS TOTAL]*INDEX(TablaSeleccionSupervisores[],ROW(TablaSeleccionSupervisores[[#This Row],[ORDEN]])-1,_xlfn.XMATCH(TablaSupervisores[REFERENCIA],TablaSeleccionSupervisores[#Headers])))</f>
        <v>2404</v>
      </c>
      <c r="X195" cm="1">
        <f t="array" ref="X195">SUM(TablaSupervisores[DISPOSITIVOS BACNET MS/TP JC]*INDEX(TablaSeleccionSupervisores[],ROW(TablaSeleccionSupervisores[[#This Row],[ORDEN]])-1,_xlfn.XMATCH(TablaSupervisores[REFERENCIA],TablaSeleccionSupervisores[#Headers])))</f>
        <v>1004</v>
      </c>
      <c r="Y195" cm="1">
        <f t="array" ref="Y195">SUM(TablaSupervisores[DISPOSITIVOS BACNET MS/TP COMPATIBLES]*INDEX(TablaSeleccionSupervisores[],ROW(TablaSeleccionSupervisores[[#This Row],[ORDEN]])-1,_xlfn.XMATCH(TablaSupervisores[REFERENCIA],TablaSeleccionSupervisores[#Headers])))</f>
        <v>644</v>
      </c>
      <c r="Z195" cm="1">
        <f t="array" ref="Z195">SUM(TablaSupervisores[DISPOSITIVOS BACNET IP]*INDEX(TablaSeleccionSupervisores[],ROW(TablaSeleccionSupervisores[[#This Row],[ORDEN]])-1,_xlfn.XMATCH(TablaSupervisores[REFERENCIA],TablaSeleccionSupervisores[#Headers])))</f>
        <v>2010</v>
      </c>
      <c r="AA195" cm="1">
        <f t="array" ref="AA195">SUM(TablaSupervisores[OBJETOS]*INDEX(TablaSeleccionSupervisores[],ROW(TablaSeleccionSupervisores[[#This Row],[ORDEN]])-1,_xlfn.XMATCH(TablaSupervisores[REFERENCIA],TablaSeleccionSupervisores[#Headers])))</f>
        <v>27500</v>
      </c>
      <c r="AB195" s="28" cm="1">
        <f t="array" ref="AB195">SUM(TablaSupervisores[COSTE]*INDEX(TablaSeleccionSupervisores[],ROW(TablaSeleccionSupervisores[[#This Row],[ORDEN]])-1,_xlfn.XMATCH(TablaSupervisores[REFERENCIA],TablaSeleccionSupervisores[#Headers])))</f>
        <v>33703.159999999996</v>
      </c>
      <c r="AC195" cm="1">
        <f t="array" ref="AC195">SUM(INDEX(TablaSeleccionSupervisores[],ROW(TablaSeleccionSupervisores[[#This Row],[ORDEN]])-1,_xlfn.XMATCH(TablaSupervisores[REFERENCIA],TablaSeleccionSupervisores[#Headers])))</f>
        <v>8</v>
      </c>
      <c r="AD195" t="str" cm="1">
        <f t="array" ref="AD195">IF(INDEX(TablaSeleccionSupervisores[],ROW(TablaSeleccionSupervisores[[#This Row],[ORDEN]])-1,_xlfn.XMATCH("ADMITIDO ADSLITE",TablaSeleccionSupervisores[#Headers])+1)=0,"Sí admitido","No admitido")</f>
        <v>No admitido</v>
      </c>
      <c r="AE195">
        <v>3</v>
      </c>
      <c r="AF195">
        <v>4</v>
      </c>
      <c r="AG195">
        <v>0</v>
      </c>
      <c r="AH195">
        <v>1</v>
      </c>
    </row>
    <row r="196" spans="22:34" x14ac:dyDescent="0.25">
      <c r="V196">
        <v>195</v>
      </c>
      <c r="W196" cm="1">
        <f t="array" ref="W196">SUM(TablaSupervisores[DISPOSITIVOS TOTAL]*INDEX(TablaSeleccionSupervisores[],ROW(TablaSeleccionSupervisores[[#This Row],[ORDEN]])-1,_xlfn.XMATCH(TablaSupervisores[REFERENCIA],TablaSeleccionSupervisores[#Headers])))</f>
        <v>754</v>
      </c>
      <c r="X196" cm="1">
        <f t="array" ref="X196">SUM(TablaSupervisores[DISPOSITIVOS BACNET MS/TP JC]*INDEX(TablaSeleccionSupervisores[],ROW(TablaSeleccionSupervisores[[#This Row],[ORDEN]])-1,_xlfn.XMATCH(TablaSupervisores[REFERENCIA],TablaSeleccionSupervisores[#Headers])))</f>
        <v>504</v>
      </c>
      <c r="Y196" cm="1">
        <f t="array" ref="Y196">SUM(TablaSupervisores[DISPOSITIVOS BACNET MS/TP COMPATIBLES]*INDEX(TablaSeleccionSupervisores[],ROW(TablaSeleccionSupervisores[[#This Row],[ORDEN]])-1,_xlfn.XMATCH(TablaSupervisores[REFERENCIA],TablaSeleccionSupervisores[#Headers])))</f>
        <v>324</v>
      </c>
      <c r="Z196" cm="1">
        <f t="array" ref="Z196">SUM(TablaSupervisores[DISPOSITIVOS BACNET IP]*INDEX(TablaSeleccionSupervisores[],ROW(TablaSeleccionSupervisores[[#This Row],[ORDEN]])-1,_xlfn.XMATCH(TablaSupervisores[REFERENCIA],TablaSeleccionSupervisores[#Headers])))</f>
        <v>1010</v>
      </c>
      <c r="AA196" cm="1">
        <f t="array" ref="AA196">SUM(TablaSupervisores[OBJETOS]*INDEX(TablaSeleccionSupervisores[],ROW(TablaSeleccionSupervisores[[#This Row],[ORDEN]])-1,_xlfn.XMATCH(TablaSupervisores[REFERENCIA],TablaSeleccionSupervisores[#Headers])))</f>
        <v>15000</v>
      </c>
      <c r="AB196" s="28" cm="1">
        <f t="array" ref="AB196">SUM(TablaSupervisores[COSTE]*INDEX(TablaSeleccionSupervisores[],ROW(TablaSeleccionSupervisores[[#This Row],[ORDEN]])-1,_xlfn.XMATCH(TablaSupervisores[REFERENCIA],TablaSeleccionSupervisores[#Headers])))</f>
        <v>20692</v>
      </c>
      <c r="AC196" cm="1">
        <f t="array" ref="AC196">SUM(INDEX(TablaSeleccionSupervisores[],ROW(TablaSeleccionSupervisores[[#This Row],[ORDEN]])-1,_xlfn.XMATCH(TablaSupervisores[REFERENCIA],TablaSeleccionSupervisores[#Headers])))</f>
        <v>6</v>
      </c>
      <c r="AD196" t="str" cm="1">
        <f t="array" ref="AD196">IF(INDEX(TablaSeleccionSupervisores[],ROW(TablaSeleccionSupervisores[[#This Row],[ORDEN]])-1,_xlfn.XMATCH("ADMITIDO ADSLITE",TablaSeleccionSupervisores[#Headers])+1)=0,"Sí admitido","No admitido")</f>
        <v>Sí admitido</v>
      </c>
      <c r="AE196">
        <v>0</v>
      </c>
      <c r="AF196">
        <v>5</v>
      </c>
      <c r="AG196">
        <v>0</v>
      </c>
      <c r="AH196">
        <v>1</v>
      </c>
    </row>
    <row r="197" spans="22:34" x14ac:dyDescent="0.25">
      <c r="V197">
        <v>196</v>
      </c>
      <c r="W197" cm="1">
        <f t="array" ref="W197">SUM(TablaSupervisores[DISPOSITIVOS TOTAL]*INDEX(TablaSeleccionSupervisores[],ROW(TablaSeleccionSupervisores[[#This Row],[ORDEN]])-1,_xlfn.XMATCH(TablaSupervisores[REFERENCIA],TablaSeleccionSupervisores[#Headers])))</f>
        <v>1354</v>
      </c>
      <c r="X197" cm="1">
        <f t="array" ref="X197">SUM(TablaSupervisores[DISPOSITIVOS BACNET MS/TP JC]*INDEX(TablaSeleccionSupervisores[],ROW(TablaSeleccionSupervisores[[#This Row],[ORDEN]])-1,_xlfn.XMATCH(TablaSupervisores[REFERENCIA],TablaSeleccionSupervisores[#Headers])))</f>
        <v>704</v>
      </c>
      <c r="Y197" cm="1">
        <f t="array" ref="Y197">SUM(TablaSupervisores[DISPOSITIVOS BACNET MS/TP COMPATIBLES]*INDEX(TablaSeleccionSupervisores[],ROW(TablaSeleccionSupervisores[[#This Row],[ORDEN]])-1,_xlfn.XMATCH(TablaSupervisores[REFERENCIA],TablaSeleccionSupervisores[#Headers])))</f>
        <v>452</v>
      </c>
      <c r="Z197" cm="1">
        <f t="array" ref="Z197">SUM(TablaSupervisores[DISPOSITIVOS BACNET IP]*INDEX(TablaSeleccionSupervisores[],ROW(TablaSeleccionSupervisores[[#This Row],[ORDEN]])-1,_xlfn.XMATCH(TablaSupervisores[REFERENCIA],TablaSeleccionSupervisores[#Headers])))</f>
        <v>1410</v>
      </c>
      <c r="AA197" cm="1">
        <f t="array" ref="AA197">SUM(TablaSupervisores[OBJETOS]*INDEX(TablaSeleccionSupervisores[],ROW(TablaSeleccionSupervisores[[#This Row],[ORDEN]])-1,_xlfn.XMATCH(TablaSupervisores[REFERENCIA],TablaSeleccionSupervisores[#Headers])))</f>
        <v>20000</v>
      </c>
      <c r="AB197" s="28" cm="1">
        <f t="array" ref="AB197">SUM(TablaSupervisores[COSTE]*INDEX(TablaSeleccionSupervisores[],ROW(TablaSeleccionSupervisores[[#This Row],[ORDEN]])-1,_xlfn.XMATCH(TablaSupervisores[REFERENCIA],TablaSeleccionSupervisores[#Headers])))</f>
        <v>26358.63</v>
      </c>
      <c r="AC197" cm="1">
        <f t="array" ref="AC197">SUM(INDEX(TablaSeleccionSupervisores[],ROW(TablaSeleccionSupervisores[[#This Row],[ORDEN]])-1,_xlfn.XMATCH(TablaSupervisores[REFERENCIA],TablaSeleccionSupervisores[#Headers])))</f>
        <v>7</v>
      </c>
      <c r="AD197" t="str" cm="1">
        <f t="array" ref="AD197">IF(INDEX(TablaSeleccionSupervisores[],ROW(TablaSeleccionSupervisores[[#This Row],[ORDEN]])-1,_xlfn.XMATCH("ADMITIDO ADSLITE",TablaSeleccionSupervisores[#Headers])+1)=0,"Sí admitido","No admitido")</f>
        <v>No admitido</v>
      </c>
      <c r="AE197">
        <v>1</v>
      </c>
      <c r="AF197">
        <v>5</v>
      </c>
      <c r="AG197">
        <v>0</v>
      </c>
      <c r="AH197">
        <v>1</v>
      </c>
    </row>
    <row r="198" spans="22:34" x14ac:dyDescent="0.25">
      <c r="V198">
        <v>197</v>
      </c>
      <c r="W198" cm="1">
        <f t="array" ref="W198">SUM(TablaSupervisores[DISPOSITIVOS TOTAL]*INDEX(TablaSeleccionSupervisores[],ROW(TablaSeleccionSupervisores[[#This Row],[ORDEN]])-1,_xlfn.XMATCH(TablaSupervisores[REFERENCIA],TablaSeleccionSupervisores[#Headers])))</f>
        <v>1954</v>
      </c>
      <c r="X198" cm="1">
        <f t="array" ref="X198">SUM(TablaSupervisores[DISPOSITIVOS BACNET MS/TP JC]*INDEX(TablaSeleccionSupervisores[],ROW(TablaSeleccionSupervisores[[#This Row],[ORDEN]])-1,_xlfn.XMATCH(TablaSupervisores[REFERENCIA],TablaSeleccionSupervisores[#Headers])))</f>
        <v>904</v>
      </c>
      <c r="Y198" cm="1">
        <f t="array" ref="Y198">SUM(TablaSupervisores[DISPOSITIVOS BACNET MS/TP COMPATIBLES]*INDEX(TablaSeleccionSupervisores[],ROW(TablaSeleccionSupervisores[[#This Row],[ORDEN]])-1,_xlfn.XMATCH(TablaSupervisores[REFERENCIA],TablaSeleccionSupervisores[#Headers])))</f>
        <v>580</v>
      </c>
      <c r="Z198" cm="1">
        <f t="array" ref="Z198">SUM(TablaSupervisores[DISPOSITIVOS BACNET IP]*INDEX(TablaSeleccionSupervisores[],ROW(TablaSeleccionSupervisores[[#This Row],[ORDEN]])-1,_xlfn.XMATCH(TablaSupervisores[REFERENCIA],TablaSeleccionSupervisores[#Headers])))</f>
        <v>1810</v>
      </c>
      <c r="AA198" cm="1">
        <f t="array" ref="AA198">SUM(TablaSupervisores[OBJETOS]*INDEX(TablaSeleccionSupervisores[],ROW(TablaSeleccionSupervisores[[#This Row],[ORDEN]])-1,_xlfn.XMATCH(TablaSupervisores[REFERENCIA],TablaSeleccionSupervisores[#Headers])))</f>
        <v>25000</v>
      </c>
      <c r="AB198" s="28" cm="1">
        <f t="array" ref="AB198">SUM(TablaSupervisores[COSTE]*INDEX(TablaSeleccionSupervisores[],ROW(TablaSeleccionSupervisores[[#This Row],[ORDEN]])-1,_xlfn.XMATCH(TablaSupervisores[REFERENCIA],TablaSeleccionSupervisores[#Headers])))</f>
        <v>32025.260000000002</v>
      </c>
      <c r="AC198" cm="1">
        <f t="array" ref="AC198">SUM(INDEX(TablaSeleccionSupervisores[],ROW(TablaSeleccionSupervisores[[#This Row],[ORDEN]])-1,_xlfn.XMATCH(TablaSupervisores[REFERENCIA],TablaSeleccionSupervisores[#Headers])))</f>
        <v>8</v>
      </c>
      <c r="AD198" t="str" cm="1">
        <f t="array" ref="AD198">IF(INDEX(TablaSeleccionSupervisores[],ROW(TablaSeleccionSupervisores[[#This Row],[ORDEN]])-1,_xlfn.XMATCH("ADMITIDO ADSLITE",TablaSeleccionSupervisores[#Headers])+1)=0,"Sí admitido","No admitido")</f>
        <v>No admitido</v>
      </c>
      <c r="AE198">
        <v>2</v>
      </c>
      <c r="AF198">
        <v>5</v>
      </c>
      <c r="AG198">
        <v>0</v>
      </c>
      <c r="AH198">
        <v>1</v>
      </c>
    </row>
    <row r="199" spans="22:34" x14ac:dyDescent="0.25">
      <c r="V199">
        <v>198</v>
      </c>
      <c r="W199" cm="1">
        <f t="array" ref="W199">SUM(TablaSupervisores[DISPOSITIVOS TOTAL]*INDEX(TablaSeleccionSupervisores[],ROW(TablaSeleccionSupervisores[[#This Row],[ORDEN]])-1,_xlfn.XMATCH(TablaSupervisores[REFERENCIA],TablaSeleccionSupervisores[#Headers])))</f>
        <v>904</v>
      </c>
      <c r="X199" cm="1">
        <f t="array" ref="X199">SUM(TablaSupervisores[DISPOSITIVOS BACNET MS/TP JC]*INDEX(TablaSeleccionSupervisores[],ROW(TablaSeleccionSupervisores[[#This Row],[ORDEN]])-1,_xlfn.XMATCH(TablaSupervisores[REFERENCIA],TablaSeleccionSupervisores[#Headers])))</f>
        <v>604</v>
      </c>
      <c r="Y199" cm="1">
        <f t="array" ref="Y199">SUM(TablaSupervisores[DISPOSITIVOS BACNET MS/TP COMPATIBLES]*INDEX(TablaSeleccionSupervisores[],ROW(TablaSeleccionSupervisores[[#This Row],[ORDEN]])-1,_xlfn.XMATCH(TablaSupervisores[REFERENCIA],TablaSeleccionSupervisores[#Headers])))</f>
        <v>388</v>
      </c>
      <c r="Z199" cm="1">
        <f t="array" ref="Z199">SUM(TablaSupervisores[DISPOSITIVOS BACNET IP]*INDEX(TablaSeleccionSupervisores[],ROW(TablaSeleccionSupervisores[[#This Row],[ORDEN]])-1,_xlfn.XMATCH(TablaSupervisores[REFERENCIA],TablaSeleccionSupervisores[#Headers])))</f>
        <v>1210</v>
      </c>
      <c r="AA199" cm="1">
        <f t="array" ref="AA199">SUM(TablaSupervisores[OBJETOS]*INDEX(TablaSeleccionSupervisores[],ROW(TablaSeleccionSupervisores[[#This Row],[ORDEN]])-1,_xlfn.XMATCH(TablaSupervisores[REFERENCIA],TablaSeleccionSupervisores[#Headers])))</f>
        <v>17500</v>
      </c>
      <c r="AB199" s="28" cm="1">
        <f t="array" ref="AB199">SUM(TablaSupervisores[COSTE]*INDEX(TablaSeleccionSupervisores[],ROW(TablaSeleccionSupervisores[[#This Row],[ORDEN]])-1,_xlfn.XMATCH(TablaSupervisores[REFERENCIA],TablaSeleccionSupervisores[#Headers])))</f>
        <v>24680.73</v>
      </c>
      <c r="AC199" cm="1">
        <f t="array" ref="AC199">SUM(INDEX(TablaSeleccionSupervisores[],ROW(TablaSeleccionSupervisores[[#This Row],[ORDEN]])-1,_xlfn.XMATCH(TablaSupervisores[REFERENCIA],TablaSeleccionSupervisores[#Headers])))</f>
        <v>7</v>
      </c>
      <c r="AD199" t="str" cm="1">
        <f t="array" ref="AD199">IF(INDEX(TablaSeleccionSupervisores[],ROW(TablaSeleccionSupervisores[[#This Row],[ORDEN]])-1,_xlfn.XMATCH("ADMITIDO ADSLITE",TablaSeleccionSupervisores[#Headers])+1)=0,"Sí admitido","No admitido")</f>
        <v>Sí admitido</v>
      </c>
      <c r="AE199">
        <v>0</v>
      </c>
      <c r="AF199">
        <v>6</v>
      </c>
      <c r="AG199">
        <v>0</v>
      </c>
      <c r="AH199">
        <v>1</v>
      </c>
    </row>
    <row r="200" spans="22:34" x14ac:dyDescent="0.25">
      <c r="V200">
        <v>199</v>
      </c>
      <c r="W200" cm="1">
        <f t="array" ref="W200">SUM(TablaSupervisores[DISPOSITIVOS TOTAL]*INDEX(TablaSeleccionSupervisores[],ROW(TablaSeleccionSupervisores[[#This Row],[ORDEN]])-1,_xlfn.XMATCH(TablaSupervisores[REFERENCIA],TablaSeleccionSupervisores[#Headers])))</f>
        <v>1504</v>
      </c>
      <c r="X200" cm="1">
        <f t="array" ref="X200">SUM(TablaSupervisores[DISPOSITIVOS BACNET MS/TP JC]*INDEX(TablaSeleccionSupervisores[],ROW(TablaSeleccionSupervisores[[#This Row],[ORDEN]])-1,_xlfn.XMATCH(TablaSupervisores[REFERENCIA],TablaSeleccionSupervisores[#Headers])))</f>
        <v>804</v>
      </c>
      <c r="Y200" cm="1">
        <f t="array" ref="Y200">SUM(TablaSupervisores[DISPOSITIVOS BACNET MS/TP COMPATIBLES]*INDEX(TablaSeleccionSupervisores[],ROW(TablaSeleccionSupervisores[[#This Row],[ORDEN]])-1,_xlfn.XMATCH(TablaSupervisores[REFERENCIA],TablaSeleccionSupervisores[#Headers])))</f>
        <v>516</v>
      </c>
      <c r="Z200" cm="1">
        <f t="array" ref="Z200">SUM(TablaSupervisores[DISPOSITIVOS BACNET IP]*INDEX(TablaSeleccionSupervisores[],ROW(TablaSeleccionSupervisores[[#This Row],[ORDEN]])-1,_xlfn.XMATCH(TablaSupervisores[REFERENCIA],TablaSeleccionSupervisores[#Headers])))</f>
        <v>1610</v>
      </c>
      <c r="AA200" cm="1">
        <f t="array" ref="AA200">SUM(TablaSupervisores[OBJETOS]*INDEX(TablaSeleccionSupervisores[],ROW(TablaSeleccionSupervisores[[#This Row],[ORDEN]])-1,_xlfn.XMATCH(TablaSupervisores[REFERENCIA],TablaSeleccionSupervisores[#Headers])))</f>
        <v>22500</v>
      </c>
      <c r="AB200" s="28" cm="1">
        <f t="array" ref="AB200">SUM(TablaSupervisores[COSTE]*INDEX(TablaSeleccionSupervisores[],ROW(TablaSeleccionSupervisores[[#This Row],[ORDEN]])-1,_xlfn.XMATCH(TablaSupervisores[REFERENCIA],TablaSeleccionSupervisores[#Headers])))</f>
        <v>30347.360000000001</v>
      </c>
      <c r="AC200" cm="1">
        <f t="array" ref="AC200">SUM(INDEX(TablaSeleccionSupervisores[],ROW(TablaSeleccionSupervisores[[#This Row],[ORDEN]])-1,_xlfn.XMATCH(TablaSupervisores[REFERENCIA],TablaSeleccionSupervisores[#Headers])))</f>
        <v>8</v>
      </c>
      <c r="AD200" t="str" cm="1">
        <f t="array" ref="AD200">IF(INDEX(TablaSeleccionSupervisores[],ROW(TablaSeleccionSupervisores[[#This Row],[ORDEN]])-1,_xlfn.XMATCH("ADMITIDO ADSLITE",TablaSeleccionSupervisores[#Headers])+1)=0,"Sí admitido","No admitido")</f>
        <v>No admitido</v>
      </c>
      <c r="AE200">
        <v>1</v>
      </c>
      <c r="AF200">
        <v>6</v>
      </c>
      <c r="AG200">
        <v>0</v>
      </c>
      <c r="AH200">
        <v>1</v>
      </c>
    </row>
    <row r="201" spans="22:34" x14ac:dyDescent="0.25">
      <c r="V201">
        <v>200</v>
      </c>
      <c r="W201" cm="1">
        <f t="array" ref="W201">SUM(TablaSupervisores[DISPOSITIVOS TOTAL]*INDEX(TablaSeleccionSupervisores[],ROW(TablaSeleccionSupervisores[[#This Row],[ORDEN]])-1,_xlfn.XMATCH(TablaSupervisores[REFERENCIA],TablaSeleccionSupervisores[#Headers])))</f>
        <v>1054</v>
      </c>
      <c r="X201" cm="1">
        <f t="array" ref="X201">SUM(TablaSupervisores[DISPOSITIVOS BACNET MS/TP JC]*INDEX(TablaSeleccionSupervisores[],ROW(TablaSeleccionSupervisores[[#This Row],[ORDEN]])-1,_xlfn.XMATCH(TablaSupervisores[REFERENCIA],TablaSeleccionSupervisores[#Headers])))</f>
        <v>704</v>
      </c>
      <c r="Y201" cm="1">
        <f t="array" ref="Y201">SUM(TablaSupervisores[DISPOSITIVOS BACNET MS/TP COMPATIBLES]*INDEX(TablaSeleccionSupervisores[],ROW(TablaSeleccionSupervisores[[#This Row],[ORDEN]])-1,_xlfn.XMATCH(TablaSupervisores[REFERENCIA],TablaSeleccionSupervisores[#Headers])))</f>
        <v>452</v>
      </c>
      <c r="Z201" cm="1">
        <f t="array" ref="Z201">SUM(TablaSupervisores[DISPOSITIVOS BACNET IP]*INDEX(TablaSeleccionSupervisores[],ROW(TablaSeleccionSupervisores[[#This Row],[ORDEN]])-1,_xlfn.XMATCH(TablaSupervisores[REFERENCIA],TablaSeleccionSupervisores[#Headers])))</f>
        <v>1410</v>
      </c>
      <c r="AA201" cm="1">
        <f t="array" ref="AA201">SUM(TablaSupervisores[OBJETOS]*INDEX(TablaSeleccionSupervisores[],ROW(TablaSeleccionSupervisores[[#This Row],[ORDEN]])-1,_xlfn.XMATCH(TablaSupervisores[REFERENCIA],TablaSeleccionSupervisores[#Headers])))</f>
        <v>20000</v>
      </c>
      <c r="AB201" s="28" cm="1">
        <f t="array" ref="AB201">SUM(TablaSupervisores[COSTE]*INDEX(TablaSeleccionSupervisores[],ROW(TablaSeleccionSupervisores[[#This Row],[ORDEN]])-1,_xlfn.XMATCH(TablaSupervisores[REFERENCIA],TablaSeleccionSupervisores[#Headers])))</f>
        <v>28669.46</v>
      </c>
      <c r="AC201" cm="1">
        <f t="array" ref="AC201">SUM(INDEX(TablaSeleccionSupervisores[],ROW(TablaSeleccionSupervisores[[#This Row],[ORDEN]])-1,_xlfn.XMATCH(TablaSupervisores[REFERENCIA],TablaSeleccionSupervisores[#Headers])))</f>
        <v>8</v>
      </c>
      <c r="AD201" t="str" cm="1">
        <f t="array" ref="AD201">IF(INDEX(TablaSeleccionSupervisores[],ROW(TablaSeleccionSupervisores[[#This Row],[ORDEN]])-1,_xlfn.XMATCH("ADMITIDO ADSLITE",TablaSeleccionSupervisores[#Headers])+1)=0,"Sí admitido","No admitido")</f>
        <v>Sí admitido</v>
      </c>
      <c r="AE201">
        <v>0</v>
      </c>
      <c r="AF201">
        <v>7</v>
      </c>
      <c r="AG201">
        <v>0</v>
      </c>
      <c r="AH201">
        <v>1</v>
      </c>
    </row>
    <row r="202" spans="22:34" x14ac:dyDescent="0.25">
      <c r="V202">
        <v>201</v>
      </c>
      <c r="W202" cm="1">
        <f t="array" ref="W202">SUM(TablaSupervisores[DISPOSITIVOS TOTAL]*INDEX(TablaSeleccionSupervisores[],ROW(TablaSeleccionSupervisores[[#This Row],[ORDEN]])-1,_xlfn.XMATCH(TablaSupervisores[REFERENCIA],TablaSeleccionSupervisores[#Headers])))</f>
        <v>64</v>
      </c>
      <c r="X202" cm="1">
        <f t="array" ref="X202">SUM(TablaSupervisores[DISPOSITIVOS BACNET MS/TP JC]*INDEX(TablaSeleccionSupervisores[],ROW(TablaSeleccionSupervisores[[#This Row],[ORDEN]])-1,_xlfn.XMATCH(TablaSupervisores[REFERENCIA],TablaSeleccionSupervisores[#Headers])))</f>
        <v>54</v>
      </c>
      <c r="Y202" cm="1">
        <f t="array" ref="Y202">SUM(TablaSupervisores[DISPOSITIVOS BACNET MS/TP COMPATIBLES]*INDEX(TablaSeleccionSupervisores[],ROW(TablaSeleccionSupervisores[[#This Row],[ORDEN]])-1,_xlfn.XMATCH(TablaSupervisores[REFERENCIA],TablaSeleccionSupervisores[#Headers])))</f>
        <v>36</v>
      </c>
      <c r="Z202" cm="1">
        <f t="array" ref="Z202">SUM(TablaSupervisores[DISPOSITIVOS BACNET IP]*INDEX(TablaSeleccionSupervisores[],ROW(TablaSeleccionSupervisores[[#This Row],[ORDEN]])-1,_xlfn.XMATCH(TablaSupervisores[REFERENCIA],TablaSeleccionSupervisores[#Headers])))</f>
        <v>110</v>
      </c>
      <c r="AA202" cm="1">
        <f t="array" ref="AA202">SUM(TablaSupervisores[OBJETOS]*INDEX(TablaSeleccionSupervisores[],ROW(TablaSeleccionSupervisores[[#This Row],[ORDEN]])-1,_xlfn.XMATCH(TablaSupervisores[REFERENCIA],TablaSeleccionSupervisores[#Headers])))</f>
        <v>5000</v>
      </c>
      <c r="AB202" s="28" cm="1">
        <f t="array" ref="AB202">SUM(TablaSupervisores[COSTE]*INDEX(TablaSeleccionSupervisores[],ROW(TablaSeleccionSupervisores[[#This Row],[ORDEN]])-1,_xlfn.XMATCH(TablaSupervisores[REFERENCIA],TablaSeleccionSupervisores[#Headers])))</f>
        <v>2171.83</v>
      </c>
      <c r="AC202" cm="1">
        <f t="array" ref="AC202">SUM(INDEX(TablaSeleccionSupervisores[],ROW(TablaSeleccionSupervisores[[#This Row],[ORDEN]])-1,_xlfn.XMATCH(TablaSupervisores[REFERENCIA],TablaSeleccionSupervisores[#Headers])))</f>
        <v>2</v>
      </c>
      <c r="AD202" t="str" cm="1">
        <f t="array" ref="AD202">IF(INDEX(TablaSeleccionSupervisores[],ROW(TablaSeleccionSupervisores[[#This Row],[ORDEN]])-1,_xlfn.XMATCH("ADMITIDO ADSLITE",TablaSeleccionSupervisores[#Headers])+1)=0,"Sí admitido","No admitido")</f>
        <v>Sí admitido</v>
      </c>
      <c r="AE202">
        <v>0</v>
      </c>
      <c r="AF202">
        <v>0</v>
      </c>
      <c r="AG202">
        <v>1</v>
      </c>
      <c r="AH202">
        <v>1</v>
      </c>
    </row>
    <row r="203" spans="22:34" x14ac:dyDescent="0.25">
      <c r="V203">
        <v>202</v>
      </c>
      <c r="W203" cm="1">
        <f t="array" ref="W203">SUM(TablaSupervisores[DISPOSITIVOS TOTAL]*INDEX(TablaSeleccionSupervisores[],ROW(TablaSeleccionSupervisores[[#This Row],[ORDEN]])-1,_xlfn.XMATCH(TablaSupervisores[REFERENCIA],TablaSeleccionSupervisores[#Headers])))</f>
        <v>664</v>
      </c>
      <c r="X203" cm="1">
        <f t="array" ref="X203">SUM(TablaSupervisores[DISPOSITIVOS BACNET MS/TP JC]*INDEX(TablaSeleccionSupervisores[],ROW(TablaSeleccionSupervisores[[#This Row],[ORDEN]])-1,_xlfn.XMATCH(TablaSupervisores[REFERENCIA],TablaSeleccionSupervisores[#Headers])))</f>
        <v>254</v>
      </c>
      <c r="Y203" cm="1">
        <f t="array" ref="Y203">SUM(TablaSupervisores[DISPOSITIVOS BACNET MS/TP COMPATIBLES]*INDEX(TablaSeleccionSupervisores[],ROW(TablaSeleccionSupervisores[[#This Row],[ORDEN]])-1,_xlfn.XMATCH(TablaSupervisores[REFERENCIA],TablaSeleccionSupervisores[#Headers])))</f>
        <v>164</v>
      </c>
      <c r="Z203" cm="1">
        <f t="array" ref="Z203">SUM(TablaSupervisores[DISPOSITIVOS BACNET IP]*INDEX(TablaSeleccionSupervisores[],ROW(TablaSeleccionSupervisores[[#This Row],[ORDEN]])-1,_xlfn.XMATCH(TablaSupervisores[REFERENCIA],TablaSeleccionSupervisores[#Headers])))</f>
        <v>510</v>
      </c>
      <c r="AA203" cm="1">
        <f t="array" ref="AA203">SUM(TablaSupervisores[OBJETOS]*INDEX(TablaSeleccionSupervisores[],ROW(TablaSeleccionSupervisores[[#This Row],[ORDEN]])-1,_xlfn.XMATCH(TablaSupervisores[REFERENCIA],TablaSeleccionSupervisores[#Headers])))</f>
        <v>10000</v>
      </c>
      <c r="AB203" s="28" cm="1">
        <f t="array" ref="AB203">SUM(TablaSupervisores[COSTE]*INDEX(TablaSeleccionSupervisores[],ROW(TablaSeleccionSupervisores[[#This Row],[ORDEN]])-1,_xlfn.XMATCH(TablaSupervisores[REFERENCIA],TablaSeleccionSupervisores[#Headers])))</f>
        <v>7838.4600000000009</v>
      </c>
      <c r="AC203" cm="1">
        <f t="array" ref="AC203">SUM(INDEX(TablaSeleccionSupervisores[],ROW(TablaSeleccionSupervisores[[#This Row],[ORDEN]])-1,_xlfn.XMATCH(TablaSupervisores[REFERENCIA],TablaSeleccionSupervisores[#Headers])))</f>
        <v>3</v>
      </c>
      <c r="AD203" t="str" cm="1">
        <f t="array" ref="AD203">IF(INDEX(TablaSeleccionSupervisores[],ROW(TablaSeleccionSupervisores[[#This Row],[ORDEN]])-1,_xlfn.XMATCH("ADMITIDO ADSLITE",TablaSeleccionSupervisores[#Headers])+1)=0,"Sí admitido","No admitido")</f>
        <v>No admitido</v>
      </c>
      <c r="AE203">
        <v>1</v>
      </c>
      <c r="AF203">
        <v>0</v>
      </c>
      <c r="AG203">
        <v>1</v>
      </c>
      <c r="AH203">
        <v>1</v>
      </c>
    </row>
    <row r="204" spans="22:34" x14ac:dyDescent="0.25">
      <c r="V204">
        <v>203</v>
      </c>
      <c r="W204" cm="1">
        <f t="array" ref="W204">SUM(TablaSupervisores[DISPOSITIVOS TOTAL]*INDEX(TablaSeleccionSupervisores[],ROW(TablaSeleccionSupervisores[[#This Row],[ORDEN]])-1,_xlfn.XMATCH(TablaSupervisores[REFERENCIA],TablaSeleccionSupervisores[#Headers])))</f>
        <v>1264</v>
      </c>
      <c r="X204" cm="1">
        <f t="array" ref="X204">SUM(TablaSupervisores[DISPOSITIVOS BACNET MS/TP JC]*INDEX(TablaSeleccionSupervisores[],ROW(TablaSeleccionSupervisores[[#This Row],[ORDEN]])-1,_xlfn.XMATCH(TablaSupervisores[REFERENCIA],TablaSeleccionSupervisores[#Headers])))</f>
        <v>454</v>
      </c>
      <c r="Y204" cm="1">
        <f t="array" ref="Y204">SUM(TablaSupervisores[DISPOSITIVOS BACNET MS/TP COMPATIBLES]*INDEX(TablaSeleccionSupervisores[],ROW(TablaSeleccionSupervisores[[#This Row],[ORDEN]])-1,_xlfn.XMATCH(TablaSupervisores[REFERENCIA],TablaSeleccionSupervisores[#Headers])))</f>
        <v>292</v>
      </c>
      <c r="Z204" cm="1">
        <f t="array" ref="Z204">SUM(TablaSupervisores[DISPOSITIVOS BACNET IP]*INDEX(TablaSeleccionSupervisores[],ROW(TablaSeleccionSupervisores[[#This Row],[ORDEN]])-1,_xlfn.XMATCH(TablaSupervisores[REFERENCIA],TablaSeleccionSupervisores[#Headers])))</f>
        <v>910</v>
      </c>
      <c r="AA204" cm="1">
        <f t="array" ref="AA204">SUM(TablaSupervisores[OBJETOS]*INDEX(TablaSeleccionSupervisores[],ROW(TablaSeleccionSupervisores[[#This Row],[ORDEN]])-1,_xlfn.XMATCH(TablaSupervisores[REFERENCIA],TablaSeleccionSupervisores[#Headers])))</f>
        <v>15000</v>
      </c>
      <c r="AB204" s="28" cm="1">
        <f t="array" ref="AB204">SUM(TablaSupervisores[COSTE]*INDEX(TablaSeleccionSupervisores[],ROW(TablaSeleccionSupervisores[[#This Row],[ORDEN]])-1,_xlfn.XMATCH(TablaSupervisores[REFERENCIA],TablaSeleccionSupervisores[#Headers])))</f>
        <v>13505.09</v>
      </c>
      <c r="AC204" cm="1">
        <f t="array" ref="AC204">SUM(INDEX(TablaSeleccionSupervisores[],ROW(TablaSeleccionSupervisores[[#This Row],[ORDEN]])-1,_xlfn.XMATCH(TablaSupervisores[REFERENCIA],TablaSeleccionSupervisores[#Headers])))</f>
        <v>4</v>
      </c>
      <c r="AD204" t="str" cm="1">
        <f t="array" ref="AD204">IF(INDEX(TablaSeleccionSupervisores[],ROW(TablaSeleccionSupervisores[[#This Row],[ORDEN]])-1,_xlfn.XMATCH("ADMITIDO ADSLITE",TablaSeleccionSupervisores[#Headers])+1)=0,"Sí admitido","No admitido")</f>
        <v>No admitido</v>
      </c>
      <c r="AE204">
        <v>2</v>
      </c>
      <c r="AF204">
        <v>0</v>
      </c>
      <c r="AG204">
        <v>1</v>
      </c>
      <c r="AH204">
        <v>1</v>
      </c>
    </row>
    <row r="205" spans="22:34" x14ac:dyDescent="0.25">
      <c r="V205">
        <v>204</v>
      </c>
      <c r="W205" cm="1">
        <f t="array" ref="W205">SUM(TablaSupervisores[DISPOSITIVOS TOTAL]*INDEX(TablaSeleccionSupervisores[],ROW(TablaSeleccionSupervisores[[#This Row],[ORDEN]])-1,_xlfn.XMATCH(TablaSupervisores[REFERENCIA],TablaSeleccionSupervisores[#Headers])))</f>
        <v>1864</v>
      </c>
      <c r="X205" cm="1">
        <f t="array" ref="X205">SUM(TablaSupervisores[DISPOSITIVOS BACNET MS/TP JC]*INDEX(TablaSeleccionSupervisores[],ROW(TablaSeleccionSupervisores[[#This Row],[ORDEN]])-1,_xlfn.XMATCH(TablaSupervisores[REFERENCIA],TablaSeleccionSupervisores[#Headers])))</f>
        <v>654</v>
      </c>
      <c r="Y205" cm="1">
        <f t="array" ref="Y205">SUM(TablaSupervisores[DISPOSITIVOS BACNET MS/TP COMPATIBLES]*INDEX(TablaSeleccionSupervisores[],ROW(TablaSeleccionSupervisores[[#This Row],[ORDEN]])-1,_xlfn.XMATCH(TablaSupervisores[REFERENCIA],TablaSeleccionSupervisores[#Headers])))</f>
        <v>420</v>
      </c>
      <c r="Z205" cm="1">
        <f t="array" ref="Z205">SUM(TablaSupervisores[DISPOSITIVOS BACNET IP]*INDEX(TablaSeleccionSupervisores[],ROW(TablaSeleccionSupervisores[[#This Row],[ORDEN]])-1,_xlfn.XMATCH(TablaSupervisores[REFERENCIA],TablaSeleccionSupervisores[#Headers])))</f>
        <v>1310</v>
      </c>
      <c r="AA205" cm="1">
        <f t="array" ref="AA205">SUM(TablaSupervisores[OBJETOS]*INDEX(TablaSeleccionSupervisores[],ROW(TablaSeleccionSupervisores[[#This Row],[ORDEN]])-1,_xlfn.XMATCH(TablaSupervisores[REFERENCIA],TablaSeleccionSupervisores[#Headers])))</f>
        <v>20000</v>
      </c>
      <c r="AB205" s="28" cm="1">
        <f t="array" ref="AB205">SUM(TablaSupervisores[COSTE]*INDEX(TablaSeleccionSupervisores[],ROW(TablaSeleccionSupervisores[[#This Row],[ORDEN]])-1,_xlfn.XMATCH(TablaSupervisores[REFERENCIA],TablaSeleccionSupervisores[#Headers])))</f>
        <v>19171.719999999998</v>
      </c>
      <c r="AC205" cm="1">
        <f t="array" ref="AC205">SUM(INDEX(TablaSeleccionSupervisores[],ROW(TablaSeleccionSupervisores[[#This Row],[ORDEN]])-1,_xlfn.XMATCH(TablaSupervisores[REFERENCIA],TablaSeleccionSupervisores[#Headers])))</f>
        <v>5</v>
      </c>
      <c r="AD205" t="str" cm="1">
        <f t="array" ref="AD205">IF(INDEX(TablaSeleccionSupervisores[],ROW(TablaSeleccionSupervisores[[#This Row],[ORDEN]])-1,_xlfn.XMATCH("ADMITIDO ADSLITE",TablaSeleccionSupervisores[#Headers])+1)=0,"Sí admitido","No admitido")</f>
        <v>No admitido</v>
      </c>
      <c r="AE205">
        <v>3</v>
      </c>
      <c r="AF205">
        <v>0</v>
      </c>
      <c r="AG205">
        <v>1</v>
      </c>
      <c r="AH205">
        <v>1</v>
      </c>
    </row>
    <row r="206" spans="22:34" x14ac:dyDescent="0.25">
      <c r="V206">
        <v>205</v>
      </c>
      <c r="W206" cm="1">
        <f t="array" ref="W206">SUM(TablaSupervisores[DISPOSITIVOS TOTAL]*INDEX(TablaSeleccionSupervisores[],ROW(TablaSeleccionSupervisores[[#This Row],[ORDEN]])-1,_xlfn.XMATCH(TablaSupervisores[REFERENCIA],TablaSeleccionSupervisores[#Headers])))</f>
        <v>2464</v>
      </c>
      <c r="X206" cm="1">
        <f t="array" ref="X206">SUM(TablaSupervisores[DISPOSITIVOS BACNET MS/TP JC]*INDEX(TablaSeleccionSupervisores[],ROW(TablaSeleccionSupervisores[[#This Row],[ORDEN]])-1,_xlfn.XMATCH(TablaSupervisores[REFERENCIA],TablaSeleccionSupervisores[#Headers])))</f>
        <v>854</v>
      </c>
      <c r="Y206" cm="1">
        <f t="array" ref="Y206">SUM(TablaSupervisores[DISPOSITIVOS BACNET MS/TP COMPATIBLES]*INDEX(TablaSeleccionSupervisores[],ROW(TablaSeleccionSupervisores[[#This Row],[ORDEN]])-1,_xlfn.XMATCH(TablaSupervisores[REFERENCIA],TablaSeleccionSupervisores[#Headers])))</f>
        <v>548</v>
      </c>
      <c r="Z206" cm="1">
        <f t="array" ref="Z206">SUM(TablaSupervisores[DISPOSITIVOS BACNET IP]*INDEX(TablaSeleccionSupervisores[],ROW(TablaSeleccionSupervisores[[#This Row],[ORDEN]])-1,_xlfn.XMATCH(TablaSupervisores[REFERENCIA],TablaSeleccionSupervisores[#Headers])))</f>
        <v>1710</v>
      </c>
      <c r="AA206" cm="1">
        <f t="array" ref="AA206">SUM(TablaSupervisores[OBJETOS]*INDEX(TablaSeleccionSupervisores[],ROW(TablaSeleccionSupervisores[[#This Row],[ORDEN]])-1,_xlfn.XMATCH(TablaSupervisores[REFERENCIA],TablaSeleccionSupervisores[#Headers])))</f>
        <v>25000</v>
      </c>
      <c r="AB206" s="28" cm="1">
        <f t="array" ref="AB206">SUM(TablaSupervisores[COSTE]*INDEX(TablaSeleccionSupervisores[],ROW(TablaSeleccionSupervisores[[#This Row],[ORDEN]])-1,_xlfn.XMATCH(TablaSupervisores[REFERENCIA],TablaSeleccionSupervisores[#Headers])))</f>
        <v>24838.35</v>
      </c>
      <c r="AC206" cm="1">
        <f t="array" ref="AC206">SUM(INDEX(TablaSeleccionSupervisores[],ROW(TablaSeleccionSupervisores[[#This Row],[ORDEN]])-1,_xlfn.XMATCH(TablaSupervisores[REFERENCIA],TablaSeleccionSupervisores[#Headers])))</f>
        <v>6</v>
      </c>
      <c r="AD206" t="str" cm="1">
        <f t="array" ref="AD206">IF(INDEX(TablaSeleccionSupervisores[],ROW(TablaSeleccionSupervisores[[#This Row],[ORDEN]])-1,_xlfn.XMATCH("ADMITIDO ADSLITE",TablaSeleccionSupervisores[#Headers])+1)=0,"Sí admitido","No admitido")</f>
        <v>No admitido</v>
      </c>
      <c r="AE206">
        <v>4</v>
      </c>
      <c r="AF206">
        <v>0</v>
      </c>
      <c r="AG206">
        <v>1</v>
      </c>
      <c r="AH206">
        <v>1</v>
      </c>
    </row>
    <row r="207" spans="22:34" x14ac:dyDescent="0.25">
      <c r="V207">
        <v>206</v>
      </c>
      <c r="W207" cm="1">
        <f t="array" ref="W207">SUM(TablaSupervisores[DISPOSITIVOS TOTAL]*INDEX(TablaSeleccionSupervisores[],ROW(TablaSeleccionSupervisores[[#This Row],[ORDEN]])-1,_xlfn.XMATCH(TablaSupervisores[REFERENCIA],TablaSeleccionSupervisores[#Headers])))</f>
        <v>3064</v>
      </c>
      <c r="X207" cm="1">
        <f t="array" ref="X207">SUM(TablaSupervisores[DISPOSITIVOS BACNET MS/TP JC]*INDEX(TablaSeleccionSupervisores[],ROW(TablaSeleccionSupervisores[[#This Row],[ORDEN]])-1,_xlfn.XMATCH(TablaSupervisores[REFERENCIA],TablaSeleccionSupervisores[#Headers])))</f>
        <v>1054</v>
      </c>
      <c r="Y207" cm="1">
        <f t="array" ref="Y207">SUM(TablaSupervisores[DISPOSITIVOS BACNET MS/TP COMPATIBLES]*INDEX(TablaSeleccionSupervisores[],ROW(TablaSeleccionSupervisores[[#This Row],[ORDEN]])-1,_xlfn.XMATCH(TablaSupervisores[REFERENCIA],TablaSeleccionSupervisores[#Headers])))</f>
        <v>676</v>
      </c>
      <c r="Z207" cm="1">
        <f t="array" ref="Z207">SUM(TablaSupervisores[DISPOSITIVOS BACNET IP]*INDEX(TablaSeleccionSupervisores[],ROW(TablaSeleccionSupervisores[[#This Row],[ORDEN]])-1,_xlfn.XMATCH(TablaSupervisores[REFERENCIA],TablaSeleccionSupervisores[#Headers])))</f>
        <v>2110</v>
      </c>
      <c r="AA207" cm="1">
        <f t="array" ref="AA207">SUM(TablaSupervisores[OBJETOS]*INDEX(TablaSeleccionSupervisores[],ROW(TablaSeleccionSupervisores[[#This Row],[ORDEN]])-1,_xlfn.XMATCH(TablaSupervisores[REFERENCIA],TablaSeleccionSupervisores[#Headers])))</f>
        <v>30000</v>
      </c>
      <c r="AB207" s="28" cm="1">
        <f t="array" ref="AB207">SUM(TablaSupervisores[COSTE]*INDEX(TablaSeleccionSupervisores[],ROW(TablaSeleccionSupervisores[[#This Row],[ORDEN]])-1,_xlfn.XMATCH(TablaSupervisores[REFERENCIA],TablaSeleccionSupervisores[#Headers])))</f>
        <v>30504.98</v>
      </c>
      <c r="AC207" cm="1">
        <f t="array" ref="AC207">SUM(INDEX(TablaSeleccionSupervisores[],ROW(TablaSeleccionSupervisores[[#This Row],[ORDEN]])-1,_xlfn.XMATCH(TablaSupervisores[REFERENCIA],TablaSeleccionSupervisores[#Headers])))</f>
        <v>7</v>
      </c>
      <c r="AD207" t="str" cm="1">
        <f t="array" ref="AD207">IF(INDEX(TablaSeleccionSupervisores[],ROW(TablaSeleccionSupervisores[[#This Row],[ORDEN]])-1,_xlfn.XMATCH("ADMITIDO ADSLITE",TablaSeleccionSupervisores[#Headers])+1)=0,"Sí admitido","No admitido")</f>
        <v>No admitido</v>
      </c>
      <c r="AE207">
        <v>5</v>
      </c>
      <c r="AF207">
        <v>0</v>
      </c>
      <c r="AG207">
        <v>1</v>
      </c>
      <c r="AH207">
        <v>1</v>
      </c>
    </row>
    <row r="208" spans="22:34" x14ac:dyDescent="0.25">
      <c r="V208">
        <v>207</v>
      </c>
      <c r="W208" cm="1">
        <f t="array" ref="W208">SUM(TablaSupervisores[DISPOSITIVOS TOTAL]*INDEX(TablaSeleccionSupervisores[],ROW(TablaSeleccionSupervisores[[#This Row],[ORDEN]])-1,_xlfn.XMATCH(TablaSupervisores[REFERENCIA],TablaSeleccionSupervisores[#Headers])))</f>
        <v>3664</v>
      </c>
      <c r="X208" cm="1">
        <f t="array" ref="X208">SUM(TablaSupervisores[DISPOSITIVOS BACNET MS/TP JC]*INDEX(TablaSeleccionSupervisores[],ROW(TablaSeleccionSupervisores[[#This Row],[ORDEN]])-1,_xlfn.XMATCH(TablaSupervisores[REFERENCIA],TablaSeleccionSupervisores[#Headers])))</f>
        <v>1254</v>
      </c>
      <c r="Y208" cm="1">
        <f t="array" ref="Y208">SUM(TablaSupervisores[DISPOSITIVOS BACNET MS/TP COMPATIBLES]*INDEX(TablaSeleccionSupervisores[],ROW(TablaSeleccionSupervisores[[#This Row],[ORDEN]])-1,_xlfn.XMATCH(TablaSupervisores[REFERENCIA],TablaSeleccionSupervisores[#Headers])))</f>
        <v>804</v>
      </c>
      <c r="Z208" cm="1">
        <f t="array" ref="Z208">SUM(TablaSupervisores[DISPOSITIVOS BACNET IP]*INDEX(TablaSeleccionSupervisores[],ROW(TablaSeleccionSupervisores[[#This Row],[ORDEN]])-1,_xlfn.XMATCH(TablaSupervisores[REFERENCIA],TablaSeleccionSupervisores[#Headers])))</f>
        <v>2510</v>
      </c>
      <c r="AA208" cm="1">
        <f t="array" ref="AA208">SUM(TablaSupervisores[OBJETOS]*INDEX(TablaSeleccionSupervisores[],ROW(TablaSeleccionSupervisores[[#This Row],[ORDEN]])-1,_xlfn.XMATCH(TablaSupervisores[REFERENCIA],TablaSeleccionSupervisores[#Headers])))</f>
        <v>35000</v>
      </c>
      <c r="AB208" s="28" cm="1">
        <f t="array" ref="AB208">SUM(TablaSupervisores[COSTE]*INDEX(TablaSeleccionSupervisores[],ROW(TablaSeleccionSupervisores[[#This Row],[ORDEN]])-1,_xlfn.XMATCH(TablaSupervisores[REFERENCIA],TablaSeleccionSupervisores[#Headers])))</f>
        <v>36171.61</v>
      </c>
      <c r="AC208" cm="1">
        <f t="array" ref="AC208">SUM(INDEX(TablaSeleccionSupervisores[],ROW(TablaSeleccionSupervisores[[#This Row],[ORDEN]])-1,_xlfn.XMATCH(TablaSupervisores[REFERENCIA],TablaSeleccionSupervisores[#Headers])))</f>
        <v>8</v>
      </c>
      <c r="AD208" t="str" cm="1">
        <f t="array" ref="AD208">IF(INDEX(TablaSeleccionSupervisores[],ROW(TablaSeleccionSupervisores[[#This Row],[ORDEN]])-1,_xlfn.XMATCH("ADMITIDO ADSLITE",TablaSeleccionSupervisores[#Headers])+1)=0,"Sí admitido","No admitido")</f>
        <v>No admitido</v>
      </c>
      <c r="AE208">
        <v>6</v>
      </c>
      <c r="AF208">
        <v>0</v>
      </c>
      <c r="AG208">
        <v>1</v>
      </c>
      <c r="AH208">
        <v>1</v>
      </c>
    </row>
    <row r="209" spans="22:34" x14ac:dyDescent="0.25">
      <c r="V209">
        <v>208</v>
      </c>
      <c r="W209" cm="1">
        <f t="array" ref="W209">SUM(TablaSupervisores[DISPOSITIVOS TOTAL]*INDEX(TablaSeleccionSupervisores[],ROW(TablaSeleccionSupervisores[[#This Row],[ORDEN]])-1,_xlfn.XMATCH(TablaSupervisores[REFERENCIA],TablaSeleccionSupervisores[#Headers])))</f>
        <v>214</v>
      </c>
      <c r="X209" cm="1">
        <f t="array" ref="X209">SUM(TablaSupervisores[DISPOSITIVOS BACNET MS/TP JC]*INDEX(TablaSeleccionSupervisores[],ROW(TablaSeleccionSupervisores[[#This Row],[ORDEN]])-1,_xlfn.XMATCH(TablaSupervisores[REFERENCIA],TablaSeleccionSupervisores[#Headers])))</f>
        <v>154</v>
      </c>
      <c r="Y209" cm="1">
        <f t="array" ref="Y209">SUM(TablaSupervisores[DISPOSITIVOS BACNET MS/TP COMPATIBLES]*INDEX(TablaSeleccionSupervisores[],ROW(TablaSeleccionSupervisores[[#This Row],[ORDEN]])-1,_xlfn.XMATCH(TablaSupervisores[REFERENCIA],TablaSeleccionSupervisores[#Headers])))</f>
        <v>100</v>
      </c>
      <c r="Z209" cm="1">
        <f t="array" ref="Z209">SUM(TablaSupervisores[DISPOSITIVOS BACNET IP]*INDEX(TablaSeleccionSupervisores[],ROW(TablaSeleccionSupervisores[[#This Row],[ORDEN]])-1,_xlfn.XMATCH(TablaSupervisores[REFERENCIA],TablaSeleccionSupervisores[#Headers])))</f>
        <v>310</v>
      </c>
      <c r="AA209" cm="1">
        <f t="array" ref="AA209">SUM(TablaSupervisores[OBJETOS]*INDEX(TablaSeleccionSupervisores[],ROW(TablaSeleccionSupervisores[[#This Row],[ORDEN]])-1,_xlfn.XMATCH(TablaSupervisores[REFERENCIA],TablaSeleccionSupervisores[#Headers])))</f>
        <v>7500</v>
      </c>
      <c r="AB209" s="28" cm="1">
        <f t="array" ref="AB209">SUM(TablaSupervisores[COSTE]*INDEX(TablaSeleccionSupervisores[],ROW(TablaSeleccionSupervisores[[#This Row],[ORDEN]])-1,_xlfn.XMATCH(TablaSupervisores[REFERENCIA],TablaSeleccionSupervisores[#Headers])))</f>
        <v>6160.56</v>
      </c>
      <c r="AC209" cm="1">
        <f t="array" ref="AC209">SUM(INDEX(TablaSeleccionSupervisores[],ROW(TablaSeleccionSupervisores[[#This Row],[ORDEN]])-1,_xlfn.XMATCH(TablaSupervisores[REFERENCIA],TablaSeleccionSupervisores[#Headers])))</f>
        <v>3</v>
      </c>
      <c r="AD209" t="str" cm="1">
        <f t="array" ref="AD209">IF(INDEX(TablaSeleccionSupervisores[],ROW(TablaSeleccionSupervisores[[#This Row],[ORDEN]])-1,_xlfn.XMATCH("ADMITIDO ADSLITE",TablaSeleccionSupervisores[#Headers])+1)=0,"Sí admitido","No admitido")</f>
        <v>Sí admitido</v>
      </c>
      <c r="AE209">
        <v>0</v>
      </c>
      <c r="AF209">
        <v>1</v>
      </c>
      <c r="AG209">
        <v>1</v>
      </c>
      <c r="AH209">
        <v>1</v>
      </c>
    </row>
    <row r="210" spans="22:34" x14ac:dyDescent="0.25">
      <c r="V210">
        <v>209</v>
      </c>
      <c r="W210" cm="1">
        <f t="array" ref="W210">SUM(TablaSupervisores[DISPOSITIVOS TOTAL]*INDEX(TablaSeleccionSupervisores[],ROW(TablaSeleccionSupervisores[[#This Row],[ORDEN]])-1,_xlfn.XMATCH(TablaSupervisores[REFERENCIA],TablaSeleccionSupervisores[#Headers])))</f>
        <v>814</v>
      </c>
      <c r="X210" cm="1">
        <f t="array" ref="X210">SUM(TablaSupervisores[DISPOSITIVOS BACNET MS/TP JC]*INDEX(TablaSeleccionSupervisores[],ROW(TablaSeleccionSupervisores[[#This Row],[ORDEN]])-1,_xlfn.XMATCH(TablaSupervisores[REFERENCIA],TablaSeleccionSupervisores[#Headers])))</f>
        <v>354</v>
      </c>
      <c r="Y210" cm="1">
        <f t="array" ref="Y210">SUM(TablaSupervisores[DISPOSITIVOS BACNET MS/TP COMPATIBLES]*INDEX(TablaSeleccionSupervisores[],ROW(TablaSeleccionSupervisores[[#This Row],[ORDEN]])-1,_xlfn.XMATCH(TablaSupervisores[REFERENCIA],TablaSeleccionSupervisores[#Headers])))</f>
        <v>228</v>
      </c>
      <c r="Z210" cm="1">
        <f t="array" ref="Z210">SUM(TablaSupervisores[DISPOSITIVOS BACNET IP]*INDEX(TablaSeleccionSupervisores[],ROW(TablaSeleccionSupervisores[[#This Row],[ORDEN]])-1,_xlfn.XMATCH(TablaSupervisores[REFERENCIA],TablaSeleccionSupervisores[#Headers])))</f>
        <v>710</v>
      </c>
      <c r="AA210" cm="1">
        <f t="array" ref="AA210">SUM(TablaSupervisores[OBJETOS]*INDEX(TablaSeleccionSupervisores[],ROW(TablaSeleccionSupervisores[[#This Row],[ORDEN]])-1,_xlfn.XMATCH(TablaSupervisores[REFERENCIA],TablaSeleccionSupervisores[#Headers])))</f>
        <v>12500</v>
      </c>
      <c r="AB210" s="28" cm="1">
        <f t="array" ref="AB210">SUM(TablaSupervisores[COSTE]*INDEX(TablaSeleccionSupervisores[],ROW(TablaSeleccionSupervisores[[#This Row],[ORDEN]])-1,_xlfn.XMATCH(TablaSupervisores[REFERENCIA],TablaSeleccionSupervisores[#Headers])))</f>
        <v>11827.19</v>
      </c>
      <c r="AC210" cm="1">
        <f t="array" ref="AC210">SUM(INDEX(TablaSeleccionSupervisores[],ROW(TablaSeleccionSupervisores[[#This Row],[ORDEN]])-1,_xlfn.XMATCH(TablaSupervisores[REFERENCIA],TablaSeleccionSupervisores[#Headers])))</f>
        <v>4</v>
      </c>
      <c r="AD210" t="str" cm="1">
        <f t="array" ref="AD210">IF(INDEX(TablaSeleccionSupervisores[],ROW(TablaSeleccionSupervisores[[#This Row],[ORDEN]])-1,_xlfn.XMATCH("ADMITIDO ADSLITE",TablaSeleccionSupervisores[#Headers])+1)=0,"Sí admitido","No admitido")</f>
        <v>No admitido</v>
      </c>
      <c r="AE210">
        <v>1</v>
      </c>
      <c r="AF210">
        <v>1</v>
      </c>
      <c r="AG210">
        <v>1</v>
      </c>
      <c r="AH210">
        <v>1</v>
      </c>
    </row>
    <row r="211" spans="22:34" x14ac:dyDescent="0.25">
      <c r="V211">
        <v>210</v>
      </c>
      <c r="W211" cm="1">
        <f t="array" ref="W211">SUM(TablaSupervisores[DISPOSITIVOS TOTAL]*INDEX(TablaSeleccionSupervisores[],ROW(TablaSeleccionSupervisores[[#This Row],[ORDEN]])-1,_xlfn.XMATCH(TablaSupervisores[REFERENCIA],TablaSeleccionSupervisores[#Headers])))</f>
        <v>1414</v>
      </c>
      <c r="X211" cm="1">
        <f t="array" ref="X211">SUM(TablaSupervisores[DISPOSITIVOS BACNET MS/TP JC]*INDEX(TablaSeleccionSupervisores[],ROW(TablaSeleccionSupervisores[[#This Row],[ORDEN]])-1,_xlfn.XMATCH(TablaSupervisores[REFERENCIA],TablaSeleccionSupervisores[#Headers])))</f>
        <v>554</v>
      </c>
      <c r="Y211" cm="1">
        <f t="array" ref="Y211">SUM(TablaSupervisores[DISPOSITIVOS BACNET MS/TP COMPATIBLES]*INDEX(TablaSeleccionSupervisores[],ROW(TablaSeleccionSupervisores[[#This Row],[ORDEN]])-1,_xlfn.XMATCH(TablaSupervisores[REFERENCIA],TablaSeleccionSupervisores[#Headers])))</f>
        <v>356</v>
      </c>
      <c r="Z211" cm="1">
        <f t="array" ref="Z211">SUM(TablaSupervisores[DISPOSITIVOS BACNET IP]*INDEX(TablaSeleccionSupervisores[],ROW(TablaSeleccionSupervisores[[#This Row],[ORDEN]])-1,_xlfn.XMATCH(TablaSupervisores[REFERENCIA],TablaSeleccionSupervisores[#Headers])))</f>
        <v>1110</v>
      </c>
      <c r="AA211" cm="1">
        <f t="array" ref="AA211">SUM(TablaSupervisores[OBJETOS]*INDEX(TablaSeleccionSupervisores[],ROW(TablaSeleccionSupervisores[[#This Row],[ORDEN]])-1,_xlfn.XMATCH(TablaSupervisores[REFERENCIA],TablaSeleccionSupervisores[#Headers])))</f>
        <v>17500</v>
      </c>
      <c r="AB211" s="28" cm="1">
        <f t="array" ref="AB211">SUM(TablaSupervisores[COSTE]*INDEX(TablaSeleccionSupervisores[],ROW(TablaSeleccionSupervisores[[#This Row],[ORDEN]])-1,_xlfn.XMATCH(TablaSupervisores[REFERENCIA],TablaSeleccionSupervisores[#Headers])))</f>
        <v>17493.82</v>
      </c>
      <c r="AC211" cm="1">
        <f t="array" ref="AC211">SUM(INDEX(TablaSeleccionSupervisores[],ROW(TablaSeleccionSupervisores[[#This Row],[ORDEN]])-1,_xlfn.XMATCH(TablaSupervisores[REFERENCIA],TablaSeleccionSupervisores[#Headers])))</f>
        <v>5</v>
      </c>
      <c r="AD211" t="str" cm="1">
        <f t="array" ref="AD211">IF(INDEX(TablaSeleccionSupervisores[],ROW(TablaSeleccionSupervisores[[#This Row],[ORDEN]])-1,_xlfn.XMATCH("ADMITIDO ADSLITE",TablaSeleccionSupervisores[#Headers])+1)=0,"Sí admitido","No admitido")</f>
        <v>No admitido</v>
      </c>
      <c r="AE211">
        <v>2</v>
      </c>
      <c r="AF211">
        <v>1</v>
      </c>
      <c r="AG211">
        <v>1</v>
      </c>
      <c r="AH211">
        <v>1</v>
      </c>
    </row>
    <row r="212" spans="22:34" x14ac:dyDescent="0.25">
      <c r="V212">
        <v>211</v>
      </c>
      <c r="W212" cm="1">
        <f t="array" ref="W212">SUM(TablaSupervisores[DISPOSITIVOS TOTAL]*INDEX(TablaSeleccionSupervisores[],ROW(TablaSeleccionSupervisores[[#This Row],[ORDEN]])-1,_xlfn.XMATCH(TablaSupervisores[REFERENCIA],TablaSeleccionSupervisores[#Headers])))</f>
        <v>2014</v>
      </c>
      <c r="X212" cm="1">
        <f t="array" ref="X212">SUM(TablaSupervisores[DISPOSITIVOS BACNET MS/TP JC]*INDEX(TablaSeleccionSupervisores[],ROW(TablaSeleccionSupervisores[[#This Row],[ORDEN]])-1,_xlfn.XMATCH(TablaSupervisores[REFERENCIA],TablaSeleccionSupervisores[#Headers])))</f>
        <v>754</v>
      </c>
      <c r="Y212" cm="1">
        <f t="array" ref="Y212">SUM(TablaSupervisores[DISPOSITIVOS BACNET MS/TP COMPATIBLES]*INDEX(TablaSeleccionSupervisores[],ROW(TablaSeleccionSupervisores[[#This Row],[ORDEN]])-1,_xlfn.XMATCH(TablaSupervisores[REFERENCIA],TablaSeleccionSupervisores[#Headers])))</f>
        <v>484</v>
      </c>
      <c r="Z212" cm="1">
        <f t="array" ref="Z212">SUM(TablaSupervisores[DISPOSITIVOS BACNET IP]*INDEX(TablaSeleccionSupervisores[],ROW(TablaSeleccionSupervisores[[#This Row],[ORDEN]])-1,_xlfn.XMATCH(TablaSupervisores[REFERENCIA],TablaSeleccionSupervisores[#Headers])))</f>
        <v>1510</v>
      </c>
      <c r="AA212" cm="1">
        <f t="array" ref="AA212">SUM(TablaSupervisores[OBJETOS]*INDEX(TablaSeleccionSupervisores[],ROW(TablaSeleccionSupervisores[[#This Row],[ORDEN]])-1,_xlfn.XMATCH(TablaSupervisores[REFERENCIA],TablaSeleccionSupervisores[#Headers])))</f>
        <v>22500</v>
      </c>
      <c r="AB212" s="28" cm="1">
        <f t="array" ref="AB212">SUM(TablaSupervisores[COSTE]*INDEX(TablaSeleccionSupervisores[],ROW(TablaSeleccionSupervisores[[#This Row],[ORDEN]])-1,_xlfn.XMATCH(TablaSupervisores[REFERENCIA],TablaSeleccionSupervisores[#Headers])))</f>
        <v>23160.449999999997</v>
      </c>
      <c r="AC212" cm="1">
        <f t="array" ref="AC212">SUM(INDEX(TablaSeleccionSupervisores[],ROW(TablaSeleccionSupervisores[[#This Row],[ORDEN]])-1,_xlfn.XMATCH(TablaSupervisores[REFERENCIA],TablaSeleccionSupervisores[#Headers])))</f>
        <v>6</v>
      </c>
      <c r="AD212" t="str" cm="1">
        <f t="array" ref="AD212">IF(INDEX(TablaSeleccionSupervisores[],ROW(TablaSeleccionSupervisores[[#This Row],[ORDEN]])-1,_xlfn.XMATCH("ADMITIDO ADSLITE",TablaSeleccionSupervisores[#Headers])+1)=0,"Sí admitido","No admitido")</f>
        <v>No admitido</v>
      </c>
      <c r="AE212">
        <v>3</v>
      </c>
      <c r="AF212">
        <v>1</v>
      </c>
      <c r="AG212">
        <v>1</v>
      </c>
      <c r="AH212">
        <v>1</v>
      </c>
    </row>
    <row r="213" spans="22:34" x14ac:dyDescent="0.25">
      <c r="V213">
        <v>212</v>
      </c>
      <c r="W213" cm="1">
        <f t="array" ref="W213">SUM(TablaSupervisores[DISPOSITIVOS TOTAL]*INDEX(TablaSeleccionSupervisores[],ROW(TablaSeleccionSupervisores[[#This Row],[ORDEN]])-1,_xlfn.XMATCH(TablaSupervisores[REFERENCIA],TablaSeleccionSupervisores[#Headers])))</f>
        <v>2614</v>
      </c>
      <c r="X213" cm="1">
        <f t="array" ref="X213">SUM(TablaSupervisores[DISPOSITIVOS BACNET MS/TP JC]*INDEX(TablaSeleccionSupervisores[],ROW(TablaSeleccionSupervisores[[#This Row],[ORDEN]])-1,_xlfn.XMATCH(TablaSupervisores[REFERENCIA],TablaSeleccionSupervisores[#Headers])))</f>
        <v>954</v>
      </c>
      <c r="Y213" cm="1">
        <f t="array" ref="Y213">SUM(TablaSupervisores[DISPOSITIVOS BACNET MS/TP COMPATIBLES]*INDEX(TablaSeleccionSupervisores[],ROW(TablaSeleccionSupervisores[[#This Row],[ORDEN]])-1,_xlfn.XMATCH(TablaSupervisores[REFERENCIA],TablaSeleccionSupervisores[#Headers])))</f>
        <v>612</v>
      </c>
      <c r="Z213" cm="1">
        <f t="array" ref="Z213">SUM(TablaSupervisores[DISPOSITIVOS BACNET IP]*INDEX(TablaSeleccionSupervisores[],ROW(TablaSeleccionSupervisores[[#This Row],[ORDEN]])-1,_xlfn.XMATCH(TablaSupervisores[REFERENCIA],TablaSeleccionSupervisores[#Headers])))</f>
        <v>1910</v>
      </c>
      <c r="AA213" cm="1">
        <f t="array" ref="AA213">SUM(TablaSupervisores[OBJETOS]*INDEX(TablaSeleccionSupervisores[],ROW(TablaSeleccionSupervisores[[#This Row],[ORDEN]])-1,_xlfn.XMATCH(TablaSupervisores[REFERENCIA],TablaSeleccionSupervisores[#Headers])))</f>
        <v>27500</v>
      </c>
      <c r="AB213" s="28" cm="1">
        <f t="array" ref="AB213">SUM(TablaSupervisores[COSTE]*INDEX(TablaSeleccionSupervisores[],ROW(TablaSeleccionSupervisores[[#This Row],[ORDEN]])-1,_xlfn.XMATCH(TablaSupervisores[REFERENCIA],TablaSeleccionSupervisores[#Headers])))</f>
        <v>28827.079999999998</v>
      </c>
      <c r="AC213" cm="1">
        <f t="array" ref="AC213">SUM(INDEX(TablaSeleccionSupervisores[],ROW(TablaSeleccionSupervisores[[#This Row],[ORDEN]])-1,_xlfn.XMATCH(TablaSupervisores[REFERENCIA],TablaSeleccionSupervisores[#Headers])))</f>
        <v>7</v>
      </c>
      <c r="AD213" t="str" cm="1">
        <f t="array" ref="AD213">IF(INDEX(TablaSeleccionSupervisores[],ROW(TablaSeleccionSupervisores[[#This Row],[ORDEN]])-1,_xlfn.XMATCH("ADMITIDO ADSLITE",TablaSeleccionSupervisores[#Headers])+1)=0,"Sí admitido","No admitido")</f>
        <v>No admitido</v>
      </c>
      <c r="AE213">
        <v>4</v>
      </c>
      <c r="AF213">
        <v>1</v>
      </c>
      <c r="AG213">
        <v>1</v>
      </c>
      <c r="AH213">
        <v>1</v>
      </c>
    </row>
    <row r="214" spans="22:34" x14ac:dyDescent="0.25">
      <c r="V214">
        <v>213</v>
      </c>
      <c r="W214" cm="1">
        <f t="array" ref="W214">SUM(TablaSupervisores[DISPOSITIVOS TOTAL]*INDEX(TablaSeleccionSupervisores[],ROW(TablaSeleccionSupervisores[[#This Row],[ORDEN]])-1,_xlfn.XMATCH(TablaSupervisores[REFERENCIA],TablaSeleccionSupervisores[#Headers])))</f>
        <v>3214</v>
      </c>
      <c r="X214" cm="1">
        <f t="array" ref="X214">SUM(TablaSupervisores[DISPOSITIVOS BACNET MS/TP JC]*INDEX(TablaSeleccionSupervisores[],ROW(TablaSeleccionSupervisores[[#This Row],[ORDEN]])-1,_xlfn.XMATCH(TablaSupervisores[REFERENCIA],TablaSeleccionSupervisores[#Headers])))</f>
        <v>1154</v>
      </c>
      <c r="Y214" cm="1">
        <f t="array" ref="Y214">SUM(TablaSupervisores[DISPOSITIVOS BACNET MS/TP COMPATIBLES]*INDEX(TablaSeleccionSupervisores[],ROW(TablaSeleccionSupervisores[[#This Row],[ORDEN]])-1,_xlfn.XMATCH(TablaSupervisores[REFERENCIA],TablaSeleccionSupervisores[#Headers])))</f>
        <v>740</v>
      </c>
      <c r="Z214" cm="1">
        <f t="array" ref="Z214">SUM(TablaSupervisores[DISPOSITIVOS BACNET IP]*INDEX(TablaSeleccionSupervisores[],ROW(TablaSeleccionSupervisores[[#This Row],[ORDEN]])-1,_xlfn.XMATCH(TablaSupervisores[REFERENCIA],TablaSeleccionSupervisores[#Headers])))</f>
        <v>2310</v>
      </c>
      <c r="AA214" cm="1">
        <f t="array" ref="AA214">SUM(TablaSupervisores[OBJETOS]*INDEX(TablaSeleccionSupervisores[],ROW(TablaSeleccionSupervisores[[#This Row],[ORDEN]])-1,_xlfn.XMATCH(TablaSupervisores[REFERENCIA],TablaSeleccionSupervisores[#Headers])))</f>
        <v>32500</v>
      </c>
      <c r="AB214" s="28" cm="1">
        <f t="array" ref="AB214">SUM(TablaSupervisores[COSTE]*INDEX(TablaSeleccionSupervisores[],ROW(TablaSeleccionSupervisores[[#This Row],[ORDEN]])-1,_xlfn.XMATCH(TablaSupervisores[REFERENCIA],TablaSeleccionSupervisores[#Headers])))</f>
        <v>34493.71</v>
      </c>
      <c r="AC214" cm="1">
        <f t="array" ref="AC214">SUM(INDEX(TablaSeleccionSupervisores[],ROW(TablaSeleccionSupervisores[[#This Row],[ORDEN]])-1,_xlfn.XMATCH(TablaSupervisores[REFERENCIA],TablaSeleccionSupervisores[#Headers])))</f>
        <v>8</v>
      </c>
      <c r="AD214" t="str" cm="1">
        <f t="array" ref="AD214">IF(INDEX(TablaSeleccionSupervisores[],ROW(TablaSeleccionSupervisores[[#This Row],[ORDEN]])-1,_xlfn.XMATCH("ADMITIDO ADSLITE",TablaSeleccionSupervisores[#Headers])+1)=0,"Sí admitido","No admitido")</f>
        <v>No admitido</v>
      </c>
      <c r="AE214">
        <v>5</v>
      </c>
      <c r="AF214">
        <v>1</v>
      </c>
      <c r="AG214">
        <v>1</v>
      </c>
      <c r="AH214">
        <v>1</v>
      </c>
    </row>
    <row r="215" spans="22:34" x14ac:dyDescent="0.25">
      <c r="V215">
        <v>214</v>
      </c>
      <c r="W215" cm="1">
        <f t="array" ref="W215">SUM(TablaSupervisores[DISPOSITIVOS TOTAL]*INDEX(TablaSeleccionSupervisores[],ROW(TablaSeleccionSupervisores[[#This Row],[ORDEN]])-1,_xlfn.XMATCH(TablaSupervisores[REFERENCIA],TablaSeleccionSupervisores[#Headers])))</f>
        <v>364</v>
      </c>
      <c r="X215" cm="1">
        <f t="array" ref="X215">SUM(TablaSupervisores[DISPOSITIVOS BACNET MS/TP JC]*INDEX(TablaSeleccionSupervisores[],ROW(TablaSeleccionSupervisores[[#This Row],[ORDEN]])-1,_xlfn.XMATCH(TablaSupervisores[REFERENCIA],TablaSeleccionSupervisores[#Headers])))</f>
        <v>254</v>
      </c>
      <c r="Y215" cm="1">
        <f t="array" ref="Y215">SUM(TablaSupervisores[DISPOSITIVOS BACNET MS/TP COMPATIBLES]*INDEX(TablaSeleccionSupervisores[],ROW(TablaSeleccionSupervisores[[#This Row],[ORDEN]])-1,_xlfn.XMATCH(TablaSupervisores[REFERENCIA],TablaSeleccionSupervisores[#Headers])))</f>
        <v>164</v>
      </c>
      <c r="Z215" cm="1">
        <f t="array" ref="Z215">SUM(TablaSupervisores[DISPOSITIVOS BACNET IP]*INDEX(TablaSeleccionSupervisores[],ROW(TablaSeleccionSupervisores[[#This Row],[ORDEN]])-1,_xlfn.XMATCH(TablaSupervisores[REFERENCIA],TablaSeleccionSupervisores[#Headers])))</f>
        <v>510</v>
      </c>
      <c r="AA215" cm="1">
        <f t="array" ref="AA215">SUM(TablaSupervisores[OBJETOS]*INDEX(TablaSeleccionSupervisores[],ROW(TablaSeleccionSupervisores[[#This Row],[ORDEN]])-1,_xlfn.XMATCH(TablaSupervisores[REFERENCIA],TablaSeleccionSupervisores[#Headers])))</f>
        <v>10000</v>
      </c>
      <c r="AB215" s="28" cm="1">
        <f t="array" ref="AB215">SUM(TablaSupervisores[COSTE]*INDEX(TablaSeleccionSupervisores[],ROW(TablaSeleccionSupervisores[[#This Row],[ORDEN]])-1,_xlfn.XMATCH(TablaSupervisores[REFERENCIA],TablaSeleccionSupervisores[#Headers])))</f>
        <v>10149.290000000001</v>
      </c>
      <c r="AC215" cm="1">
        <f t="array" ref="AC215">SUM(INDEX(TablaSeleccionSupervisores[],ROW(TablaSeleccionSupervisores[[#This Row],[ORDEN]])-1,_xlfn.XMATCH(TablaSupervisores[REFERENCIA],TablaSeleccionSupervisores[#Headers])))</f>
        <v>4</v>
      </c>
      <c r="AD215" t="str" cm="1">
        <f t="array" ref="AD215">IF(INDEX(TablaSeleccionSupervisores[],ROW(TablaSeleccionSupervisores[[#This Row],[ORDEN]])-1,_xlfn.XMATCH("ADMITIDO ADSLITE",TablaSeleccionSupervisores[#Headers])+1)=0,"Sí admitido","No admitido")</f>
        <v>Sí admitido</v>
      </c>
      <c r="AE215">
        <v>0</v>
      </c>
      <c r="AF215">
        <v>2</v>
      </c>
      <c r="AG215">
        <v>1</v>
      </c>
      <c r="AH215">
        <v>1</v>
      </c>
    </row>
    <row r="216" spans="22:34" x14ac:dyDescent="0.25">
      <c r="V216">
        <v>215</v>
      </c>
      <c r="W216" cm="1">
        <f t="array" ref="W216">SUM(TablaSupervisores[DISPOSITIVOS TOTAL]*INDEX(TablaSeleccionSupervisores[],ROW(TablaSeleccionSupervisores[[#This Row],[ORDEN]])-1,_xlfn.XMATCH(TablaSupervisores[REFERENCIA],TablaSeleccionSupervisores[#Headers])))</f>
        <v>964</v>
      </c>
      <c r="X216" cm="1">
        <f t="array" ref="X216">SUM(TablaSupervisores[DISPOSITIVOS BACNET MS/TP JC]*INDEX(TablaSeleccionSupervisores[],ROW(TablaSeleccionSupervisores[[#This Row],[ORDEN]])-1,_xlfn.XMATCH(TablaSupervisores[REFERENCIA],TablaSeleccionSupervisores[#Headers])))</f>
        <v>454</v>
      </c>
      <c r="Y216" cm="1">
        <f t="array" ref="Y216">SUM(TablaSupervisores[DISPOSITIVOS BACNET MS/TP COMPATIBLES]*INDEX(TablaSeleccionSupervisores[],ROW(TablaSeleccionSupervisores[[#This Row],[ORDEN]])-1,_xlfn.XMATCH(TablaSupervisores[REFERENCIA],TablaSeleccionSupervisores[#Headers])))</f>
        <v>292</v>
      </c>
      <c r="Z216" cm="1">
        <f t="array" ref="Z216">SUM(TablaSupervisores[DISPOSITIVOS BACNET IP]*INDEX(TablaSeleccionSupervisores[],ROW(TablaSeleccionSupervisores[[#This Row],[ORDEN]])-1,_xlfn.XMATCH(TablaSupervisores[REFERENCIA],TablaSeleccionSupervisores[#Headers])))</f>
        <v>910</v>
      </c>
      <c r="AA216" cm="1">
        <f t="array" ref="AA216">SUM(TablaSupervisores[OBJETOS]*INDEX(TablaSeleccionSupervisores[],ROW(TablaSeleccionSupervisores[[#This Row],[ORDEN]])-1,_xlfn.XMATCH(TablaSupervisores[REFERENCIA],TablaSeleccionSupervisores[#Headers])))</f>
        <v>15000</v>
      </c>
      <c r="AB216" s="28" cm="1">
        <f t="array" ref="AB216">SUM(TablaSupervisores[COSTE]*INDEX(TablaSeleccionSupervisores[],ROW(TablaSeleccionSupervisores[[#This Row],[ORDEN]])-1,_xlfn.XMATCH(TablaSupervisores[REFERENCIA],TablaSeleccionSupervisores[#Headers])))</f>
        <v>15815.92</v>
      </c>
      <c r="AC216" cm="1">
        <f t="array" ref="AC216">SUM(INDEX(TablaSeleccionSupervisores[],ROW(TablaSeleccionSupervisores[[#This Row],[ORDEN]])-1,_xlfn.XMATCH(TablaSupervisores[REFERENCIA],TablaSeleccionSupervisores[#Headers])))</f>
        <v>5</v>
      </c>
      <c r="AD216" t="str" cm="1">
        <f t="array" ref="AD216">IF(INDEX(TablaSeleccionSupervisores[],ROW(TablaSeleccionSupervisores[[#This Row],[ORDEN]])-1,_xlfn.XMATCH("ADMITIDO ADSLITE",TablaSeleccionSupervisores[#Headers])+1)=0,"Sí admitido","No admitido")</f>
        <v>No admitido</v>
      </c>
      <c r="AE216">
        <v>1</v>
      </c>
      <c r="AF216">
        <v>2</v>
      </c>
      <c r="AG216">
        <v>1</v>
      </c>
      <c r="AH216">
        <v>1</v>
      </c>
    </row>
    <row r="217" spans="22:34" x14ac:dyDescent="0.25">
      <c r="V217">
        <v>216</v>
      </c>
      <c r="W217" cm="1">
        <f t="array" ref="W217">SUM(TablaSupervisores[DISPOSITIVOS TOTAL]*INDEX(TablaSeleccionSupervisores[],ROW(TablaSeleccionSupervisores[[#This Row],[ORDEN]])-1,_xlfn.XMATCH(TablaSupervisores[REFERENCIA],TablaSeleccionSupervisores[#Headers])))</f>
        <v>1564</v>
      </c>
      <c r="X217" cm="1">
        <f t="array" ref="X217">SUM(TablaSupervisores[DISPOSITIVOS BACNET MS/TP JC]*INDEX(TablaSeleccionSupervisores[],ROW(TablaSeleccionSupervisores[[#This Row],[ORDEN]])-1,_xlfn.XMATCH(TablaSupervisores[REFERENCIA],TablaSeleccionSupervisores[#Headers])))</f>
        <v>654</v>
      </c>
      <c r="Y217" cm="1">
        <f t="array" ref="Y217">SUM(TablaSupervisores[DISPOSITIVOS BACNET MS/TP COMPATIBLES]*INDEX(TablaSeleccionSupervisores[],ROW(TablaSeleccionSupervisores[[#This Row],[ORDEN]])-1,_xlfn.XMATCH(TablaSupervisores[REFERENCIA],TablaSeleccionSupervisores[#Headers])))</f>
        <v>420</v>
      </c>
      <c r="Z217" cm="1">
        <f t="array" ref="Z217">SUM(TablaSupervisores[DISPOSITIVOS BACNET IP]*INDEX(TablaSeleccionSupervisores[],ROW(TablaSeleccionSupervisores[[#This Row],[ORDEN]])-1,_xlfn.XMATCH(TablaSupervisores[REFERENCIA],TablaSeleccionSupervisores[#Headers])))</f>
        <v>1310</v>
      </c>
      <c r="AA217" cm="1">
        <f t="array" ref="AA217">SUM(TablaSupervisores[OBJETOS]*INDEX(TablaSeleccionSupervisores[],ROW(TablaSeleccionSupervisores[[#This Row],[ORDEN]])-1,_xlfn.XMATCH(TablaSupervisores[REFERENCIA],TablaSeleccionSupervisores[#Headers])))</f>
        <v>20000</v>
      </c>
      <c r="AB217" s="28" cm="1">
        <f t="array" ref="AB217">SUM(TablaSupervisores[COSTE]*INDEX(TablaSeleccionSupervisores[],ROW(TablaSeleccionSupervisores[[#This Row],[ORDEN]])-1,_xlfn.XMATCH(TablaSupervisores[REFERENCIA],TablaSeleccionSupervisores[#Headers])))</f>
        <v>21482.55</v>
      </c>
      <c r="AC217" cm="1">
        <f t="array" ref="AC217">SUM(INDEX(TablaSeleccionSupervisores[],ROW(TablaSeleccionSupervisores[[#This Row],[ORDEN]])-1,_xlfn.XMATCH(TablaSupervisores[REFERENCIA],TablaSeleccionSupervisores[#Headers])))</f>
        <v>6</v>
      </c>
      <c r="AD217" t="str" cm="1">
        <f t="array" ref="AD217">IF(INDEX(TablaSeleccionSupervisores[],ROW(TablaSeleccionSupervisores[[#This Row],[ORDEN]])-1,_xlfn.XMATCH("ADMITIDO ADSLITE",TablaSeleccionSupervisores[#Headers])+1)=0,"Sí admitido","No admitido")</f>
        <v>No admitido</v>
      </c>
      <c r="AE217">
        <v>2</v>
      </c>
      <c r="AF217">
        <v>2</v>
      </c>
      <c r="AG217">
        <v>1</v>
      </c>
      <c r="AH217">
        <v>1</v>
      </c>
    </row>
    <row r="218" spans="22:34" x14ac:dyDescent="0.25">
      <c r="V218">
        <v>217</v>
      </c>
      <c r="W218" cm="1">
        <f t="array" ref="W218">SUM(TablaSupervisores[DISPOSITIVOS TOTAL]*INDEX(TablaSeleccionSupervisores[],ROW(TablaSeleccionSupervisores[[#This Row],[ORDEN]])-1,_xlfn.XMATCH(TablaSupervisores[REFERENCIA],TablaSeleccionSupervisores[#Headers])))</f>
        <v>2164</v>
      </c>
      <c r="X218" cm="1">
        <f t="array" ref="X218">SUM(TablaSupervisores[DISPOSITIVOS BACNET MS/TP JC]*INDEX(TablaSeleccionSupervisores[],ROW(TablaSeleccionSupervisores[[#This Row],[ORDEN]])-1,_xlfn.XMATCH(TablaSupervisores[REFERENCIA],TablaSeleccionSupervisores[#Headers])))</f>
        <v>854</v>
      </c>
      <c r="Y218" cm="1">
        <f t="array" ref="Y218">SUM(TablaSupervisores[DISPOSITIVOS BACNET MS/TP COMPATIBLES]*INDEX(TablaSeleccionSupervisores[],ROW(TablaSeleccionSupervisores[[#This Row],[ORDEN]])-1,_xlfn.XMATCH(TablaSupervisores[REFERENCIA],TablaSeleccionSupervisores[#Headers])))</f>
        <v>548</v>
      </c>
      <c r="Z218" cm="1">
        <f t="array" ref="Z218">SUM(TablaSupervisores[DISPOSITIVOS BACNET IP]*INDEX(TablaSeleccionSupervisores[],ROW(TablaSeleccionSupervisores[[#This Row],[ORDEN]])-1,_xlfn.XMATCH(TablaSupervisores[REFERENCIA],TablaSeleccionSupervisores[#Headers])))</f>
        <v>1710</v>
      </c>
      <c r="AA218" cm="1">
        <f t="array" ref="AA218">SUM(TablaSupervisores[OBJETOS]*INDEX(TablaSeleccionSupervisores[],ROW(TablaSeleccionSupervisores[[#This Row],[ORDEN]])-1,_xlfn.XMATCH(TablaSupervisores[REFERENCIA],TablaSeleccionSupervisores[#Headers])))</f>
        <v>25000</v>
      </c>
      <c r="AB218" s="28" cm="1">
        <f t="array" ref="AB218">SUM(TablaSupervisores[COSTE]*INDEX(TablaSeleccionSupervisores[],ROW(TablaSeleccionSupervisores[[#This Row],[ORDEN]])-1,_xlfn.XMATCH(TablaSupervisores[REFERENCIA],TablaSeleccionSupervisores[#Headers])))</f>
        <v>27149.179999999997</v>
      </c>
      <c r="AC218" cm="1">
        <f t="array" ref="AC218">SUM(INDEX(TablaSeleccionSupervisores[],ROW(TablaSeleccionSupervisores[[#This Row],[ORDEN]])-1,_xlfn.XMATCH(TablaSupervisores[REFERENCIA],TablaSeleccionSupervisores[#Headers])))</f>
        <v>7</v>
      </c>
      <c r="AD218" t="str" cm="1">
        <f t="array" ref="AD218">IF(INDEX(TablaSeleccionSupervisores[],ROW(TablaSeleccionSupervisores[[#This Row],[ORDEN]])-1,_xlfn.XMATCH("ADMITIDO ADSLITE",TablaSeleccionSupervisores[#Headers])+1)=0,"Sí admitido","No admitido")</f>
        <v>No admitido</v>
      </c>
      <c r="AE218">
        <v>3</v>
      </c>
      <c r="AF218">
        <v>2</v>
      </c>
      <c r="AG218">
        <v>1</v>
      </c>
      <c r="AH218">
        <v>1</v>
      </c>
    </row>
    <row r="219" spans="22:34" x14ac:dyDescent="0.25">
      <c r="V219">
        <v>218</v>
      </c>
      <c r="W219" cm="1">
        <f t="array" ref="W219">SUM(TablaSupervisores[DISPOSITIVOS TOTAL]*INDEX(TablaSeleccionSupervisores[],ROW(TablaSeleccionSupervisores[[#This Row],[ORDEN]])-1,_xlfn.XMATCH(TablaSupervisores[REFERENCIA],TablaSeleccionSupervisores[#Headers])))</f>
        <v>2764</v>
      </c>
      <c r="X219" cm="1">
        <f t="array" ref="X219">SUM(TablaSupervisores[DISPOSITIVOS BACNET MS/TP JC]*INDEX(TablaSeleccionSupervisores[],ROW(TablaSeleccionSupervisores[[#This Row],[ORDEN]])-1,_xlfn.XMATCH(TablaSupervisores[REFERENCIA],TablaSeleccionSupervisores[#Headers])))</f>
        <v>1054</v>
      </c>
      <c r="Y219" cm="1">
        <f t="array" ref="Y219">SUM(TablaSupervisores[DISPOSITIVOS BACNET MS/TP COMPATIBLES]*INDEX(TablaSeleccionSupervisores[],ROW(TablaSeleccionSupervisores[[#This Row],[ORDEN]])-1,_xlfn.XMATCH(TablaSupervisores[REFERENCIA],TablaSeleccionSupervisores[#Headers])))</f>
        <v>676</v>
      </c>
      <c r="Z219" cm="1">
        <f t="array" ref="Z219">SUM(TablaSupervisores[DISPOSITIVOS BACNET IP]*INDEX(TablaSeleccionSupervisores[],ROW(TablaSeleccionSupervisores[[#This Row],[ORDEN]])-1,_xlfn.XMATCH(TablaSupervisores[REFERENCIA],TablaSeleccionSupervisores[#Headers])))</f>
        <v>2110</v>
      </c>
      <c r="AA219" cm="1">
        <f t="array" ref="AA219">SUM(TablaSupervisores[OBJETOS]*INDEX(TablaSeleccionSupervisores[],ROW(TablaSeleccionSupervisores[[#This Row],[ORDEN]])-1,_xlfn.XMATCH(TablaSupervisores[REFERENCIA],TablaSeleccionSupervisores[#Headers])))</f>
        <v>30000</v>
      </c>
      <c r="AB219" s="28" cm="1">
        <f t="array" ref="AB219">SUM(TablaSupervisores[COSTE]*INDEX(TablaSeleccionSupervisores[],ROW(TablaSeleccionSupervisores[[#This Row],[ORDEN]])-1,_xlfn.XMATCH(TablaSupervisores[REFERENCIA],TablaSeleccionSupervisores[#Headers])))</f>
        <v>32815.81</v>
      </c>
      <c r="AC219" cm="1">
        <f t="array" ref="AC219">SUM(INDEX(TablaSeleccionSupervisores[],ROW(TablaSeleccionSupervisores[[#This Row],[ORDEN]])-1,_xlfn.XMATCH(TablaSupervisores[REFERENCIA],TablaSeleccionSupervisores[#Headers])))</f>
        <v>8</v>
      </c>
      <c r="AD219" t="str" cm="1">
        <f t="array" ref="AD219">IF(INDEX(TablaSeleccionSupervisores[],ROW(TablaSeleccionSupervisores[[#This Row],[ORDEN]])-1,_xlfn.XMATCH("ADMITIDO ADSLITE",TablaSeleccionSupervisores[#Headers])+1)=0,"Sí admitido","No admitido")</f>
        <v>No admitido</v>
      </c>
      <c r="AE219">
        <v>4</v>
      </c>
      <c r="AF219">
        <v>2</v>
      </c>
      <c r="AG219">
        <v>1</v>
      </c>
      <c r="AH219">
        <v>1</v>
      </c>
    </row>
    <row r="220" spans="22:34" x14ac:dyDescent="0.25">
      <c r="V220">
        <v>219</v>
      </c>
      <c r="W220" cm="1">
        <f t="array" ref="W220">SUM(TablaSupervisores[DISPOSITIVOS TOTAL]*INDEX(TablaSeleccionSupervisores[],ROW(TablaSeleccionSupervisores[[#This Row],[ORDEN]])-1,_xlfn.XMATCH(TablaSupervisores[REFERENCIA],TablaSeleccionSupervisores[#Headers])))</f>
        <v>514</v>
      </c>
      <c r="X220" cm="1">
        <f t="array" ref="X220">SUM(TablaSupervisores[DISPOSITIVOS BACNET MS/TP JC]*INDEX(TablaSeleccionSupervisores[],ROW(TablaSeleccionSupervisores[[#This Row],[ORDEN]])-1,_xlfn.XMATCH(TablaSupervisores[REFERENCIA],TablaSeleccionSupervisores[#Headers])))</f>
        <v>354</v>
      </c>
      <c r="Y220" cm="1">
        <f t="array" ref="Y220">SUM(TablaSupervisores[DISPOSITIVOS BACNET MS/TP COMPATIBLES]*INDEX(TablaSeleccionSupervisores[],ROW(TablaSeleccionSupervisores[[#This Row],[ORDEN]])-1,_xlfn.XMATCH(TablaSupervisores[REFERENCIA],TablaSeleccionSupervisores[#Headers])))</f>
        <v>228</v>
      </c>
      <c r="Z220" cm="1">
        <f t="array" ref="Z220">SUM(TablaSupervisores[DISPOSITIVOS BACNET IP]*INDEX(TablaSeleccionSupervisores[],ROW(TablaSeleccionSupervisores[[#This Row],[ORDEN]])-1,_xlfn.XMATCH(TablaSupervisores[REFERENCIA],TablaSeleccionSupervisores[#Headers])))</f>
        <v>710</v>
      </c>
      <c r="AA220" cm="1">
        <f t="array" ref="AA220">SUM(TablaSupervisores[OBJETOS]*INDEX(TablaSeleccionSupervisores[],ROW(TablaSeleccionSupervisores[[#This Row],[ORDEN]])-1,_xlfn.XMATCH(TablaSupervisores[REFERENCIA],TablaSeleccionSupervisores[#Headers])))</f>
        <v>12500</v>
      </c>
      <c r="AB220" s="28" cm="1">
        <f t="array" ref="AB220">SUM(TablaSupervisores[COSTE]*INDEX(TablaSeleccionSupervisores[],ROW(TablaSeleccionSupervisores[[#This Row],[ORDEN]])-1,_xlfn.XMATCH(TablaSupervisores[REFERENCIA],TablaSeleccionSupervisores[#Headers])))</f>
        <v>14138.02</v>
      </c>
      <c r="AC220" cm="1">
        <f t="array" ref="AC220">SUM(INDEX(TablaSeleccionSupervisores[],ROW(TablaSeleccionSupervisores[[#This Row],[ORDEN]])-1,_xlfn.XMATCH(TablaSupervisores[REFERENCIA],TablaSeleccionSupervisores[#Headers])))</f>
        <v>5</v>
      </c>
      <c r="AD220" t="str" cm="1">
        <f t="array" ref="AD220">IF(INDEX(TablaSeleccionSupervisores[],ROW(TablaSeleccionSupervisores[[#This Row],[ORDEN]])-1,_xlfn.XMATCH("ADMITIDO ADSLITE",TablaSeleccionSupervisores[#Headers])+1)=0,"Sí admitido","No admitido")</f>
        <v>Sí admitido</v>
      </c>
      <c r="AE220">
        <v>0</v>
      </c>
      <c r="AF220">
        <v>3</v>
      </c>
      <c r="AG220">
        <v>1</v>
      </c>
      <c r="AH220">
        <v>1</v>
      </c>
    </row>
    <row r="221" spans="22:34" x14ac:dyDescent="0.25">
      <c r="V221">
        <v>220</v>
      </c>
      <c r="W221" cm="1">
        <f t="array" ref="W221">SUM(TablaSupervisores[DISPOSITIVOS TOTAL]*INDEX(TablaSeleccionSupervisores[],ROW(TablaSeleccionSupervisores[[#This Row],[ORDEN]])-1,_xlfn.XMATCH(TablaSupervisores[REFERENCIA],TablaSeleccionSupervisores[#Headers])))</f>
        <v>1114</v>
      </c>
      <c r="X221" cm="1">
        <f t="array" ref="X221">SUM(TablaSupervisores[DISPOSITIVOS BACNET MS/TP JC]*INDEX(TablaSeleccionSupervisores[],ROW(TablaSeleccionSupervisores[[#This Row],[ORDEN]])-1,_xlfn.XMATCH(TablaSupervisores[REFERENCIA],TablaSeleccionSupervisores[#Headers])))</f>
        <v>554</v>
      </c>
      <c r="Y221" cm="1">
        <f t="array" ref="Y221">SUM(TablaSupervisores[DISPOSITIVOS BACNET MS/TP COMPATIBLES]*INDEX(TablaSeleccionSupervisores[],ROW(TablaSeleccionSupervisores[[#This Row],[ORDEN]])-1,_xlfn.XMATCH(TablaSupervisores[REFERENCIA],TablaSeleccionSupervisores[#Headers])))</f>
        <v>356</v>
      </c>
      <c r="Z221" cm="1">
        <f t="array" ref="Z221">SUM(TablaSupervisores[DISPOSITIVOS BACNET IP]*INDEX(TablaSeleccionSupervisores[],ROW(TablaSeleccionSupervisores[[#This Row],[ORDEN]])-1,_xlfn.XMATCH(TablaSupervisores[REFERENCIA],TablaSeleccionSupervisores[#Headers])))</f>
        <v>1110</v>
      </c>
      <c r="AA221" cm="1">
        <f t="array" ref="AA221">SUM(TablaSupervisores[OBJETOS]*INDEX(TablaSeleccionSupervisores[],ROW(TablaSeleccionSupervisores[[#This Row],[ORDEN]])-1,_xlfn.XMATCH(TablaSupervisores[REFERENCIA],TablaSeleccionSupervisores[#Headers])))</f>
        <v>17500</v>
      </c>
      <c r="AB221" s="28" cm="1">
        <f t="array" ref="AB221">SUM(TablaSupervisores[COSTE]*INDEX(TablaSeleccionSupervisores[],ROW(TablaSeleccionSupervisores[[#This Row],[ORDEN]])-1,_xlfn.XMATCH(TablaSupervisores[REFERENCIA],TablaSeleccionSupervisores[#Headers])))</f>
        <v>19804.649999999998</v>
      </c>
      <c r="AC221" cm="1">
        <f t="array" ref="AC221">SUM(INDEX(TablaSeleccionSupervisores[],ROW(TablaSeleccionSupervisores[[#This Row],[ORDEN]])-1,_xlfn.XMATCH(TablaSupervisores[REFERENCIA],TablaSeleccionSupervisores[#Headers])))</f>
        <v>6</v>
      </c>
      <c r="AD221" t="str" cm="1">
        <f t="array" ref="AD221">IF(INDEX(TablaSeleccionSupervisores[],ROW(TablaSeleccionSupervisores[[#This Row],[ORDEN]])-1,_xlfn.XMATCH("ADMITIDO ADSLITE",TablaSeleccionSupervisores[#Headers])+1)=0,"Sí admitido","No admitido")</f>
        <v>No admitido</v>
      </c>
      <c r="AE221">
        <v>1</v>
      </c>
      <c r="AF221">
        <v>3</v>
      </c>
      <c r="AG221">
        <v>1</v>
      </c>
      <c r="AH221">
        <v>1</v>
      </c>
    </row>
    <row r="222" spans="22:34" x14ac:dyDescent="0.25">
      <c r="V222">
        <v>221</v>
      </c>
      <c r="W222" cm="1">
        <f t="array" ref="W222">SUM(TablaSupervisores[DISPOSITIVOS TOTAL]*INDEX(TablaSeleccionSupervisores[],ROW(TablaSeleccionSupervisores[[#This Row],[ORDEN]])-1,_xlfn.XMATCH(TablaSupervisores[REFERENCIA],TablaSeleccionSupervisores[#Headers])))</f>
        <v>1714</v>
      </c>
      <c r="X222" cm="1">
        <f t="array" ref="X222">SUM(TablaSupervisores[DISPOSITIVOS BACNET MS/TP JC]*INDEX(TablaSeleccionSupervisores[],ROW(TablaSeleccionSupervisores[[#This Row],[ORDEN]])-1,_xlfn.XMATCH(TablaSupervisores[REFERENCIA],TablaSeleccionSupervisores[#Headers])))</f>
        <v>754</v>
      </c>
      <c r="Y222" cm="1">
        <f t="array" ref="Y222">SUM(TablaSupervisores[DISPOSITIVOS BACNET MS/TP COMPATIBLES]*INDEX(TablaSeleccionSupervisores[],ROW(TablaSeleccionSupervisores[[#This Row],[ORDEN]])-1,_xlfn.XMATCH(TablaSupervisores[REFERENCIA],TablaSeleccionSupervisores[#Headers])))</f>
        <v>484</v>
      </c>
      <c r="Z222" cm="1">
        <f t="array" ref="Z222">SUM(TablaSupervisores[DISPOSITIVOS BACNET IP]*INDEX(TablaSeleccionSupervisores[],ROW(TablaSeleccionSupervisores[[#This Row],[ORDEN]])-1,_xlfn.XMATCH(TablaSupervisores[REFERENCIA],TablaSeleccionSupervisores[#Headers])))</f>
        <v>1510</v>
      </c>
      <c r="AA222" cm="1">
        <f t="array" ref="AA222">SUM(TablaSupervisores[OBJETOS]*INDEX(TablaSeleccionSupervisores[],ROW(TablaSeleccionSupervisores[[#This Row],[ORDEN]])-1,_xlfn.XMATCH(TablaSupervisores[REFERENCIA],TablaSeleccionSupervisores[#Headers])))</f>
        <v>22500</v>
      </c>
      <c r="AB222" s="28" cm="1">
        <f t="array" ref="AB222">SUM(TablaSupervisores[COSTE]*INDEX(TablaSeleccionSupervisores[],ROW(TablaSeleccionSupervisores[[#This Row],[ORDEN]])-1,_xlfn.XMATCH(TablaSupervisores[REFERENCIA],TablaSeleccionSupervisores[#Headers])))</f>
        <v>25471.279999999999</v>
      </c>
      <c r="AC222" cm="1">
        <f t="array" ref="AC222">SUM(INDEX(TablaSeleccionSupervisores[],ROW(TablaSeleccionSupervisores[[#This Row],[ORDEN]])-1,_xlfn.XMATCH(TablaSupervisores[REFERENCIA],TablaSeleccionSupervisores[#Headers])))</f>
        <v>7</v>
      </c>
      <c r="AD222" t="str" cm="1">
        <f t="array" ref="AD222">IF(INDEX(TablaSeleccionSupervisores[],ROW(TablaSeleccionSupervisores[[#This Row],[ORDEN]])-1,_xlfn.XMATCH("ADMITIDO ADSLITE",TablaSeleccionSupervisores[#Headers])+1)=0,"Sí admitido","No admitido")</f>
        <v>No admitido</v>
      </c>
      <c r="AE222">
        <v>2</v>
      </c>
      <c r="AF222">
        <v>3</v>
      </c>
      <c r="AG222">
        <v>1</v>
      </c>
      <c r="AH222">
        <v>1</v>
      </c>
    </row>
    <row r="223" spans="22:34" x14ac:dyDescent="0.25">
      <c r="V223">
        <v>222</v>
      </c>
      <c r="W223" cm="1">
        <f t="array" ref="W223">SUM(TablaSupervisores[DISPOSITIVOS TOTAL]*INDEX(TablaSeleccionSupervisores[],ROW(TablaSeleccionSupervisores[[#This Row],[ORDEN]])-1,_xlfn.XMATCH(TablaSupervisores[REFERENCIA],TablaSeleccionSupervisores[#Headers])))</f>
        <v>2314</v>
      </c>
      <c r="X223" cm="1">
        <f t="array" ref="X223">SUM(TablaSupervisores[DISPOSITIVOS BACNET MS/TP JC]*INDEX(TablaSeleccionSupervisores[],ROW(TablaSeleccionSupervisores[[#This Row],[ORDEN]])-1,_xlfn.XMATCH(TablaSupervisores[REFERENCIA],TablaSeleccionSupervisores[#Headers])))</f>
        <v>954</v>
      </c>
      <c r="Y223" cm="1">
        <f t="array" ref="Y223">SUM(TablaSupervisores[DISPOSITIVOS BACNET MS/TP COMPATIBLES]*INDEX(TablaSeleccionSupervisores[],ROW(TablaSeleccionSupervisores[[#This Row],[ORDEN]])-1,_xlfn.XMATCH(TablaSupervisores[REFERENCIA],TablaSeleccionSupervisores[#Headers])))</f>
        <v>612</v>
      </c>
      <c r="Z223" cm="1">
        <f t="array" ref="Z223">SUM(TablaSupervisores[DISPOSITIVOS BACNET IP]*INDEX(TablaSeleccionSupervisores[],ROW(TablaSeleccionSupervisores[[#This Row],[ORDEN]])-1,_xlfn.XMATCH(TablaSupervisores[REFERENCIA],TablaSeleccionSupervisores[#Headers])))</f>
        <v>1910</v>
      </c>
      <c r="AA223" cm="1">
        <f t="array" ref="AA223">SUM(TablaSupervisores[OBJETOS]*INDEX(TablaSeleccionSupervisores[],ROW(TablaSeleccionSupervisores[[#This Row],[ORDEN]])-1,_xlfn.XMATCH(TablaSupervisores[REFERENCIA],TablaSeleccionSupervisores[#Headers])))</f>
        <v>27500</v>
      </c>
      <c r="AB223" s="28" cm="1">
        <f t="array" ref="AB223">SUM(TablaSupervisores[COSTE]*INDEX(TablaSeleccionSupervisores[],ROW(TablaSeleccionSupervisores[[#This Row],[ORDEN]])-1,_xlfn.XMATCH(TablaSupervisores[REFERENCIA],TablaSeleccionSupervisores[#Headers])))</f>
        <v>31137.91</v>
      </c>
      <c r="AC223" cm="1">
        <f t="array" ref="AC223">SUM(INDEX(TablaSeleccionSupervisores[],ROW(TablaSeleccionSupervisores[[#This Row],[ORDEN]])-1,_xlfn.XMATCH(TablaSupervisores[REFERENCIA],TablaSeleccionSupervisores[#Headers])))</f>
        <v>8</v>
      </c>
      <c r="AD223" t="str" cm="1">
        <f t="array" ref="AD223">IF(INDEX(TablaSeleccionSupervisores[],ROW(TablaSeleccionSupervisores[[#This Row],[ORDEN]])-1,_xlfn.XMATCH("ADMITIDO ADSLITE",TablaSeleccionSupervisores[#Headers])+1)=0,"Sí admitido","No admitido")</f>
        <v>No admitido</v>
      </c>
      <c r="AE223">
        <v>3</v>
      </c>
      <c r="AF223">
        <v>3</v>
      </c>
      <c r="AG223">
        <v>1</v>
      </c>
      <c r="AH223">
        <v>1</v>
      </c>
    </row>
    <row r="224" spans="22:34" x14ac:dyDescent="0.25">
      <c r="V224">
        <v>223</v>
      </c>
      <c r="W224" cm="1">
        <f t="array" ref="W224">SUM(TablaSupervisores[DISPOSITIVOS TOTAL]*INDEX(TablaSeleccionSupervisores[],ROW(TablaSeleccionSupervisores[[#This Row],[ORDEN]])-1,_xlfn.XMATCH(TablaSupervisores[REFERENCIA],TablaSeleccionSupervisores[#Headers])))</f>
        <v>664</v>
      </c>
      <c r="X224" cm="1">
        <f t="array" ref="X224">SUM(TablaSupervisores[DISPOSITIVOS BACNET MS/TP JC]*INDEX(TablaSeleccionSupervisores[],ROW(TablaSeleccionSupervisores[[#This Row],[ORDEN]])-1,_xlfn.XMATCH(TablaSupervisores[REFERENCIA],TablaSeleccionSupervisores[#Headers])))</f>
        <v>454</v>
      </c>
      <c r="Y224" cm="1">
        <f t="array" ref="Y224">SUM(TablaSupervisores[DISPOSITIVOS BACNET MS/TP COMPATIBLES]*INDEX(TablaSeleccionSupervisores[],ROW(TablaSeleccionSupervisores[[#This Row],[ORDEN]])-1,_xlfn.XMATCH(TablaSupervisores[REFERENCIA],TablaSeleccionSupervisores[#Headers])))</f>
        <v>292</v>
      </c>
      <c r="Z224" cm="1">
        <f t="array" ref="Z224">SUM(TablaSupervisores[DISPOSITIVOS BACNET IP]*INDEX(TablaSeleccionSupervisores[],ROW(TablaSeleccionSupervisores[[#This Row],[ORDEN]])-1,_xlfn.XMATCH(TablaSupervisores[REFERENCIA],TablaSeleccionSupervisores[#Headers])))</f>
        <v>910</v>
      </c>
      <c r="AA224" cm="1">
        <f t="array" ref="AA224">SUM(TablaSupervisores[OBJETOS]*INDEX(TablaSeleccionSupervisores[],ROW(TablaSeleccionSupervisores[[#This Row],[ORDEN]])-1,_xlfn.XMATCH(TablaSupervisores[REFERENCIA],TablaSeleccionSupervisores[#Headers])))</f>
        <v>15000</v>
      </c>
      <c r="AB224" s="28" cm="1">
        <f t="array" ref="AB224">SUM(TablaSupervisores[COSTE]*INDEX(TablaSeleccionSupervisores[],ROW(TablaSeleccionSupervisores[[#This Row],[ORDEN]])-1,_xlfn.XMATCH(TablaSupervisores[REFERENCIA],TablaSeleccionSupervisores[#Headers])))</f>
        <v>18126.75</v>
      </c>
      <c r="AC224" cm="1">
        <f t="array" ref="AC224">SUM(INDEX(TablaSeleccionSupervisores[],ROW(TablaSeleccionSupervisores[[#This Row],[ORDEN]])-1,_xlfn.XMATCH(TablaSupervisores[REFERENCIA],TablaSeleccionSupervisores[#Headers])))</f>
        <v>6</v>
      </c>
      <c r="AD224" t="str" cm="1">
        <f t="array" ref="AD224">IF(INDEX(TablaSeleccionSupervisores[],ROW(TablaSeleccionSupervisores[[#This Row],[ORDEN]])-1,_xlfn.XMATCH("ADMITIDO ADSLITE",TablaSeleccionSupervisores[#Headers])+1)=0,"Sí admitido","No admitido")</f>
        <v>Sí admitido</v>
      </c>
      <c r="AE224">
        <v>0</v>
      </c>
      <c r="AF224">
        <v>4</v>
      </c>
      <c r="AG224">
        <v>1</v>
      </c>
      <c r="AH224">
        <v>1</v>
      </c>
    </row>
    <row r="225" spans="22:34" x14ac:dyDescent="0.25">
      <c r="V225">
        <v>224</v>
      </c>
      <c r="W225" cm="1">
        <f t="array" ref="W225">SUM(TablaSupervisores[DISPOSITIVOS TOTAL]*INDEX(TablaSeleccionSupervisores[],ROW(TablaSeleccionSupervisores[[#This Row],[ORDEN]])-1,_xlfn.XMATCH(TablaSupervisores[REFERENCIA],TablaSeleccionSupervisores[#Headers])))</f>
        <v>1264</v>
      </c>
      <c r="X225" cm="1">
        <f t="array" ref="X225">SUM(TablaSupervisores[DISPOSITIVOS BACNET MS/TP JC]*INDEX(TablaSeleccionSupervisores[],ROW(TablaSeleccionSupervisores[[#This Row],[ORDEN]])-1,_xlfn.XMATCH(TablaSupervisores[REFERENCIA],TablaSeleccionSupervisores[#Headers])))</f>
        <v>654</v>
      </c>
      <c r="Y225" cm="1">
        <f t="array" ref="Y225">SUM(TablaSupervisores[DISPOSITIVOS BACNET MS/TP COMPATIBLES]*INDEX(TablaSeleccionSupervisores[],ROW(TablaSeleccionSupervisores[[#This Row],[ORDEN]])-1,_xlfn.XMATCH(TablaSupervisores[REFERENCIA],TablaSeleccionSupervisores[#Headers])))</f>
        <v>420</v>
      </c>
      <c r="Z225" cm="1">
        <f t="array" ref="Z225">SUM(TablaSupervisores[DISPOSITIVOS BACNET IP]*INDEX(TablaSeleccionSupervisores[],ROW(TablaSeleccionSupervisores[[#This Row],[ORDEN]])-1,_xlfn.XMATCH(TablaSupervisores[REFERENCIA],TablaSeleccionSupervisores[#Headers])))</f>
        <v>1310</v>
      </c>
      <c r="AA225" cm="1">
        <f t="array" ref="AA225">SUM(TablaSupervisores[OBJETOS]*INDEX(TablaSeleccionSupervisores[],ROW(TablaSeleccionSupervisores[[#This Row],[ORDEN]])-1,_xlfn.XMATCH(TablaSupervisores[REFERENCIA],TablaSeleccionSupervisores[#Headers])))</f>
        <v>20000</v>
      </c>
      <c r="AB225" s="28" cm="1">
        <f t="array" ref="AB225">SUM(TablaSupervisores[COSTE]*INDEX(TablaSeleccionSupervisores[],ROW(TablaSeleccionSupervisores[[#This Row],[ORDEN]])-1,_xlfn.XMATCH(TablaSupervisores[REFERENCIA],TablaSeleccionSupervisores[#Headers])))</f>
        <v>23793.379999999997</v>
      </c>
      <c r="AC225" cm="1">
        <f t="array" ref="AC225">SUM(INDEX(TablaSeleccionSupervisores[],ROW(TablaSeleccionSupervisores[[#This Row],[ORDEN]])-1,_xlfn.XMATCH(TablaSupervisores[REFERENCIA],TablaSeleccionSupervisores[#Headers])))</f>
        <v>7</v>
      </c>
      <c r="AD225" t="str" cm="1">
        <f t="array" ref="AD225">IF(INDEX(TablaSeleccionSupervisores[],ROW(TablaSeleccionSupervisores[[#This Row],[ORDEN]])-1,_xlfn.XMATCH("ADMITIDO ADSLITE",TablaSeleccionSupervisores[#Headers])+1)=0,"Sí admitido","No admitido")</f>
        <v>No admitido</v>
      </c>
      <c r="AE225">
        <v>1</v>
      </c>
      <c r="AF225">
        <v>4</v>
      </c>
      <c r="AG225">
        <v>1</v>
      </c>
      <c r="AH225">
        <v>1</v>
      </c>
    </row>
    <row r="226" spans="22:34" x14ac:dyDescent="0.25">
      <c r="V226">
        <v>225</v>
      </c>
      <c r="W226" cm="1">
        <f t="array" ref="W226">SUM(TablaSupervisores[DISPOSITIVOS TOTAL]*INDEX(TablaSeleccionSupervisores[],ROW(TablaSeleccionSupervisores[[#This Row],[ORDEN]])-1,_xlfn.XMATCH(TablaSupervisores[REFERENCIA],TablaSeleccionSupervisores[#Headers])))</f>
        <v>1864</v>
      </c>
      <c r="X226" cm="1">
        <f t="array" ref="X226">SUM(TablaSupervisores[DISPOSITIVOS BACNET MS/TP JC]*INDEX(TablaSeleccionSupervisores[],ROW(TablaSeleccionSupervisores[[#This Row],[ORDEN]])-1,_xlfn.XMATCH(TablaSupervisores[REFERENCIA],TablaSeleccionSupervisores[#Headers])))</f>
        <v>854</v>
      </c>
      <c r="Y226" cm="1">
        <f t="array" ref="Y226">SUM(TablaSupervisores[DISPOSITIVOS BACNET MS/TP COMPATIBLES]*INDEX(TablaSeleccionSupervisores[],ROW(TablaSeleccionSupervisores[[#This Row],[ORDEN]])-1,_xlfn.XMATCH(TablaSupervisores[REFERENCIA],TablaSeleccionSupervisores[#Headers])))</f>
        <v>548</v>
      </c>
      <c r="Z226" cm="1">
        <f t="array" ref="Z226">SUM(TablaSupervisores[DISPOSITIVOS BACNET IP]*INDEX(TablaSeleccionSupervisores[],ROW(TablaSeleccionSupervisores[[#This Row],[ORDEN]])-1,_xlfn.XMATCH(TablaSupervisores[REFERENCIA],TablaSeleccionSupervisores[#Headers])))</f>
        <v>1710</v>
      </c>
      <c r="AA226" cm="1">
        <f t="array" ref="AA226">SUM(TablaSupervisores[OBJETOS]*INDEX(TablaSeleccionSupervisores[],ROW(TablaSeleccionSupervisores[[#This Row],[ORDEN]])-1,_xlfn.XMATCH(TablaSupervisores[REFERENCIA],TablaSeleccionSupervisores[#Headers])))</f>
        <v>25000</v>
      </c>
      <c r="AB226" s="28" cm="1">
        <f t="array" ref="AB226">SUM(TablaSupervisores[COSTE]*INDEX(TablaSeleccionSupervisores[],ROW(TablaSeleccionSupervisores[[#This Row],[ORDEN]])-1,_xlfn.XMATCH(TablaSupervisores[REFERENCIA],TablaSeleccionSupervisores[#Headers])))</f>
        <v>29460.01</v>
      </c>
      <c r="AC226" cm="1">
        <f t="array" ref="AC226">SUM(INDEX(TablaSeleccionSupervisores[],ROW(TablaSeleccionSupervisores[[#This Row],[ORDEN]])-1,_xlfn.XMATCH(TablaSupervisores[REFERENCIA],TablaSeleccionSupervisores[#Headers])))</f>
        <v>8</v>
      </c>
      <c r="AD226" t="str" cm="1">
        <f t="array" ref="AD226">IF(INDEX(TablaSeleccionSupervisores[],ROW(TablaSeleccionSupervisores[[#This Row],[ORDEN]])-1,_xlfn.XMATCH("ADMITIDO ADSLITE",TablaSeleccionSupervisores[#Headers])+1)=0,"Sí admitido","No admitido")</f>
        <v>No admitido</v>
      </c>
      <c r="AE226">
        <v>2</v>
      </c>
      <c r="AF226">
        <v>4</v>
      </c>
      <c r="AG226">
        <v>1</v>
      </c>
      <c r="AH226">
        <v>1</v>
      </c>
    </row>
    <row r="227" spans="22:34" x14ac:dyDescent="0.25">
      <c r="V227">
        <v>226</v>
      </c>
      <c r="W227" cm="1">
        <f t="array" ref="W227">SUM(TablaSupervisores[DISPOSITIVOS TOTAL]*INDEX(TablaSeleccionSupervisores[],ROW(TablaSeleccionSupervisores[[#This Row],[ORDEN]])-1,_xlfn.XMATCH(TablaSupervisores[REFERENCIA],TablaSeleccionSupervisores[#Headers])))</f>
        <v>814</v>
      </c>
      <c r="X227" cm="1">
        <f t="array" ref="X227">SUM(TablaSupervisores[DISPOSITIVOS BACNET MS/TP JC]*INDEX(TablaSeleccionSupervisores[],ROW(TablaSeleccionSupervisores[[#This Row],[ORDEN]])-1,_xlfn.XMATCH(TablaSupervisores[REFERENCIA],TablaSeleccionSupervisores[#Headers])))</f>
        <v>554</v>
      </c>
      <c r="Y227" cm="1">
        <f t="array" ref="Y227">SUM(TablaSupervisores[DISPOSITIVOS BACNET MS/TP COMPATIBLES]*INDEX(TablaSeleccionSupervisores[],ROW(TablaSeleccionSupervisores[[#This Row],[ORDEN]])-1,_xlfn.XMATCH(TablaSupervisores[REFERENCIA],TablaSeleccionSupervisores[#Headers])))</f>
        <v>356</v>
      </c>
      <c r="Z227" cm="1">
        <f t="array" ref="Z227">SUM(TablaSupervisores[DISPOSITIVOS BACNET IP]*INDEX(TablaSeleccionSupervisores[],ROW(TablaSeleccionSupervisores[[#This Row],[ORDEN]])-1,_xlfn.XMATCH(TablaSupervisores[REFERENCIA],TablaSeleccionSupervisores[#Headers])))</f>
        <v>1110</v>
      </c>
      <c r="AA227" cm="1">
        <f t="array" ref="AA227">SUM(TablaSupervisores[OBJETOS]*INDEX(TablaSeleccionSupervisores[],ROW(TablaSeleccionSupervisores[[#This Row],[ORDEN]])-1,_xlfn.XMATCH(TablaSupervisores[REFERENCIA],TablaSeleccionSupervisores[#Headers])))</f>
        <v>17500</v>
      </c>
      <c r="AB227" s="28" cm="1">
        <f t="array" ref="AB227">SUM(TablaSupervisores[COSTE]*INDEX(TablaSeleccionSupervisores[],ROW(TablaSeleccionSupervisores[[#This Row],[ORDEN]])-1,_xlfn.XMATCH(TablaSupervisores[REFERENCIA],TablaSeleccionSupervisores[#Headers])))</f>
        <v>22115.48</v>
      </c>
      <c r="AC227" cm="1">
        <f t="array" ref="AC227">SUM(INDEX(TablaSeleccionSupervisores[],ROW(TablaSeleccionSupervisores[[#This Row],[ORDEN]])-1,_xlfn.XMATCH(TablaSupervisores[REFERENCIA],TablaSeleccionSupervisores[#Headers])))</f>
        <v>7</v>
      </c>
      <c r="AD227" t="str" cm="1">
        <f t="array" ref="AD227">IF(INDEX(TablaSeleccionSupervisores[],ROW(TablaSeleccionSupervisores[[#This Row],[ORDEN]])-1,_xlfn.XMATCH("ADMITIDO ADSLITE",TablaSeleccionSupervisores[#Headers])+1)=0,"Sí admitido","No admitido")</f>
        <v>Sí admitido</v>
      </c>
      <c r="AE227">
        <v>0</v>
      </c>
      <c r="AF227">
        <v>5</v>
      </c>
      <c r="AG227">
        <v>1</v>
      </c>
      <c r="AH227">
        <v>1</v>
      </c>
    </row>
    <row r="228" spans="22:34" x14ac:dyDescent="0.25">
      <c r="V228">
        <v>227</v>
      </c>
      <c r="W228" cm="1">
        <f t="array" ref="W228">SUM(TablaSupervisores[DISPOSITIVOS TOTAL]*INDEX(TablaSeleccionSupervisores[],ROW(TablaSeleccionSupervisores[[#This Row],[ORDEN]])-1,_xlfn.XMATCH(TablaSupervisores[REFERENCIA],TablaSeleccionSupervisores[#Headers])))</f>
        <v>1414</v>
      </c>
      <c r="X228" cm="1">
        <f t="array" ref="X228">SUM(TablaSupervisores[DISPOSITIVOS BACNET MS/TP JC]*INDEX(TablaSeleccionSupervisores[],ROW(TablaSeleccionSupervisores[[#This Row],[ORDEN]])-1,_xlfn.XMATCH(TablaSupervisores[REFERENCIA],TablaSeleccionSupervisores[#Headers])))</f>
        <v>754</v>
      </c>
      <c r="Y228" cm="1">
        <f t="array" ref="Y228">SUM(TablaSupervisores[DISPOSITIVOS BACNET MS/TP COMPATIBLES]*INDEX(TablaSeleccionSupervisores[],ROW(TablaSeleccionSupervisores[[#This Row],[ORDEN]])-1,_xlfn.XMATCH(TablaSupervisores[REFERENCIA],TablaSeleccionSupervisores[#Headers])))</f>
        <v>484</v>
      </c>
      <c r="Z228" cm="1">
        <f t="array" ref="Z228">SUM(TablaSupervisores[DISPOSITIVOS BACNET IP]*INDEX(TablaSeleccionSupervisores[],ROW(TablaSeleccionSupervisores[[#This Row],[ORDEN]])-1,_xlfn.XMATCH(TablaSupervisores[REFERENCIA],TablaSeleccionSupervisores[#Headers])))</f>
        <v>1510</v>
      </c>
      <c r="AA228" cm="1">
        <f t="array" ref="AA228">SUM(TablaSupervisores[OBJETOS]*INDEX(TablaSeleccionSupervisores[],ROW(TablaSeleccionSupervisores[[#This Row],[ORDEN]])-1,_xlfn.XMATCH(TablaSupervisores[REFERENCIA],TablaSeleccionSupervisores[#Headers])))</f>
        <v>22500</v>
      </c>
      <c r="AB228" s="28" cm="1">
        <f t="array" ref="AB228">SUM(TablaSupervisores[COSTE]*INDEX(TablaSeleccionSupervisores[],ROW(TablaSeleccionSupervisores[[#This Row],[ORDEN]])-1,_xlfn.XMATCH(TablaSupervisores[REFERENCIA],TablaSeleccionSupervisores[#Headers])))</f>
        <v>27782.11</v>
      </c>
      <c r="AC228" cm="1">
        <f t="array" ref="AC228">SUM(INDEX(TablaSeleccionSupervisores[],ROW(TablaSeleccionSupervisores[[#This Row],[ORDEN]])-1,_xlfn.XMATCH(TablaSupervisores[REFERENCIA],TablaSeleccionSupervisores[#Headers])))</f>
        <v>8</v>
      </c>
      <c r="AD228" t="str" cm="1">
        <f t="array" ref="AD228">IF(INDEX(TablaSeleccionSupervisores[],ROW(TablaSeleccionSupervisores[[#This Row],[ORDEN]])-1,_xlfn.XMATCH("ADMITIDO ADSLITE",TablaSeleccionSupervisores[#Headers])+1)=0,"Sí admitido","No admitido")</f>
        <v>No admitido</v>
      </c>
      <c r="AE228">
        <v>1</v>
      </c>
      <c r="AF228">
        <v>5</v>
      </c>
      <c r="AG228">
        <v>1</v>
      </c>
      <c r="AH228">
        <v>1</v>
      </c>
    </row>
    <row r="229" spans="22:34" x14ac:dyDescent="0.25">
      <c r="V229">
        <v>228</v>
      </c>
      <c r="W229" cm="1">
        <f t="array" ref="W229">SUM(TablaSupervisores[DISPOSITIVOS TOTAL]*INDEX(TablaSeleccionSupervisores[],ROW(TablaSeleccionSupervisores[[#This Row],[ORDEN]])-1,_xlfn.XMATCH(TablaSupervisores[REFERENCIA],TablaSeleccionSupervisores[#Headers])))</f>
        <v>964</v>
      </c>
      <c r="X229" cm="1">
        <f t="array" ref="X229">SUM(TablaSupervisores[DISPOSITIVOS BACNET MS/TP JC]*INDEX(TablaSeleccionSupervisores[],ROW(TablaSeleccionSupervisores[[#This Row],[ORDEN]])-1,_xlfn.XMATCH(TablaSupervisores[REFERENCIA],TablaSeleccionSupervisores[#Headers])))</f>
        <v>654</v>
      </c>
      <c r="Y229" cm="1">
        <f t="array" ref="Y229">SUM(TablaSupervisores[DISPOSITIVOS BACNET MS/TP COMPATIBLES]*INDEX(TablaSeleccionSupervisores[],ROW(TablaSeleccionSupervisores[[#This Row],[ORDEN]])-1,_xlfn.XMATCH(TablaSupervisores[REFERENCIA],TablaSeleccionSupervisores[#Headers])))</f>
        <v>420</v>
      </c>
      <c r="Z229" cm="1">
        <f t="array" ref="Z229">SUM(TablaSupervisores[DISPOSITIVOS BACNET IP]*INDEX(TablaSeleccionSupervisores[],ROW(TablaSeleccionSupervisores[[#This Row],[ORDEN]])-1,_xlfn.XMATCH(TablaSupervisores[REFERENCIA],TablaSeleccionSupervisores[#Headers])))</f>
        <v>1310</v>
      </c>
      <c r="AA229" cm="1">
        <f t="array" ref="AA229">SUM(TablaSupervisores[OBJETOS]*INDEX(TablaSeleccionSupervisores[],ROW(TablaSeleccionSupervisores[[#This Row],[ORDEN]])-1,_xlfn.XMATCH(TablaSupervisores[REFERENCIA],TablaSeleccionSupervisores[#Headers])))</f>
        <v>20000</v>
      </c>
      <c r="AB229" s="28" cm="1">
        <f t="array" ref="AB229">SUM(TablaSupervisores[COSTE]*INDEX(TablaSeleccionSupervisores[],ROW(TablaSeleccionSupervisores[[#This Row],[ORDEN]])-1,_xlfn.XMATCH(TablaSupervisores[REFERENCIA],TablaSeleccionSupervisores[#Headers])))</f>
        <v>26104.21</v>
      </c>
      <c r="AC229" cm="1">
        <f t="array" ref="AC229">SUM(INDEX(TablaSeleccionSupervisores[],ROW(TablaSeleccionSupervisores[[#This Row],[ORDEN]])-1,_xlfn.XMATCH(TablaSupervisores[REFERENCIA],TablaSeleccionSupervisores[#Headers])))</f>
        <v>8</v>
      </c>
      <c r="AD229" t="str" cm="1">
        <f t="array" ref="AD229">IF(INDEX(TablaSeleccionSupervisores[],ROW(TablaSeleccionSupervisores[[#This Row],[ORDEN]])-1,_xlfn.XMATCH("ADMITIDO ADSLITE",TablaSeleccionSupervisores[#Headers])+1)=0,"Sí admitido","No admitido")</f>
        <v>Sí admitido</v>
      </c>
      <c r="AE229">
        <v>0</v>
      </c>
      <c r="AF229">
        <v>6</v>
      </c>
      <c r="AG229">
        <v>1</v>
      </c>
      <c r="AH229">
        <v>1</v>
      </c>
    </row>
    <row r="230" spans="22:34" x14ac:dyDescent="0.25">
      <c r="V230">
        <v>229</v>
      </c>
      <c r="W230" cm="1">
        <f t="array" ref="W230">SUM(TablaSupervisores[DISPOSITIVOS TOTAL]*INDEX(TablaSeleccionSupervisores[],ROW(TablaSeleccionSupervisores[[#This Row],[ORDEN]])-1,_xlfn.XMATCH(TablaSupervisores[REFERENCIA],TablaSeleccionSupervisores[#Headers])))</f>
        <v>124</v>
      </c>
      <c r="X230" cm="1">
        <f t="array" ref="X230">SUM(TablaSupervisores[DISPOSITIVOS BACNET MS/TP JC]*INDEX(TablaSeleccionSupervisores[],ROW(TablaSeleccionSupervisores[[#This Row],[ORDEN]])-1,_xlfn.XMATCH(TablaSupervisores[REFERENCIA],TablaSeleccionSupervisores[#Headers])))</f>
        <v>104</v>
      </c>
      <c r="Y230" cm="1">
        <f t="array" ref="Y230">SUM(TablaSupervisores[DISPOSITIVOS BACNET MS/TP COMPATIBLES]*INDEX(TablaSeleccionSupervisores[],ROW(TablaSeleccionSupervisores[[#This Row],[ORDEN]])-1,_xlfn.XMATCH(TablaSupervisores[REFERENCIA],TablaSeleccionSupervisores[#Headers])))</f>
        <v>68</v>
      </c>
      <c r="Z230" cm="1">
        <f t="array" ref="Z230">SUM(TablaSupervisores[DISPOSITIVOS BACNET IP]*INDEX(TablaSeleccionSupervisores[],ROW(TablaSeleccionSupervisores[[#This Row],[ORDEN]])-1,_xlfn.XMATCH(TablaSupervisores[REFERENCIA],TablaSeleccionSupervisores[#Headers])))</f>
        <v>210</v>
      </c>
      <c r="AA230" cm="1">
        <f t="array" ref="AA230">SUM(TablaSupervisores[OBJETOS]*INDEX(TablaSeleccionSupervisores[],ROW(TablaSeleccionSupervisores[[#This Row],[ORDEN]])-1,_xlfn.XMATCH(TablaSupervisores[REFERENCIA],TablaSeleccionSupervisores[#Headers])))</f>
        <v>7500</v>
      </c>
      <c r="AB230" s="28" cm="1">
        <f t="array" ref="AB230">SUM(TablaSupervisores[COSTE]*INDEX(TablaSeleccionSupervisores[],ROW(TablaSeleccionSupervisores[[#This Row],[ORDEN]])-1,_xlfn.XMATCH(TablaSupervisores[REFERENCIA],TablaSeleccionSupervisores[#Headers])))</f>
        <v>3595.31</v>
      </c>
      <c r="AC230" cm="1">
        <f t="array" ref="AC230">SUM(INDEX(TablaSeleccionSupervisores[],ROW(TablaSeleccionSupervisores[[#This Row],[ORDEN]])-1,_xlfn.XMATCH(TablaSupervisores[REFERENCIA],TablaSeleccionSupervisores[#Headers])))</f>
        <v>3</v>
      </c>
      <c r="AD230" t="str" cm="1">
        <f t="array" ref="AD230">IF(INDEX(TablaSeleccionSupervisores[],ROW(TablaSeleccionSupervisores[[#This Row],[ORDEN]])-1,_xlfn.XMATCH("ADMITIDO ADSLITE",TablaSeleccionSupervisores[#Headers])+1)=0,"Sí admitido","No admitido")</f>
        <v>Sí admitido</v>
      </c>
      <c r="AE230">
        <v>0</v>
      </c>
      <c r="AF230">
        <v>0</v>
      </c>
      <c r="AG230">
        <v>2</v>
      </c>
      <c r="AH230">
        <v>1</v>
      </c>
    </row>
    <row r="231" spans="22:34" x14ac:dyDescent="0.25">
      <c r="V231">
        <v>230</v>
      </c>
      <c r="W231" cm="1">
        <f t="array" ref="W231">SUM(TablaSupervisores[DISPOSITIVOS TOTAL]*INDEX(TablaSeleccionSupervisores[],ROW(TablaSeleccionSupervisores[[#This Row],[ORDEN]])-1,_xlfn.XMATCH(TablaSupervisores[REFERENCIA],TablaSeleccionSupervisores[#Headers])))</f>
        <v>724</v>
      </c>
      <c r="X231" cm="1">
        <f t="array" ref="X231">SUM(TablaSupervisores[DISPOSITIVOS BACNET MS/TP JC]*INDEX(TablaSeleccionSupervisores[],ROW(TablaSeleccionSupervisores[[#This Row],[ORDEN]])-1,_xlfn.XMATCH(TablaSupervisores[REFERENCIA],TablaSeleccionSupervisores[#Headers])))</f>
        <v>304</v>
      </c>
      <c r="Y231" cm="1">
        <f t="array" ref="Y231">SUM(TablaSupervisores[DISPOSITIVOS BACNET MS/TP COMPATIBLES]*INDEX(TablaSeleccionSupervisores[],ROW(TablaSeleccionSupervisores[[#This Row],[ORDEN]])-1,_xlfn.XMATCH(TablaSupervisores[REFERENCIA],TablaSeleccionSupervisores[#Headers])))</f>
        <v>196</v>
      </c>
      <c r="Z231" cm="1">
        <f t="array" ref="Z231">SUM(TablaSupervisores[DISPOSITIVOS BACNET IP]*INDEX(TablaSeleccionSupervisores[],ROW(TablaSeleccionSupervisores[[#This Row],[ORDEN]])-1,_xlfn.XMATCH(TablaSupervisores[REFERENCIA],TablaSeleccionSupervisores[#Headers])))</f>
        <v>610</v>
      </c>
      <c r="AA231" cm="1">
        <f t="array" ref="AA231">SUM(TablaSupervisores[OBJETOS]*INDEX(TablaSeleccionSupervisores[],ROW(TablaSeleccionSupervisores[[#This Row],[ORDEN]])-1,_xlfn.XMATCH(TablaSupervisores[REFERENCIA],TablaSeleccionSupervisores[#Headers])))</f>
        <v>12500</v>
      </c>
      <c r="AB231" s="28" cm="1">
        <f t="array" ref="AB231">SUM(TablaSupervisores[COSTE]*INDEX(TablaSeleccionSupervisores[],ROW(TablaSeleccionSupervisores[[#This Row],[ORDEN]])-1,_xlfn.XMATCH(TablaSupervisores[REFERENCIA],TablaSeleccionSupervisores[#Headers])))</f>
        <v>9261.94</v>
      </c>
      <c r="AC231" cm="1">
        <f t="array" ref="AC231">SUM(INDEX(TablaSeleccionSupervisores[],ROW(TablaSeleccionSupervisores[[#This Row],[ORDEN]])-1,_xlfn.XMATCH(TablaSupervisores[REFERENCIA],TablaSeleccionSupervisores[#Headers])))</f>
        <v>4</v>
      </c>
      <c r="AD231" t="str" cm="1">
        <f t="array" ref="AD231">IF(INDEX(TablaSeleccionSupervisores[],ROW(TablaSeleccionSupervisores[[#This Row],[ORDEN]])-1,_xlfn.XMATCH("ADMITIDO ADSLITE",TablaSeleccionSupervisores[#Headers])+1)=0,"Sí admitido","No admitido")</f>
        <v>No admitido</v>
      </c>
      <c r="AE231">
        <v>1</v>
      </c>
      <c r="AF231">
        <v>0</v>
      </c>
      <c r="AG231">
        <v>2</v>
      </c>
      <c r="AH231">
        <v>1</v>
      </c>
    </row>
    <row r="232" spans="22:34" x14ac:dyDescent="0.25">
      <c r="V232">
        <v>231</v>
      </c>
      <c r="W232" cm="1">
        <f t="array" ref="W232">SUM(TablaSupervisores[DISPOSITIVOS TOTAL]*INDEX(TablaSeleccionSupervisores[],ROW(TablaSeleccionSupervisores[[#This Row],[ORDEN]])-1,_xlfn.XMATCH(TablaSupervisores[REFERENCIA],TablaSeleccionSupervisores[#Headers])))</f>
        <v>1324</v>
      </c>
      <c r="X232" cm="1">
        <f t="array" ref="X232">SUM(TablaSupervisores[DISPOSITIVOS BACNET MS/TP JC]*INDEX(TablaSeleccionSupervisores[],ROW(TablaSeleccionSupervisores[[#This Row],[ORDEN]])-1,_xlfn.XMATCH(TablaSupervisores[REFERENCIA],TablaSeleccionSupervisores[#Headers])))</f>
        <v>504</v>
      </c>
      <c r="Y232" cm="1">
        <f t="array" ref="Y232">SUM(TablaSupervisores[DISPOSITIVOS BACNET MS/TP COMPATIBLES]*INDEX(TablaSeleccionSupervisores[],ROW(TablaSeleccionSupervisores[[#This Row],[ORDEN]])-1,_xlfn.XMATCH(TablaSupervisores[REFERENCIA],TablaSeleccionSupervisores[#Headers])))</f>
        <v>324</v>
      </c>
      <c r="Z232" cm="1">
        <f t="array" ref="Z232">SUM(TablaSupervisores[DISPOSITIVOS BACNET IP]*INDEX(TablaSeleccionSupervisores[],ROW(TablaSeleccionSupervisores[[#This Row],[ORDEN]])-1,_xlfn.XMATCH(TablaSupervisores[REFERENCIA],TablaSeleccionSupervisores[#Headers])))</f>
        <v>1010</v>
      </c>
      <c r="AA232" cm="1">
        <f t="array" ref="AA232">SUM(TablaSupervisores[OBJETOS]*INDEX(TablaSeleccionSupervisores[],ROW(TablaSeleccionSupervisores[[#This Row],[ORDEN]])-1,_xlfn.XMATCH(TablaSupervisores[REFERENCIA],TablaSeleccionSupervisores[#Headers])))</f>
        <v>17500</v>
      </c>
      <c r="AB232" s="28" cm="1">
        <f t="array" ref="AB232">SUM(TablaSupervisores[COSTE]*INDEX(TablaSeleccionSupervisores[],ROW(TablaSeleccionSupervisores[[#This Row],[ORDEN]])-1,_xlfn.XMATCH(TablaSupervisores[REFERENCIA],TablaSeleccionSupervisores[#Headers])))</f>
        <v>14928.570000000002</v>
      </c>
      <c r="AC232" cm="1">
        <f t="array" ref="AC232">SUM(INDEX(TablaSeleccionSupervisores[],ROW(TablaSeleccionSupervisores[[#This Row],[ORDEN]])-1,_xlfn.XMATCH(TablaSupervisores[REFERENCIA],TablaSeleccionSupervisores[#Headers])))</f>
        <v>5</v>
      </c>
      <c r="AD232" t="str" cm="1">
        <f t="array" ref="AD232">IF(INDEX(TablaSeleccionSupervisores[],ROW(TablaSeleccionSupervisores[[#This Row],[ORDEN]])-1,_xlfn.XMATCH("ADMITIDO ADSLITE",TablaSeleccionSupervisores[#Headers])+1)=0,"Sí admitido","No admitido")</f>
        <v>No admitido</v>
      </c>
      <c r="AE232">
        <v>2</v>
      </c>
      <c r="AF232">
        <v>0</v>
      </c>
      <c r="AG232">
        <v>2</v>
      </c>
      <c r="AH232">
        <v>1</v>
      </c>
    </row>
    <row r="233" spans="22:34" x14ac:dyDescent="0.25">
      <c r="V233">
        <v>232</v>
      </c>
      <c r="W233" cm="1">
        <f t="array" ref="W233">SUM(TablaSupervisores[DISPOSITIVOS TOTAL]*INDEX(TablaSeleccionSupervisores[],ROW(TablaSeleccionSupervisores[[#This Row],[ORDEN]])-1,_xlfn.XMATCH(TablaSupervisores[REFERENCIA],TablaSeleccionSupervisores[#Headers])))</f>
        <v>1924</v>
      </c>
      <c r="X233" cm="1">
        <f t="array" ref="X233">SUM(TablaSupervisores[DISPOSITIVOS BACNET MS/TP JC]*INDEX(TablaSeleccionSupervisores[],ROW(TablaSeleccionSupervisores[[#This Row],[ORDEN]])-1,_xlfn.XMATCH(TablaSupervisores[REFERENCIA],TablaSeleccionSupervisores[#Headers])))</f>
        <v>704</v>
      </c>
      <c r="Y233" cm="1">
        <f t="array" ref="Y233">SUM(TablaSupervisores[DISPOSITIVOS BACNET MS/TP COMPATIBLES]*INDEX(TablaSeleccionSupervisores[],ROW(TablaSeleccionSupervisores[[#This Row],[ORDEN]])-1,_xlfn.XMATCH(TablaSupervisores[REFERENCIA],TablaSeleccionSupervisores[#Headers])))</f>
        <v>452</v>
      </c>
      <c r="Z233" cm="1">
        <f t="array" ref="Z233">SUM(TablaSupervisores[DISPOSITIVOS BACNET IP]*INDEX(TablaSeleccionSupervisores[],ROW(TablaSeleccionSupervisores[[#This Row],[ORDEN]])-1,_xlfn.XMATCH(TablaSupervisores[REFERENCIA],TablaSeleccionSupervisores[#Headers])))</f>
        <v>1410</v>
      </c>
      <c r="AA233" cm="1">
        <f t="array" ref="AA233">SUM(TablaSupervisores[OBJETOS]*INDEX(TablaSeleccionSupervisores[],ROW(TablaSeleccionSupervisores[[#This Row],[ORDEN]])-1,_xlfn.XMATCH(TablaSupervisores[REFERENCIA],TablaSeleccionSupervisores[#Headers])))</f>
        <v>22500</v>
      </c>
      <c r="AB233" s="28" cm="1">
        <f t="array" ref="AB233">SUM(TablaSupervisores[COSTE]*INDEX(TablaSeleccionSupervisores[],ROW(TablaSeleccionSupervisores[[#This Row],[ORDEN]])-1,_xlfn.XMATCH(TablaSupervisores[REFERENCIA],TablaSeleccionSupervisores[#Headers])))</f>
        <v>20595.199999999997</v>
      </c>
      <c r="AC233" cm="1">
        <f t="array" ref="AC233">SUM(INDEX(TablaSeleccionSupervisores[],ROW(TablaSeleccionSupervisores[[#This Row],[ORDEN]])-1,_xlfn.XMATCH(TablaSupervisores[REFERENCIA],TablaSeleccionSupervisores[#Headers])))</f>
        <v>6</v>
      </c>
      <c r="AD233" t="str" cm="1">
        <f t="array" ref="AD233">IF(INDEX(TablaSeleccionSupervisores[],ROW(TablaSeleccionSupervisores[[#This Row],[ORDEN]])-1,_xlfn.XMATCH("ADMITIDO ADSLITE",TablaSeleccionSupervisores[#Headers])+1)=0,"Sí admitido","No admitido")</f>
        <v>No admitido</v>
      </c>
      <c r="AE233">
        <v>3</v>
      </c>
      <c r="AF233">
        <v>0</v>
      </c>
      <c r="AG233">
        <v>2</v>
      </c>
      <c r="AH233">
        <v>1</v>
      </c>
    </row>
    <row r="234" spans="22:34" x14ac:dyDescent="0.25">
      <c r="V234">
        <v>233</v>
      </c>
      <c r="W234" cm="1">
        <f t="array" ref="W234">SUM(TablaSupervisores[DISPOSITIVOS TOTAL]*INDEX(TablaSeleccionSupervisores[],ROW(TablaSeleccionSupervisores[[#This Row],[ORDEN]])-1,_xlfn.XMATCH(TablaSupervisores[REFERENCIA],TablaSeleccionSupervisores[#Headers])))</f>
        <v>2524</v>
      </c>
      <c r="X234" cm="1">
        <f t="array" ref="X234">SUM(TablaSupervisores[DISPOSITIVOS BACNET MS/TP JC]*INDEX(TablaSeleccionSupervisores[],ROW(TablaSeleccionSupervisores[[#This Row],[ORDEN]])-1,_xlfn.XMATCH(TablaSupervisores[REFERENCIA],TablaSeleccionSupervisores[#Headers])))</f>
        <v>904</v>
      </c>
      <c r="Y234" cm="1">
        <f t="array" ref="Y234">SUM(TablaSupervisores[DISPOSITIVOS BACNET MS/TP COMPATIBLES]*INDEX(TablaSeleccionSupervisores[],ROW(TablaSeleccionSupervisores[[#This Row],[ORDEN]])-1,_xlfn.XMATCH(TablaSupervisores[REFERENCIA],TablaSeleccionSupervisores[#Headers])))</f>
        <v>580</v>
      </c>
      <c r="Z234" cm="1">
        <f t="array" ref="Z234">SUM(TablaSupervisores[DISPOSITIVOS BACNET IP]*INDEX(TablaSeleccionSupervisores[],ROW(TablaSeleccionSupervisores[[#This Row],[ORDEN]])-1,_xlfn.XMATCH(TablaSupervisores[REFERENCIA],TablaSeleccionSupervisores[#Headers])))</f>
        <v>1810</v>
      </c>
      <c r="AA234" cm="1">
        <f t="array" ref="AA234">SUM(TablaSupervisores[OBJETOS]*INDEX(TablaSeleccionSupervisores[],ROW(TablaSeleccionSupervisores[[#This Row],[ORDEN]])-1,_xlfn.XMATCH(TablaSupervisores[REFERENCIA],TablaSeleccionSupervisores[#Headers])))</f>
        <v>27500</v>
      </c>
      <c r="AB234" s="28" cm="1">
        <f t="array" ref="AB234">SUM(TablaSupervisores[COSTE]*INDEX(TablaSeleccionSupervisores[],ROW(TablaSeleccionSupervisores[[#This Row],[ORDEN]])-1,_xlfn.XMATCH(TablaSupervisores[REFERENCIA],TablaSeleccionSupervisores[#Headers])))</f>
        <v>26261.829999999998</v>
      </c>
      <c r="AC234" cm="1">
        <f t="array" ref="AC234">SUM(INDEX(TablaSeleccionSupervisores[],ROW(TablaSeleccionSupervisores[[#This Row],[ORDEN]])-1,_xlfn.XMATCH(TablaSupervisores[REFERENCIA],TablaSeleccionSupervisores[#Headers])))</f>
        <v>7</v>
      </c>
      <c r="AD234" t="str" cm="1">
        <f t="array" ref="AD234">IF(INDEX(TablaSeleccionSupervisores[],ROW(TablaSeleccionSupervisores[[#This Row],[ORDEN]])-1,_xlfn.XMATCH("ADMITIDO ADSLITE",TablaSeleccionSupervisores[#Headers])+1)=0,"Sí admitido","No admitido")</f>
        <v>No admitido</v>
      </c>
      <c r="AE234">
        <v>4</v>
      </c>
      <c r="AF234">
        <v>0</v>
      </c>
      <c r="AG234">
        <v>2</v>
      </c>
      <c r="AH234">
        <v>1</v>
      </c>
    </row>
    <row r="235" spans="22:34" x14ac:dyDescent="0.25">
      <c r="V235">
        <v>234</v>
      </c>
      <c r="W235" cm="1">
        <f t="array" ref="W235">SUM(TablaSupervisores[DISPOSITIVOS TOTAL]*INDEX(TablaSeleccionSupervisores[],ROW(TablaSeleccionSupervisores[[#This Row],[ORDEN]])-1,_xlfn.XMATCH(TablaSupervisores[REFERENCIA],TablaSeleccionSupervisores[#Headers])))</f>
        <v>3124</v>
      </c>
      <c r="X235" cm="1">
        <f t="array" ref="X235">SUM(TablaSupervisores[DISPOSITIVOS BACNET MS/TP JC]*INDEX(TablaSeleccionSupervisores[],ROW(TablaSeleccionSupervisores[[#This Row],[ORDEN]])-1,_xlfn.XMATCH(TablaSupervisores[REFERENCIA],TablaSeleccionSupervisores[#Headers])))</f>
        <v>1104</v>
      </c>
      <c r="Y235" cm="1">
        <f t="array" ref="Y235">SUM(TablaSupervisores[DISPOSITIVOS BACNET MS/TP COMPATIBLES]*INDEX(TablaSeleccionSupervisores[],ROW(TablaSeleccionSupervisores[[#This Row],[ORDEN]])-1,_xlfn.XMATCH(TablaSupervisores[REFERENCIA],TablaSeleccionSupervisores[#Headers])))</f>
        <v>708</v>
      </c>
      <c r="Z235" cm="1">
        <f t="array" ref="Z235">SUM(TablaSupervisores[DISPOSITIVOS BACNET IP]*INDEX(TablaSeleccionSupervisores[],ROW(TablaSeleccionSupervisores[[#This Row],[ORDEN]])-1,_xlfn.XMATCH(TablaSupervisores[REFERENCIA],TablaSeleccionSupervisores[#Headers])))</f>
        <v>2210</v>
      </c>
      <c r="AA235" cm="1">
        <f t="array" ref="AA235">SUM(TablaSupervisores[OBJETOS]*INDEX(TablaSeleccionSupervisores[],ROW(TablaSeleccionSupervisores[[#This Row],[ORDEN]])-1,_xlfn.XMATCH(TablaSupervisores[REFERENCIA],TablaSeleccionSupervisores[#Headers])))</f>
        <v>32500</v>
      </c>
      <c r="AB235" s="28" cm="1">
        <f t="array" ref="AB235">SUM(TablaSupervisores[COSTE]*INDEX(TablaSeleccionSupervisores[],ROW(TablaSeleccionSupervisores[[#This Row],[ORDEN]])-1,_xlfn.XMATCH(TablaSupervisores[REFERENCIA],TablaSeleccionSupervisores[#Headers])))</f>
        <v>31928.46</v>
      </c>
      <c r="AC235" cm="1">
        <f t="array" ref="AC235">SUM(INDEX(TablaSeleccionSupervisores[],ROW(TablaSeleccionSupervisores[[#This Row],[ORDEN]])-1,_xlfn.XMATCH(TablaSupervisores[REFERENCIA],TablaSeleccionSupervisores[#Headers])))</f>
        <v>8</v>
      </c>
      <c r="AD235" t="str" cm="1">
        <f t="array" ref="AD235">IF(INDEX(TablaSeleccionSupervisores[],ROW(TablaSeleccionSupervisores[[#This Row],[ORDEN]])-1,_xlfn.XMATCH("ADMITIDO ADSLITE",TablaSeleccionSupervisores[#Headers])+1)=0,"Sí admitido","No admitido")</f>
        <v>No admitido</v>
      </c>
      <c r="AE235">
        <v>5</v>
      </c>
      <c r="AF235">
        <v>0</v>
      </c>
      <c r="AG235">
        <v>2</v>
      </c>
      <c r="AH235">
        <v>1</v>
      </c>
    </row>
    <row r="236" spans="22:34" x14ac:dyDescent="0.25">
      <c r="V236">
        <v>235</v>
      </c>
      <c r="W236" cm="1">
        <f t="array" ref="W236">SUM(TablaSupervisores[DISPOSITIVOS TOTAL]*INDEX(TablaSeleccionSupervisores[],ROW(TablaSeleccionSupervisores[[#This Row],[ORDEN]])-1,_xlfn.XMATCH(TablaSupervisores[REFERENCIA],TablaSeleccionSupervisores[#Headers])))</f>
        <v>274</v>
      </c>
      <c r="X236" cm="1">
        <f t="array" ref="X236">SUM(TablaSupervisores[DISPOSITIVOS BACNET MS/TP JC]*INDEX(TablaSeleccionSupervisores[],ROW(TablaSeleccionSupervisores[[#This Row],[ORDEN]])-1,_xlfn.XMATCH(TablaSupervisores[REFERENCIA],TablaSeleccionSupervisores[#Headers])))</f>
        <v>204</v>
      </c>
      <c r="Y236" cm="1">
        <f t="array" ref="Y236">SUM(TablaSupervisores[DISPOSITIVOS BACNET MS/TP COMPATIBLES]*INDEX(TablaSeleccionSupervisores[],ROW(TablaSeleccionSupervisores[[#This Row],[ORDEN]])-1,_xlfn.XMATCH(TablaSupervisores[REFERENCIA],TablaSeleccionSupervisores[#Headers])))</f>
        <v>132</v>
      </c>
      <c r="Z236" cm="1">
        <f t="array" ref="Z236">SUM(TablaSupervisores[DISPOSITIVOS BACNET IP]*INDEX(TablaSeleccionSupervisores[],ROW(TablaSeleccionSupervisores[[#This Row],[ORDEN]])-1,_xlfn.XMATCH(TablaSupervisores[REFERENCIA],TablaSeleccionSupervisores[#Headers])))</f>
        <v>410</v>
      </c>
      <c r="AA236" cm="1">
        <f t="array" ref="AA236">SUM(TablaSupervisores[OBJETOS]*INDEX(TablaSeleccionSupervisores[],ROW(TablaSeleccionSupervisores[[#This Row],[ORDEN]])-1,_xlfn.XMATCH(TablaSupervisores[REFERENCIA],TablaSeleccionSupervisores[#Headers])))</f>
        <v>10000</v>
      </c>
      <c r="AB236" s="28" cm="1">
        <f t="array" ref="AB236">SUM(TablaSupervisores[COSTE]*INDEX(TablaSeleccionSupervisores[],ROW(TablaSeleccionSupervisores[[#This Row],[ORDEN]])-1,_xlfn.XMATCH(TablaSupervisores[REFERENCIA],TablaSeleccionSupervisores[#Headers])))</f>
        <v>7584.0400000000009</v>
      </c>
      <c r="AC236" cm="1">
        <f t="array" ref="AC236">SUM(INDEX(TablaSeleccionSupervisores[],ROW(TablaSeleccionSupervisores[[#This Row],[ORDEN]])-1,_xlfn.XMATCH(TablaSupervisores[REFERENCIA],TablaSeleccionSupervisores[#Headers])))</f>
        <v>4</v>
      </c>
      <c r="AD236" t="str" cm="1">
        <f t="array" ref="AD236">IF(INDEX(TablaSeleccionSupervisores[],ROW(TablaSeleccionSupervisores[[#This Row],[ORDEN]])-1,_xlfn.XMATCH("ADMITIDO ADSLITE",TablaSeleccionSupervisores[#Headers])+1)=0,"Sí admitido","No admitido")</f>
        <v>Sí admitido</v>
      </c>
      <c r="AE236">
        <v>0</v>
      </c>
      <c r="AF236">
        <v>1</v>
      </c>
      <c r="AG236">
        <v>2</v>
      </c>
      <c r="AH236">
        <v>1</v>
      </c>
    </row>
    <row r="237" spans="22:34" x14ac:dyDescent="0.25">
      <c r="V237">
        <v>236</v>
      </c>
      <c r="W237" cm="1">
        <f t="array" ref="W237">SUM(TablaSupervisores[DISPOSITIVOS TOTAL]*INDEX(TablaSeleccionSupervisores[],ROW(TablaSeleccionSupervisores[[#This Row],[ORDEN]])-1,_xlfn.XMATCH(TablaSupervisores[REFERENCIA],TablaSeleccionSupervisores[#Headers])))</f>
        <v>874</v>
      </c>
      <c r="X237" cm="1">
        <f t="array" ref="X237">SUM(TablaSupervisores[DISPOSITIVOS BACNET MS/TP JC]*INDEX(TablaSeleccionSupervisores[],ROW(TablaSeleccionSupervisores[[#This Row],[ORDEN]])-1,_xlfn.XMATCH(TablaSupervisores[REFERENCIA],TablaSeleccionSupervisores[#Headers])))</f>
        <v>404</v>
      </c>
      <c r="Y237" cm="1">
        <f t="array" ref="Y237">SUM(TablaSupervisores[DISPOSITIVOS BACNET MS/TP COMPATIBLES]*INDEX(TablaSeleccionSupervisores[],ROW(TablaSeleccionSupervisores[[#This Row],[ORDEN]])-1,_xlfn.XMATCH(TablaSupervisores[REFERENCIA],TablaSeleccionSupervisores[#Headers])))</f>
        <v>260</v>
      </c>
      <c r="Z237" cm="1">
        <f t="array" ref="Z237">SUM(TablaSupervisores[DISPOSITIVOS BACNET IP]*INDEX(TablaSeleccionSupervisores[],ROW(TablaSeleccionSupervisores[[#This Row],[ORDEN]])-1,_xlfn.XMATCH(TablaSupervisores[REFERENCIA],TablaSeleccionSupervisores[#Headers])))</f>
        <v>810</v>
      </c>
      <c r="AA237" cm="1">
        <f t="array" ref="AA237">SUM(TablaSupervisores[OBJETOS]*INDEX(TablaSeleccionSupervisores[],ROW(TablaSeleccionSupervisores[[#This Row],[ORDEN]])-1,_xlfn.XMATCH(TablaSupervisores[REFERENCIA],TablaSeleccionSupervisores[#Headers])))</f>
        <v>15000</v>
      </c>
      <c r="AB237" s="28" cm="1">
        <f t="array" ref="AB237">SUM(TablaSupervisores[COSTE]*INDEX(TablaSeleccionSupervisores[],ROW(TablaSeleccionSupervisores[[#This Row],[ORDEN]])-1,_xlfn.XMATCH(TablaSupervisores[REFERENCIA],TablaSeleccionSupervisores[#Headers])))</f>
        <v>13250.67</v>
      </c>
      <c r="AC237" cm="1">
        <f t="array" ref="AC237">SUM(INDEX(TablaSeleccionSupervisores[],ROW(TablaSeleccionSupervisores[[#This Row],[ORDEN]])-1,_xlfn.XMATCH(TablaSupervisores[REFERENCIA],TablaSeleccionSupervisores[#Headers])))</f>
        <v>5</v>
      </c>
      <c r="AD237" t="str" cm="1">
        <f t="array" ref="AD237">IF(INDEX(TablaSeleccionSupervisores[],ROW(TablaSeleccionSupervisores[[#This Row],[ORDEN]])-1,_xlfn.XMATCH("ADMITIDO ADSLITE",TablaSeleccionSupervisores[#Headers])+1)=0,"Sí admitido","No admitido")</f>
        <v>No admitido</v>
      </c>
      <c r="AE237">
        <v>1</v>
      </c>
      <c r="AF237">
        <v>1</v>
      </c>
      <c r="AG237">
        <v>2</v>
      </c>
      <c r="AH237">
        <v>1</v>
      </c>
    </row>
    <row r="238" spans="22:34" x14ac:dyDescent="0.25">
      <c r="V238">
        <v>237</v>
      </c>
      <c r="W238" cm="1">
        <f t="array" ref="W238">SUM(TablaSupervisores[DISPOSITIVOS TOTAL]*INDEX(TablaSeleccionSupervisores[],ROW(TablaSeleccionSupervisores[[#This Row],[ORDEN]])-1,_xlfn.XMATCH(TablaSupervisores[REFERENCIA],TablaSeleccionSupervisores[#Headers])))</f>
        <v>1474</v>
      </c>
      <c r="X238" cm="1">
        <f t="array" ref="X238">SUM(TablaSupervisores[DISPOSITIVOS BACNET MS/TP JC]*INDEX(TablaSeleccionSupervisores[],ROW(TablaSeleccionSupervisores[[#This Row],[ORDEN]])-1,_xlfn.XMATCH(TablaSupervisores[REFERENCIA],TablaSeleccionSupervisores[#Headers])))</f>
        <v>604</v>
      </c>
      <c r="Y238" cm="1">
        <f t="array" ref="Y238">SUM(TablaSupervisores[DISPOSITIVOS BACNET MS/TP COMPATIBLES]*INDEX(TablaSeleccionSupervisores[],ROW(TablaSeleccionSupervisores[[#This Row],[ORDEN]])-1,_xlfn.XMATCH(TablaSupervisores[REFERENCIA],TablaSeleccionSupervisores[#Headers])))</f>
        <v>388</v>
      </c>
      <c r="Z238" cm="1">
        <f t="array" ref="Z238">SUM(TablaSupervisores[DISPOSITIVOS BACNET IP]*INDEX(TablaSeleccionSupervisores[],ROW(TablaSeleccionSupervisores[[#This Row],[ORDEN]])-1,_xlfn.XMATCH(TablaSupervisores[REFERENCIA],TablaSeleccionSupervisores[#Headers])))</f>
        <v>1210</v>
      </c>
      <c r="AA238" cm="1">
        <f t="array" ref="AA238">SUM(TablaSupervisores[OBJETOS]*INDEX(TablaSeleccionSupervisores[],ROW(TablaSeleccionSupervisores[[#This Row],[ORDEN]])-1,_xlfn.XMATCH(TablaSupervisores[REFERENCIA],TablaSeleccionSupervisores[#Headers])))</f>
        <v>20000</v>
      </c>
      <c r="AB238" s="28" cm="1">
        <f t="array" ref="AB238">SUM(TablaSupervisores[COSTE]*INDEX(TablaSeleccionSupervisores[],ROW(TablaSeleccionSupervisores[[#This Row],[ORDEN]])-1,_xlfn.XMATCH(TablaSupervisores[REFERENCIA],TablaSeleccionSupervisores[#Headers])))</f>
        <v>18917.3</v>
      </c>
      <c r="AC238" cm="1">
        <f t="array" ref="AC238">SUM(INDEX(TablaSeleccionSupervisores[],ROW(TablaSeleccionSupervisores[[#This Row],[ORDEN]])-1,_xlfn.XMATCH(TablaSupervisores[REFERENCIA],TablaSeleccionSupervisores[#Headers])))</f>
        <v>6</v>
      </c>
      <c r="AD238" t="str" cm="1">
        <f t="array" ref="AD238">IF(INDEX(TablaSeleccionSupervisores[],ROW(TablaSeleccionSupervisores[[#This Row],[ORDEN]])-1,_xlfn.XMATCH("ADMITIDO ADSLITE",TablaSeleccionSupervisores[#Headers])+1)=0,"Sí admitido","No admitido")</f>
        <v>No admitido</v>
      </c>
      <c r="AE238">
        <v>2</v>
      </c>
      <c r="AF238">
        <v>1</v>
      </c>
      <c r="AG238">
        <v>2</v>
      </c>
      <c r="AH238">
        <v>1</v>
      </c>
    </row>
    <row r="239" spans="22:34" x14ac:dyDescent="0.25">
      <c r="V239">
        <v>238</v>
      </c>
      <c r="W239" cm="1">
        <f t="array" ref="W239">SUM(TablaSupervisores[DISPOSITIVOS TOTAL]*INDEX(TablaSeleccionSupervisores[],ROW(TablaSeleccionSupervisores[[#This Row],[ORDEN]])-1,_xlfn.XMATCH(TablaSupervisores[REFERENCIA],TablaSeleccionSupervisores[#Headers])))</f>
        <v>2074</v>
      </c>
      <c r="X239" cm="1">
        <f t="array" ref="X239">SUM(TablaSupervisores[DISPOSITIVOS BACNET MS/TP JC]*INDEX(TablaSeleccionSupervisores[],ROW(TablaSeleccionSupervisores[[#This Row],[ORDEN]])-1,_xlfn.XMATCH(TablaSupervisores[REFERENCIA],TablaSeleccionSupervisores[#Headers])))</f>
        <v>804</v>
      </c>
      <c r="Y239" cm="1">
        <f t="array" ref="Y239">SUM(TablaSupervisores[DISPOSITIVOS BACNET MS/TP COMPATIBLES]*INDEX(TablaSeleccionSupervisores[],ROW(TablaSeleccionSupervisores[[#This Row],[ORDEN]])-1,_xlfn.XMATCH(TablaSupervisores[REFERENCIA],TablaSeleccionSupervisores[#Headers])))</f>
        <v>516</v>
      </c>
      <c r="Z239" cm="1">
        <f t="array" ref="Z239">SUM(TablaSupervisores[DISPOSITIVOS BACNET IP]*INDEX(TablaSeleccionSupervisores[],ROW(TablaSeleccionSupervisores[[#This Row],[ORDEN]])-1,_xlfn.XMATCH(TablaSupervisores[REFERENCIA],TablaSeleccionSupervisores[#Headers])))</f>
        <v>1610</v>
      </c>
      <c r="AA239" cm="1">
        <f t="array" ref="AA239">SUM(TablaSupervisores[OBJETOS]*INDEX(TablaSeleccionSupervisores[],ROW(TablaSeleccionSupervisores[[#This Row],[ORDEN]])-1,_xlfn.XMATCH(TablaSupervisores[REFERENCIA],TablaSeleccionSupervisores[#Headers])))</f>
        <v>25000</v>
      </c>
      <c r="AB239" s="28" cm="1">
        <f t="array" ref="AB239">SUM(TablaSupervisores[COSTE]*INDEX(TablaSeleccionSupervisores[],ROW(TablaSeleccionSupervisores[[#This Row],[ORDEN]])-1,_xlfn.XMATCH(TablaSupervisores[REFERENCIA],TablaSeleccionSupervisores[#Headers])))</f>
        <v>24583.929999999997</v>
      </c>
      <c r="AC239" cm="1">
        <f t="array" ref="AC239">SUM(INDEX(TablaSeleccionSupervisores[],ROW(TablaSeleccionSupervisores[[#This Row],[ORDEN]])-1,_xlfn.XMATCH(TablaSupervisores[REFERENCIA],TablaSeleccionSupervisores[#Headers])))</f>
        <v>7</v>
      </c>
      <c r="AD239" t="str" cm="1">
        <f t="array" ref="AD239">IF(INDEX(TablaSeleccionSupervisores[],ROW(TablaSeleccionSupervisores[[#This Row],[ORDEN]])-1,_xlfn.XMATCH("ADMITIDO ADSLITE",TablaSeleccionSupervisores[#Headers])+1)=0,"Sí admitido","No admitido")</f>
        <v>No admitido</v>
      </c>
      <c r="AE239">
        <v>3</v>
      </c>
      <c r="AF239">
        <v>1</v>
      </c>
      <c r="AG239">
        <v>2</v>
      </c>
      <c r="AH239">
        <v>1</v>
      </c>
    </row>
    <row r="240" spans="22:34" x14ac:dyDescent="0.25">
      <c r="V240">
        <v>239</v>
      </c>
      <c r="W240" cm="1">
        <f t="array" ref="W240">SUM(TablaSupervisores[DISPOSITIVOS TOTAL]*INDEX(TablaSeleccionSupervisores[],ROW(TablaSeleccionSupervisores[[#This Row],[ORDEN]])-1,_xlfn.XMATCH(TablaSupervisores[REFERENCIA],TablaSeleccionSupervisores[#Headers])))</f>
        <v>2674</v>
      </c>
      <c r="X240" cm="1">
        <f t="array" ref="X240">SUM(TablaSupervisores[DISPOSITIVOS BACNET MS/TP JC]*INDEX(TablaSeleccionSupervisores[],ROW(TablaSeleccionSupervisores[[#This Row],[ORDEN]])-1,_xlfn.XMATCH(TablaSupervisores[REFERENCIA],TablaSeleccionSupervisores[#Headers])))</f>
        <v>1004</v>
      </c>
      <c r="Y240" cm="1">
        <f t="array" ref="Y240">SUM(TablaSupervisores[DISPOSITIVOS BACNET MS/TP COMPATIBLES]*INDEX(TablaSeleccionSupervisores[],ROW(TablaSeleccionSupervisores[[#This Row],[ORDEN]])-1,_xlfn.XMATCH(TablaSupervisores[REFERENCIA],TablaSeleccionSupervisores[#Headers])))</f>
        <v>644</v>
      </c>
      <c r="Z240" cm="1">
        <f t="array" ref="Z240">SUM(TablaSupervisores[DISPOSITIVOS BACNET IP]*INDEX(TablaSeleccionSupervisores[],ROW(TablaSeleccionSupervisores[[#This Row],[ORDEN]])-1,_xlfn.XMATCH(TablaSupervisores[REFERENCIA],TablaSeleccionSupervisores[#Headers])))</f>
        <v>2010</v>
      </c>
      <c r="AA240" cm="1">
        <f t="array" ref="AA240">SUM(TablaSupervisores[OBJETOS]*INDEX(TablaSeleccionSupervisores[],ROW(TablaSeleccionSupervisores[[#This Row],[ORDEN]])-1,_xlfn.XMATCH(TablaSupervisores[REFERENCIA],TablaSeleccionSupervisores[#Headers])))</f>
        <v>30000</v>
      </c>
      <c r="AB240" s="28" cm="1">
        <f t="array" ref="AB240">SUM(TablaSupervisores[COSTE]*INDEX(TablaSeleccionSupervisores[],ROW(TablaSeleccionSupervisores[[#This Row],[ORDEN]])-1,_xlfn.XMATCH(TablaSupervisores[REFERENCIA],TablaSeleccionSupervisores[#Headers])))</f>
        <v>30250.559999999998</v>
      </c>
      <c r="AC240" cm="1">
        <f t="array" ref="AC240">SUM(INDEX(TablaSeleccionSupervisores[],ROW(TablaSeleccionSupervisores[[#This Row],[ORDEN]])-1,_xlfn.XMATCH(TablaSupervisores[REFERENCIA],TablaSeleccionSupervisores[#Headers])))</f>
        <v>8</v>
      </c>
      <c r="AD240" t="str" cm="1">
        <f t="array" ref="AD240">IF(INDEX(TablaSeleccionSupervisores[],ROW(TablaSeleccionSupervisores[[#This Row],[ORDEN]])-1,_xlfn.XMATCH("ADMITIDO ADSLITE",TablaSeleccionSupervisores[#Headers])+1)=0,"Sí admitido","No admitido")</f>
        <v>No admitido</v>
      </c>
      <c r="AE240">
        <v>4</v>
      </c>
      <c r="AF240">
        <v>1</v>
      </c>
      <c r="AG240">
        <v>2</v>
      </c>
      <c r="AH240">
        <v>1</v>
      </c>
    </row>
    <row r="241" spans="22:34" x14ac:dyDescent="0.25">
      <c r="V241">
        <v>240</v>
      </c>
      <c r="W241" cm="1">
        <f t="array" ref="W241">SUM(TablaSupervisores[DISPOSITIVOS TOTAL]*INDEX(TablaSeleccionSupervisores[],ROW(TablaSeleccionSupervisores[[#This Row],[ORDEN]])-1,_xlfn.XMATCH(TablaSupervisores[REFERENCIA],TablaSeleccionSupervisores[#Headers])))</f>
        <v>424</v>
      </c>
      <c r="X241" cm="1">
        <f t="array" ref="X241">SUM(TablaSupervisores[DISPOSITIVOS BACNET MS/TP JC]*INDEX(TablaSeleccionSupervisores[],ROW(TablaSeleccionSupervisores[[#This Row],[ORDEN]])-1,_xlfn.XMATCH(TablaSupervisores[REFERENCIA],TablaSeleccionSupervisores[#Headers])))</f>
        <v>304</v>
      </c>
      <c r="Y241" cm="1">
        <f t="array" ref="Y241">SUM(TablaSupervisores[DISPOSITIVOS BACNET MS/TP COMPATIBLES]*INDEX(TablaSeleccionSupervisores[],ROW(TablaSeleccionSupervisores[[#This Row],[ORDEN]])-1,_xlfn.XMATCH(TablaSupervisores[REFERENCIA],TablaSeleccionSupervisores[#Headers])))</f>
        <v>196</v>
      </c>
      <c r="Z241" cm="1">
        <f t="array" ref="Z241">SUM(TablaSupervisores[DISPOSITIVOS BACNET IP]*INDEX(TablaSeleccionSupervisores[],ROW(TablaSeleccionSupervisores[[#This Row],[ORDEN]])-1,_xlfn.XMATCH(TablaSupervisores[REFERENCIA],TablaSeleccionSupervisores[#Headers])))</f>
        <v>610</v>
      </c>
      <c r="AA241" cm="1">
        <f t="array" ref="AA241">SUM(TablaSupervisores[OBJETOS]*INDEX(TablaSeleccionSupervisores[],ROW(TablaSeleccionSupervisores[[#This Row],[ORDEN]])-1,_xlfn.XMATCH(TablaSupervisores[REFERENCIA],TablaSeleccionSupervisores[#Headers])))</f>
        <v>12500</v>
      </c>
      <c r="AB241" s="28" cm="1">
        <f t="array" ref="AB241">SUM(TablaSupervisores[COSTE]*INDEX(TablaSeleccionSupervisores[],ROW(TablaSeleccionSupervisores[[#This Row],[ORDEN]])-1,_xlfn.XMATCH(TablaSupervisores[REFERENCIA],TablaSeleccionSupervisores[#Headers])))</f>
        <v>11572.77</v>
      </c>
      <c r="AC241" cm="1">
        <f t="array" ref="AC241">SUM(INDEX(TablaSeleccionSupervisores[],ROW(TablaSeleccionSupervisores[[#This Row],[ORDEN]])-1,_xlfn.XMATCH(TablaSupervisores[REFERENCIA],TablaSeleccionSupervisores[#Headers])))</f>
        <v>5</v>
      </c>
      <c r="AD241" t="str" cm="1">
        <f t="array" ref="AD241">IF(INDEX(TablaSeleccionSupervisores[],ROW(TablaSeleccionSupervisores[[#This Row],[ORDEN]])-1,_xlfn.XMATCH("ADMITIDO ADSLITE",TablaSeleccionSupervisores[#Headers])+1)=0,"Sí admitido","No admitido")</f>
        <v>Sí admitido</v>
      </c>
      <c r="AE241">
        <v>0</v>
      </c>
      <c r="AF241">
        <v>2</v>
      </c>
      <c r="AG241">
        <v>2</v>
      </c>
      <c r="AH241">
        <v>1</v>
      </c>
    </row>
    <row r="242" spans="22:34" x14ac:dyDescent="0.25">
      <c r="V242">
        <v>241</v>
      </c>
      <c r="W242" cm="1">
        <f t="array" ref="W242">SUM(TablaSupervisores[DISPOSITIVOS TOTAL]*INDEX(TablaSeleccionSupervisores[],ROW(TablaSeleccionSupervisores[[#This Row],[ORDEN]])-1,_xlfn.XMATCH(TablaSupervisores[REFERENCIA],TablaSeleccionSupervisores[#Headers])))</f>
        <v>1024</v>
      </c>
      <c r="X242" cm="1">
        <f t="array" ref="X242">SUM(TablaSupervisores[DISPOSITIVOS BACNET MS/TP JC]*INDEX(TablaSeleccionSupervisores[],ROW(TablaSeleccionSupervisores[[#This Row],[ORDEN]])-1,_xlfn.XMATCH(TablaSupervisores[REFERENCIA],TablaSeleccionSupervisores[#Headers])))</f>
        <v>504</v>
      </c>
      <c r="Y242" cm="1">
        <f t="array" ref="Y242">SUM(TablaSupervisores[DISPOSITIVOS BACNET MS/TP COMPATIBLES]*INDEX(TablaSeleccionSupervisores[],ROW(TablaSeleccionSupervisores[[#This Row],[ORDEN]])-1,_xlfn.XMATCH(TablaSupervisores[REFERENCIA],TablaSeleccionSupervisores[#Headers])))</f>
        <v>324</v>
      </c>
      <c r="Z242" cm="1">
        <f t="array" ref="Z242">SUM(TablaSupervisores[DISPOSITIVOS BACNET IP]*INDEX(TablaSeleccionSupervisores[],ROW(TablaSeleccionSupervisores[[#This Row],[ORDEN]])-1,_xlfn.XMATCH(TablaSupervisores[REFERENCIA],TablaSeleccionSupervisores[#Headers])))</f>
        <v>1010</v>
      </c>
      <c r="AA242" cm="1">
        <f t="array" ref="AA242">SUM(TablaSupervisores[OBJETOS]*INDEX(TablaSeleccionSupervisores[],ROW(TablaSeleccionSupervisores[[#This Row],[ORDEN]])-1,_xlfn.XMATCH(TablaSupervisores[REFERENCIA],TablaSeleccionSupervisores[#Headers])))</f>
        <v>17500</v>
      </c>
      <c r="AB242" s="28" cm="1">
        <f t="array" ref="AB242">SUM(TablaSupervisores[COSTE]*INDEX(TablaSeleccionSupervisores[],ROW(TablaSeleccionSupervisores[[#This Row],[ORDEN]])-1,_xlfn.XMATCH(TablaSupervisores[REFERENCIA],TablaSeleccionSupervisores[#Headers])))</f>
        <v>17239.399999999998</v>
      </c>
      <c r="AC242" cm="1">
        <f t="array" ref="AC242">SUM(INDEX(TablaSeleccionSupervisores[],ROW(TablaSeleccionSupervisores[[#This Row],[ORDEN]])-1,_xlfn.XMATCH(TablaSupervisores[REFERENCIA],TablaSeleccionSupervisores[#Headers])))</f>
        <v>6</v>
      </c>
      <c r="AD242" t="str" cm="1">
        <f t="array" ref="AD242">IF(INDEX(TablaSeleccionSupervisores[],ROW(TablaSeleccionSupervisores[[#This Row],[ORDEN]])-1,_xlfn.XMATCH("ADMITIDO ADSLITE",TablaSeleccionSupervisores[#Headers])+1)=0,"Sí admitido","No admitido")</f>
        <v>No admitido</v>
      </c>
      <c r="AE242">
        <v>1</v>
      </c>
      <c r="AF242">
        <v>2</v>
      </c>
      <c r="AG242">
        <v>2</v>
      </c>
      <c r="AH242">
        <v>1</v>
      </c>
    </row>
    <row r="243" spans="22:34" x14ac:dyDescent="0.25">
      <c r="V243">
        <v>242</v>
      </c>
      <c r="W243" cm="1">
        <f t="array" ref="W243">SUM(TablaSupervisores[DISPOSITIVOS TOTAL]*INDEX(TablaSeleccionSupervisores[],ROW(TablaSeleccionSupervisores[[#This Row],[ORDEN]])-1,_xlfn.XMATCH(TablaSupervisores[REFERENCIA],TablaSeleccionSupervisores[#Headers])))</f>
        <v>1624</v>
      </c>
      <c r="X243" cm="1">
        <f t="array" ref="X243">SUM(TablaSupervisores[DISPOSITIVOS BACNET MS/TP JC]*INDEX(TablaSeleccionSupervisores[],ROW(TablaSeleccionSupervisores[[#This Row],[ORDEN]])-1,_xlfn.XMATCH(TablaSupervisores[REFERENCIA],TablaSeleccionSupervisores[#Headers])))</f>
        <v>704</v>
      </c>
      <c r="Y243" cm="1">
        <f t="array" ref="Y243">SUM(TablaSupervisores[DISPOSITIVOS BACNET MS/TP COMPATIBLES]*INDEX(TablaSeleccionSupervisores[],ROW(TablaSeleccionSupervisores[[#This Row],[ORDEN]])-1,_xlfn.XMATCH(TablaSupervisores[REFERENCIA],TablaSeleccionSupervisores[#Headers])))</f>
        <v>452</v>
      </c>
      <c r="Z243" cm="1">
        <f t="array" ref="Z243">SUM(TablaSupervisores[DISPOSITIVOS BACNET IP]*INDEX(TablaSeleccionSupervisores[],ROW(TablaSeleccionSupervisores[[#This Row],[ORDEN]])-1,_xlfn.XMATCH(TablaSupervisores[REFERENCIA],TablaSeleccionSupervisores[#Headers])))</f>
        <v>1410</v>
      </c>
      <c r="AA243" cm="1">
        <f t="array" ref="AA243">SUM(TablaSupervisores[OBJETOS]*INDEX(TablaSeleccionSupervisores[],ROW(TablaSeleccionSupervisores[[#This Row],[ORDEN]])-1,_xlfn.XMATCH(TablaSupervisores[REFERENCIA],TablaSeleccionSupervisores[#Headers])))</f>
        <v>22500</v>
      </c>
      <c r="AB243" s="28" cm="1">
        <f t="array" ref="AB243">SUM(TablaSupervisores[COSTE]*INDEX(TablaSeleccionSupervisores[],ROW(TablaSeleccionSupervisores[[#This Row],[ORDEN]])-1,_xlfn.XMATCH(TablaSupervisores[REFERENCIA],TablaSeleccionSupervisores[#Headers])))</f>
        <v>22906.03</v>
      </c>
      <c r="AC243" cm="1">
        <f t="array" ref="AC243">SUM(INDEX(TablaSeleccionSupervisores[],ROW(TablaSeleccionSupervisores[[#This Row],[ORDEN]])-1,_xlfn.XMATCH(TablaSupervisores[REFERENCIA],TablaSeleccionSupervisores[#Headers])))</f>
        <v>7</v>
      </c>
      <c r="AD243" t="str" cm="1">
        <f t="array" ref="AD243">IF(INDEX(TablaSeleccionSupervisores[],ROW(TablaSeleccionSupervisores[[#This Row],[ORDEN]])-1,_xlfn.XMATCH("ADMITIDO ADSLITE",TablaSeleccionSupervisores[#Headers])+1)=0,"Sí admitido","No admitido")</f>
        <v>No admitido</v>
      </c>
      <c r="AE243">
        <v>2</v>
      </c>
      <c r="AF243">
        <v>2</v>
      </c>
      <c r="AG243">
        <v>2</v>
      </c>
      <c r="AH243">
        <v>1</v>
      </c>
    </row>
    <row r="244" spans="22:34" x14ac:dyDescent="0.25">
      <c r="V244">
        <v>243</v>
      </c>
      <c r="W244" cm="1">
        <f t="array" ref="W244">SUM(TablaSupervisores[DISPOSITIVOS TOTAL]*INDEX(TablaSeleccionSupervisores[],ROW(TablaSeleccionSupervisores[[#This Row],[ORDEN]])-1,_xlfn.XMATCH(TablaSupervisores[REFERENCIA],TablaSeleccionSupervisores[#Headers])))</f>
        <v>2224</v>
      </c>
      <c r="X244" cm="1">
        <f t="array" ref="X244">SUM(TablaSupervisores[DISPOSITIVOS BACNET MS/TP JC]*INDEX(TablaSeleccionSupervisores[],ROW(TablaSeleccionSupervisores[[#This Row],[ORDEN]])-1,_xlfn.XMATCH(TablaSupervisores[REFERENCIA],TablaSeleccionSupervisores[#Headers])))</f>
        <v>904</v>
      </c>
      <c r="Y244" cm="1">
        <f t="array" ref="Y244">SUM(TablaSupervisores[DISPOSITIVOS BACNET MS/TP COMPATIBLES]*INDEX(TablaSeleccionSupervisores[],ROW(TablaSeleccionSupervisores[[#This Row],[ORDEN]])-1,_xlfn.XMATCH(TablaSupervisores[REFERENCIA],TablaSeleccionSupervisores[#Headers])))</f>
        <v>580</v>
      </c>
      <c r="Z244" cm="1">
        <f t="array" ref="Z244">SUM(TablaSupervisores[DISPOSITIVOS BACNET IP]*INDEX(TablaSeleccionSupervisores[],ROW(TablaSeleccionSupervisores[[#This Row],[ORDEN]])-1,_xlfn.XMATCH(TablaSupervisores[REFERENCIA],TablaSeleccionSupervisores[#Headers])))</f>
        <v>1810</v>
      </c>
      <c r="AA244" cm="1">
        <f t="array" ref="AA244">SUM(TablaSupervisores[OBJETOS]*INDEX(TablaSeleccionSupervisores[],ROW(TablaSeleccionSupervisores[[#This Row],[ORDEN]])-1,_xlfn.XMATCH(TablaSupervisores[REFERENCIA],TablaSeleccionSupervisores[#Headers])))</f>
        <v>27500</v>
      </c>
      <c r="AB244" s="28" cm="1">
        <f t="array" ref="AB244">SUM(TablaSupervisores[COSTE]*INDEX(TablaSeleccionSupervisores[],ROW(TablaSeleccionSupervisores[[#This Row],[ORDEN]])-1,_xlfn.XMATCH(TablaSupervisores[REFERENCIA],TablaSeleccionSupervisores[#Headers])))</f>
        <v>28572.659999999996</v>
      </c>
      <c r="AC244" cm="1">
        <f t="array" ref="AC244">SUM(INDEX(TablaSeleccionSupervisores[],ROW(TablaSeleccionSupervisores[[#This Row],[ORDEN]])-1,_xlfn.XMATCH(TablaSupervisores[REFERENCIA],TablaSeleccionSupervisores[#Headers])))</f>
        <v>8</v>
      </c>
      <c r="AD244" t="str" cm="1">
        <f t="array" ref="AD244">IF(INDEX(TablaSeleccionSupervisores[],ROW(TablaSeleccionSupervisores[[#This Row],[ORDEN]])-1,_xlfn.XMATCH("ADMITIDO ADSLITE",TablaSeleccionSupervisores[#Headers])+1)=0,"Sí admitido","No admitido")</f>
        <v>No admitido</v>
      </c>
      <c r="AE244">
        <v>3</v>
      </c>
      <c r="AF244">
        <v>2</v>
      </c>
      <c r="AG244">
        <v>2</v>
      </c>
      <c r="AH244">
        <v>1</v>
      </c>
    </row>
    <row r="245" spans="22:34" x14ac:dyDescent="0.25">
      <c r="V245">
        <v>244</v>
      </c>
      <c r="W245" cm="1">
        <f t="array" ref="W245">SUM(TablaSupervisores[DISPOSITIVOS TOTAL]*INDEX(TablaSeleccionSupervisores[],ROW(TablaSeleccionSupervisores[[#This Row],[ORDEN]])-1,_xlfn.XMATCH(TablaSupervisores[REFERENCIA],TablaSeleccionSupervisores[#Headers])))</f>
        <v>574</v>
      </c>
      <c r="X245" cm="1">
        <f t="array" ref="X245">SUM(TablaSupervisores[DISPOSITIVOS BACNET MS/TP JC]*INDEX(TablaSeleccionSupervisores[],ROW(TablaSeleccionSupervisores[[#This Row],[ORDEN]])-1,_xlfn.XMATCH(TablaSupervisores[REFERENCIA],TablaSeleccionSupervisores[#Headers])))</f>
        <v>404</v>
      </c>
      <c r="Y245" cm="1">
        <f t="array" ref="Y245">SUM(TablaSupervisores[DISPOSITIVOS BACNET MS/TP COMPATIBLES]*INDEX(TablaSeleccionSupervisores[],ROW(TablaSeleccionSupervisores[[#This Row],[ORDEN]])-1,_xlfn.XMATCH(TablaSupervisores[REFERENCIA],TablaSeleccionSupervisores[#Headers])))</f>
        <v>260</v>
      </c>
      <c r="Z245" cm="1">
        <f t="array" ref="Z245">SUM(TablaSupervisores[DISPOSITIVOS BACNET IP]*INDEX(TablaSeleccionSupervisores[],ROW(TablaSeleccionSupervisores[[#This Row],[ORDEN]])-1,_xlfn.XMATCH(TablaSupervisores[REFERENCIA],TablaSeleccionSupervisores[#Headers])))</f>
        <v>810</v>
      </c>
      <c r="AA245" cm="1">
        <f t="array" ref="AA245">SUM(TablaSupervisores[OBJETOS]*INDEX(TablaSeleccionSupervisores[],ROW(TablaSeleccionSupervisores[[#This Row],[ORDEN]])-1,_xlfn.XMATCH(TablaSupervisores[REFERENCIA],TablaSeleccionSupervisores[#Headers])))</f>
        <v>15000</v>
      </c>
      <c r="AB245" s="28" cm="1">
        <f t="array" ref="AB245">SUM(TablaSupervisores[COSTE]*INDEX(TablaSeleccionSupervisores[],ROW(TablaSeleccionSupervisores[[#This Row],[ORDEN]])-1,_xlfn.XMATCH(TablaSupervisores[REFERENCIA],TablaSeleccionSupervisores[#Headers])))</f>
        <v>15561.500000000002</v>
      </c>
      <c r="AC245" cm="1">
        <f t="array" ref="AC245">SUM(INDEX(TablaSeleccionSupervisores[],ROW(TablaSeleccionSupervisores[[#This Row],[ORDEN]])-1,_xlfn.XMATCH(TablaSupervisores[REFERENCIA],TablaSeleccionSupervisores[#Headers])))</f>
        <v>6</v>
      </c>
      <c r="AD245" t="str" cm="1">
        <f t="array" ref="AD245">IF(INDEX(TablaSeleccionSupervisores[],ROW(TablaSeleccionSupervisores[[#This Row],[ORDEN]])-1,_xlfn.XMATCH("ADMITIDO ADSLITE",TablaSeleccionSupervisores[#Headers])+1)=0,"Sí admitido","No admitido")</f>
        <v>Sí admitido</v>
      </c>
      <c r="AE245">
        <v>0</v>
      </c>
      <c r="AF245">
        <v>3</v>
      </c>
      <c r="AG245">
        <v>2</v>
      </c>
      <c r="AH245">
        <v>1</v>
      </c>
    </row>
    <row r="246" spans="22:34" x14ac:dyDescent="0.25">
      <c r="V246">
        <v>245</v>
      </c>
      <c r="W246" cm="1">
        <f t="array" ref="W246">SUM(TablaSupervisores[DISPOSITIVOS TOTAL]*INDEX(TablaSeleccionSupervisores[],ROW(TablaSeleccionSupervisores[[#This Row],[ORDEN]])-1,_xlfn.XMATCH(TablaSupervisores[REFERENCIA],TablaSeleccionSupervisores[#Headers])))</f>
        <v>1174</v>
      </c>
      <c r="X246" cm="1">
        <f t="array" ref="X246">SUM(TablaSupervisores[DISPOSITIVOS BACNET MS/TP JC]*INDEX(TablaSeleccionSupervisores[],ROW(TablaSeleccionSupervisores[[#This Row],[ORDEN]])-1,_xlfn.XMATCH(TablaSupervisores[REFERENCIA],TablaSeleccionSupervisores[#Headers])))</f>
        <v>604</v>
      </c>
      <c r="Y246" cm="1">
        <f t="array" ref="Y246">SUM(TablaSupervisores[DISPOSITIVOS BACNET MS/TP COMPATIBLES]*INDEX(TablaSeleccionSupervisores[],ROW(TablaSeleccionSupervisores[[#This Row],[ORDEN]])-1,_xlfn.XMATCH(TablaSupervisores[REFERENCIA],TablaSeleccionSupervisores[#Headers])))</f>
        <v>388</v>
      </c>
      <c r="Z246" cm="1">
        <f t="array" ref="Z246">SUM(TablaSupervisores[DISPOSITIVOS BACNET IP]*INDEX(TablaSeleccionSupervisores[],ROW(TablaSeleccionSupervisores[[#This Row],[ORDEN]])-1,_xlfn.XMATCH(TablaSupervisores[REFERENCIA],TablaSeleccionSupervisores[#Headers])))</f>
        <v>1210</v>
      </c>
      <c r="AA246" cm="1">
        <f t="array" ref="AA246">SUM(TablaSupervisores[OBJETOS]*INDEX(TablaSeleccionSupervisores[],ROW(TablaSeleccionSupervisores[[#This Row],[ORDEN]])-1,_xlfn.XMATCH(TablaSupervisores[REFERENCIA],TablaSeleccionSupervisores[#Headers])))</f>
        <v>20000</v>
      </c>
      <c r="AB246" s="28" cm="1">
        <f t="array" ref="AB246">SUM(TablaSupervisores[COSTE]*INDEX(TablaSeleccionSupervisores[],ROW(TablaSeleccionSupervisores[[#This Row],[ORDEN]])-1,_xlfn.XMATCH(TablaSupervisores[REFERENCIA],TablaSeleccionSupervisores[#Headers])))</f>
        <v>21228.129999999997</v>
      </c>
      <c r="AC246" cm="1">
        <f t="array" ref="AC246">SUM(INDEX(TablaSeleccionSupervisores[],ROW(TablaSeleccionSupervisores[[#This Row],[ORDEN]])-1,_xlfn.XMATCH(TablaSupervisores[REFERENCIA],TablaSeleccionSupervisores[#Headers])))</f>
        <v>7</v>
      </c>
      <c r="AD246" t="str" cm="1">
        <f t="array" ref="AD246">IF(INDEX(TablaSeleccionSupervisores[],ROW(TablaSeleccionSupervisores[[#This Row],[ORDEN]])-1,_xlfn.XMATCH("ADMITIDO ADSLITE",TablaSeleccionSupervisores[#Headers])+1)=0,"Sí admitido","No admitido")</f>
        <v>No admitido</v>
      </c>
      <c r="AE246">
        <v>1</v>
      </c>
      <c r="AF246">
        <v>3</v>
      </c>
      <c r="AG246">
        <v>2</v>
      </c>
      <c r="AH246">
        <v>1</v>
      </c>
    </row>
    <row r="247" spans="22:34" x14ac:dyDescent="0.25">
      <c r="V247">
        <v>246</v>
      </c>
      <c r="W247" cm="1">
        <f t="array" ref="W247">SUM(TablaSupervisores[DISPOSITIVOS TOTAL]*INDEX(TablaSeleccionSupervisores[],ROW(TablaSeleccionSupervisores[[#This Row],[ORDEN]])-1,_xlfn.XMATCH(TablaSupervisores[REFERENCIA],TablaSeleccionSupervisores[#Headers])))</f>
        <v>1774</v>
      </c>
      <c r="X247" cm="1">
        <f t="array" ref="X247">SUM(TablaSupervisores[DISPOSITIVOS BACNET MS/TP JC]*INDEX(TablaSeleccionSupervisores[],ROW(TablaSeleccionSupervisores[[#This Row],[ORDEN]])-1,_xlfn.XMATCH(TablaSupervisores[REFERENCIA],TablaSeleccionSupervisores[#Headers])))</f>
        <v>804</v>
      </c>
      <c r="Y247" cm="1">
        <f t="array" ref="Y247">SUM(TablaSupervisores[DISPOSITIVOS BACNET MS/TP COMPATIBLES]*INDEX(TablaSeleccionSupervisores[],ROW(TablaSeleccionSupervisores[[#This Row],[ORDEN]])-1,_xlfn.XMATCH(TablaSupervisores[REFERENCIA],TablaSeleccionSupervisores[#Headers])))</f>
        <v>516</v>
      </c>
      <c r="Z247" cm="1">
        <f t="array" ref="Z247">SUM(TablaSupervisores[DISPOSITIVOS BACNET IP]*INDEX(TablaSeleccionSupervisores[],ROW(TablaSeleccionSupervisores[[#This Row],[ORDEN]])-1,_xlfn.XMATCH(TablaSupervisores[REFERENCIA],TablaSeleccionSupervisores[#Headers])))</f>
        <v>1610</v>
      </c>
      <c r="AA247" cm="1">
        <f t="array" ref="AA247">SUM(TablaSupervisores[OBJETOS]*INDEX(TablaSeleccionSupervisores[],ROW(TablaSeleccionSupervisores[[#This Row],[ORDEN]])-1,_xlfn.XMATCH(TablaSupervisores[REFERENCIA],TablaSeleccionSupervisores[#Headers])))</f>
        <v>25000</v>
      </c>
      <c r="AB247" s="28" cm="1">
        <f t="array" ref="AB247">SUM(TablaSupervisores[COSTE]*INDEX(TablaSeleccionSupervisores[],ROW(TablaSeleccionSupervisores[[#This Row],[ORDEN]])-1,_xlfn.XMATCH(TablaSupervisores[REFERENCIA],TablaSeleccionSupervisores[#Headers])))</f>
        <v>26894.76</v>
      </c>
      <c r="AC247" cm="1">
        <f t="array" ref="AC247">SUM(INDEX(TablaSeleccionSupervisores[],ROW(TablaSeleccionSupervisores[[#This Row],[ORDEN]])-1,_xlfn.XMATCH(TablaSupervisores[REFERENCIA],TablaSeleccionSupervisores[#Headers])))</f>
        <v>8</v>
      </c>
      <c r="AD247" t="str" cm="1">
        <f t="array" ref="AD247">IF(INDEX(TablaSeleccionSupervisores[],ROW(TablaSeleccionSupervisores[[#This Row],[ORDEN]])-1,_xlfn.XMATCH("ADMITIDO ADSLITE",TablaSeleccionSupervisores[#Headers])+1)=0,"Sí admitido","No admitido")</f>
        <v>No admitido</v>
      </c>
      <c r="AE247">
        <v>2</v>
      </c>
      <c r="AF247">
        <v>3</v>
      </c>
      <c r="AG247">
        <v>2</v>
      </c>
      <c r="AH247">
        <v>1</v>
      </c>
    </row>
    <row r="248" spans="22:34" x14ac:dyDescent="0.25">
      <c r="V248">
        <v>247</v>
      </c>
      <c r="W248" cm="1">
        <f t="array" ref="W248">SUM(TablaSupervisores[DISPOSITIVOS TOTAL]*INDEX(TablaSeleccionSupervisores[],ROW(TablaSeleccionSupervisores[[#This Row],[ORDEN]])-1,_xlfn.XMATCH(TablaSupervisores[REFERENCIA],TablaSeleccionSupervisores[#Headers])))</f>
        <v>724</v>
      </c>
      <c r="X248" cm="1">
        <f t="array" ref="X248">SUM(TablaSupervisores[DISPOSITIVOS BACNET MS/TP JC]*INDEX(TablaSeleccionSupervisores[],ROW(TablaSeleccionSupervisores[[#This Row],[ORDEN]])-1,_xlfn.XMATCH(TablaSupervisores[REFERENCIA],TablaSeleccionSupervisores[#Headers])))</f>
        <v>504</v>
      </c>
      <c r="Y248" cm="1">
        <f t="array" ref="Y248">SUM(TablaSupervisores[DISPOSITIVOS BACNET MS/TP COMPATIBLES]*INDEX(TablaSeleccionSupervisores[],ROW(TablaSeleccionSupervisores[[#This Row],[ORDEN]])-1,_xlfn.XMATCH(TablaSupervisores[REFERENCIA],TablaSeleccionSupervisores[#Headers])))</f>
        <v>324</v>
      </c>
      <c r="Z248" cm="1">
        <f t="array" ref="Z248">SUM(TablaSupervisores[DISPOSITIVOS BACNET IP]*INDEX(TablaSeleccionSupervisores[],ROW(TablaSeleccionSupervisores[[#This Row],[ORDEN]])-1,_xlfn.XMATCH(TablaSupervisores[REFERENCIA],TablaSeleccionSupervisores[#Headers])))</f>
        <v>1010</v>
      </c>
      <c r="AA248" cm="1">
        <f t="array" ref="AA248">SUM(TablaSupervisores[OBJETOS]*INDEX(TablaSeleccionSupervisores[],ROW(TablaSeleccionSupervisores[[#This Row],[ORDEN]])-1,_xlfn.XMATCH(TablaSupervisores[REFERENCIA],TablaSeleccionSupervisores[#Headers])))</f>
        <v>17500</v>
      </c>
      <c r="AB248" s="28" cm="1">
        <f t="array" ref="AB248">SUM(TablaSupervisores[COSTE]*INDEX(TablaSeleccionSupervisores[],ROW(TablaSeleccionSupervisores[[#This Row],[ORDEN]])-1,_xlfn.XMATCH(TablaSupervisores[REFERENCIA],TablaSeleccionSupervisores[#Headers])))</f>
        <v>19550.23</v>
      </c>
      <c r="AC248" cm="1">
        <f t="array" ref="AC248">SUM(INDEX(TablaSeleccionSupervisores[],ROW(TablaSeleccionSupervisores[[#This Row],[ORDEN]])-1,_xlfn.XMATCH(TablaSupervisores[REFERENCIA],TablaSeleccionSupervisores[#Headers])))</f>
        <v>7</v>
      </c>
      <c r="AD248" t="str" cm="1">
        <f t="array" ref="AD248">IF(INDEX(TablaSeleccionSupervisores[],ROW(TablaSeleccionSupervisores[[#This Row],[ORDEN]])-1,_xlfn.XMATCH("ADMITIDO ADSLITE",TablaSeleccionSupervisores[#Headers])+1)=0,"Sí admitido","No admitido")</f>
        <v>Sí admitido</v>
      </c>
      <c r="AE248">
        <v>0</v>
      </c>
      <c r="AF248">
        <v>4</v>
      </c>
      <c r="AG248">
        <v>2</v>
      </c>
      <c r="AH248">
        <v>1</v>
      </c>
    </row>
    <row r="249" spans="22:34" x14ac:dyDescent="0.25">
      <c r="V249">
        <v>248</v>
      </c>
      <c r="W249" cm="1">
        <f t="array" ref="W249">SUM(TablaSupervisores[DISPOSITIVOS TOTAL]*INDEX(TablaSeleccionSupervisores[],ROW(TablaSeleccionSupervisores[[#This Row],[ORDEN]])-1,_xlfn.XMATCH(TablaSupervisores[REFERENCIA],TablaSeleccionSupervisores[#Headers])))</f>
        <v>1324</v>
      </c>
      <c r="X249" cm="1">
        <f t="array" ref="X249">SUM(TablaSupervisores[DISPOSITIVOS BACNET MS/TP JC]*INDEX(TablaSeleccionSupervisores[],ROW(TablaSeleccionSupervisores[[#This Row],[ORDEN]])-1,_xlfn.XMATCH(TablaSupervisores[REFERENCIA],TablaSeleccionSupervisores[#Headers])))</f>
        <v>704</v>
      </c>
      <c r="Y249" cm="1">
        <f t="array" ref="Y249">SUM(TablaSupervisores[DISPOSITIVOS BACNET MS/TP COMPATIBLES]*INDEX(TablaSeleccionSupervisores[],ROW(TablaSeleccionSupervisores[[#This Row],[ORDEN]])-1,_xlfn.XMATCH(TablaSupervisores[REFERENCIA],TablaSeleccionSupervisores[#Headers])))</f>
        <v>452</v>
      </c>
      <c r="Z249" cm="1">
        <f t="array" ref="Z249">SUM(TablaSupervisores[DISPOSITIVOS BACNET IP]*INDEX(TablaSeleccionSupervisores[],ROW(TablaSeleccionSupervisores[[#This Row],[ORDEN]])-1,_xlfn.XMATCH(TablaSupervisores[REFERENCIA],TablaSeleccionSupervisores[#Headers])))</f>
        <v>1410</v>
      </c>
      <c r="AA249" cm="1">
        <f t="array" ref="AA249">SUM(TablaSupervisores[OBJETOS]*INDEX(TablaSeleccionSupervisores[],ROW(TablaSeleccionSupervisores[[#This Row],[ORDEN]])-1,_xlfn.XMATCH(TablaSupervisores[REFERENCIA],TablaSeleccionSupervisores[#Headers])))</f>
        <v>22500</v>
      </c>
      <c r="AB249" s="28" cm="1">
        <f t="array" ref="AB249">SUM(TablaSupervisores[COSTE]*INDEX(TablaSeleccionSupervisores[],ROW(TablaSeleccionSupervisores[[#This Row],[ORDEN]])-1,_xlfn.XMATCH(TablaSupervisores[REFERENCIA],TablaSeleccionSupervisores[#Headers])))</f>
        <v>25216.859999999997</v>
      </c>
      <c r="AC249" cm="1">
        <f t="array" ref="AC249">SUM(INDEX(TablaSeleccionSupervisores[],ROW(TablaSeleccionSupervisores[[#This Row],[ORDEN]])-1,_xlfn.XMATCH(TablaSupervisores[REFERENCIA],TablaSeleccionSupervisores[#Headers])))</f>
        <v>8</v>
      </c>
      <c r="AD249" t="str" cm="1">
        <f t="array" ref="AD249">IF(INDEX(TablaSeleccionSupervisores[],ROW(TablaSeleccionSupervisores[[#This Row],[ORDEN]])-1,_xlfn.XMATCH("ADMITIDO ADSLITE",TablaSeleccionSupervisores[#Headers])+1)=0,"Sí admitido","No admitido")</f>
        <v>No admitido</v>
      </c>
      <c r="AE249">
        <v>1</v>
      </c>
      <c r="AF249">
        <v>4</v>
      </c>
      <c r="AG249">
        <v>2</v>
      </c>
      <c r="AH249">
        <v>1</v>
      </c>
    </row>
    <row r="250" spans="22:34" x14ac:dyDescent="0.25">
      <c r="V250">
        <v>249</v>
      </c>
      <c r="W250" cm="1">
        <f t="array" ref="W250">SUM(TablaSupervisores[DISPOSITIVOS TOTAL]*INDEX(TablaSeleccionSupervisores[],ROW(TablaSeleccionSupervisores[[#This Row],[ORDEN]])-1,_xlfn.XMATCH(TablaSupervisores[REFERENCIA],TablaSeleccionSupervisores[#Headers])))</f>
        <v>874</v>
      </c>
      <c r="X250" cm="1">
        <f t="array" ref="X250">SUM(TablaSupervisores[DISPOSITIVOS BACNET MS/TP JC]*INDEX(TablaSeleccionSupervisores[],ROW(TablaSeleccionSupervisores[[#This Row],[ORDEN]])-1,_xlfn.XMATCH(TablaSupervisores[REFERENCIA],TablaSeleccionSupervisores[#Headers])))</f>
        <v>604</v>
      </c>
      <c r="Y250" cm="1">
        <f t="array" ref="Y250">SUM(TablaSupervisores[DISPOSITIVOS BACNET MS/TP COMPATIBLES]*INDEX(TablaSeleccionSupervisores[],ROW(TablaSeleccionSupervisores[[#This Row],[ORDEN]])-1,_xlfn.XMATCH(TablaSupervisores[REFERENCIA],TablaSeleccionSupervisores[#Headers])))</f>
        <v>388</v>
      </c>
      <c r="Z250" cm="1">
        <f t="array" ref="Z250">SUM(TablaSupervisores[DISPOSITIVOS BACNET IP]*INDEX(TablaSeleccionSupervisores[],ROW(TablaSeleccionSupervisores[[#This Row],[ORDEN]])-1,_xlfn.XMATCH(TablaSupervisores[REFERENCIA],TablaSeleccionSupervisores[#Headers])))</f>
        <v>1210</v>
      </c>
      <c r="AA250" cm="1">
        <f t="array" ref="AA250">SUM(TablaSupervisores[OBJETOS]*INDEX(TablaSeleccionSupervisores[],ROW(TablaSeleccionSupervisores[[#This Row],[ORDEN]])-1,_xlfn.XMATCH(TablaSupervisores[REFERENCIA],TablaSeleccionSupervisores[#Headers])))</f>
        <v>20000</v>
      </c>
      <c r="AB250" s="28" cm="1">
        <f t="array" ref="AB250">SUM(TablaSupervisores[COSTE]*INDEX(TablaSeleccionSupervisores[],ROW(TablaSeleccionSupervisores[[#This Row],[ORDEN]])-1,_xlfn.XMATCH(TablaSupervisores[REFERENCIA],TablaSeleccionSupervisores[#Headers])))</f>
        <v>23538.959999999999</v>
      </c>
      <c r="AC250" cm="1">
        <f t="array" ref="AC250">SUM(INDEX(TablaSeleccionSupervisores[],ROW(TablaSeleccionSupervisores[[#This Row],[ORDEN]])-1,_xlfn.XMATCH(TablaSupervisores[REFERENCIA],TablaSeleccionSupervisores[#Headers])))</f>
        <v>8</v>
      </c>
      <c r="AD250" t="str" cm="1">
        <f t="array" ref="AD250">IF(INDEX(TablaSeleccionSupervisores[],ROW(TablaSeleccionSupervisores[[#This Row],[ORDEN]])-1,_xlfn.XMATCH("ADMITIDO ADSLITE",TablaSeleccionSupervisores[#Headers])+1)=0,"Sí admitido","No admitido")</f>
        <v>Sí admitido</v>
      </c>
      <c r="AE250">
        <v>0</v>
      </c>
      <c r="AF250">
        <v>5</v>
      </c>
      <c r="AG250">
        <v>2</v>
      </c>
      <c r="AH250">
        <v>1</v>
      </c>
    </row>
    <row r="251" spans="22:34" x14ac:dyDescent="0.25">
      <c r="V251">
        <v>250</v>
      </c>
      <c r="W251" cm="1">
        <f t="array" ref="W251">SUM(TablaSupervisores[DISPOSITIVOS TOTAL]*INDEX(TablaSeleccionSupervisores[],ROW(TablaSeleccionSupervisores[[#This Row],[ORDEN]])-1,_xlfn.XMATCH(TablaSupervisores[REFERENCIA],TablaSeleccionSupervisores[#Headers])))</f>
        <v>184</v>
      </c>
      <c r="X251" cm="1">
        <f t="array" ref="X251">SUM(TablaSupervisores[DISPOSITIVOS BACNET MS/TP JC]*INDEX(TablaSeleccionSupervisores[],ROW(TablaSeleccionSupervisores[[#This Row],[ORDEN]])-1,_xlfn.XMATCH(TablaSupervisores[REFERENCIA],TablaSeleccionSupervisores[#Headers])))</f>
        <v>154</v>
      </c>
      <c r="Y251" cm="1">
        <f t="array" ref="Y251">SUM(TablaSupervisores[DISPOSITIVOS BACNET MS/TP COMPATIBLES]*INDEX(TablaSeleccionSupervisores[],ROW(TablaSeleccionSupervisores[[#This Row],[ORDEN]])-1,_xlfn.XMATCH(TablaSupervisores[REFERENCIA],TablaSeleccionSupervisores[#Headers])))</f>
        <v>100</v>
      </c>
      <c r="Z251" cm="1">
        <f t="array" ref="Z251">SUM(TablaSupervisores[DISPOSITIVOS BACNET IP]*INDEX(TablaSeleccionSupervisores[],ROW(TablaSeleccionSupervisores[[#This Row],[ORDEN]])-1,_xlfn.XMATCH(TablaSupervisores[REFERENCIA],TablaSeleccionSupervisores[#Headers])))</f>
        <v>310</v>
      </c>
      <c r="AA251" cm="1">
        <f t="array" ref="AA251">SUM(TablaSupervisores[OBJETOS]*INDEX(TablaSeleccionSupervisores[],ROW(TablaSeleccionSupervisores[[#This Row],[ORDEN]])-1,_xlfn.XMATCH(TablaSupervisores[REFERENCIA],TablaSeleccionSupervisores[#Headers])))</f>
        <v>10000</v>
      </c>
      <c r="AB251" s="28" cm="1">
        <f t="array" ref="AB251">SUM(TablaSupervisores[COSTE]*INDEX(TablaSeleccionSupervisores[],ROW(TablaSeleccionSupervisores[[#This Row],[ORDEN]])-1,_xlfn.XMATCH(TablaSupervisores[REFERENCIA],TablaSeleccionSupervisores[#Headers])))</f>
        <v>5018.7900000000009</v>
      </c>
      <c r="AC251" cm="1">
        <f t="array" ref="AC251">SUM(INDEX(TablaSeleccionSupervisores[],ROW(TablaSeleccionSupervisores[[#This Row],[ORDEN]])-1,_xlfn.XMATCH(TablaSupervisores[REFERENCIA],TablaSeleccionSupervisores[#Headers])))</f>
        <v>4</v>
      </c>
      <c r="AD251" t="str" cm="1">
        <f t="array" ref="AD251">IF(INDEX(TablaSeleccionSupervisores[],ROW(TablaSeleccionSupervisores[[#This Row],[ORDEN]])-1,_xlfn.XMATCH("ADMITIDO ADSLITE",TablaSeleccionSupervisores[#Headers])+1)=0,"Sí admitido","No admitido")</f>
        <v>Sí admitido</v>
      </c>
      <c r="AE251">
        <v>0</v>
      </c>
      <c r="AF251">
        <v>0</v>
      </c>
      <c r="AG251">
        <v>3</v>
      </c>
      <c r="AH251">
        <v>1</v>
      </c>
    </row>
    <row r="252" spans="22:34" x14ac:dyDescent="0.25">
      <c r="V252">
        <v>251</v>
      </c>
      <c r="W252" cm="1">
        <f t="array" ref="W252">SUM(TablaSupervisores[DISPOSITIVOS TOTAL]*INDEX(TablaSeleccionSupervisores[],ROW(TablaSeleccionSupervisores[[#This Row],[ORDEN]])-1,_xlfn.XMATCH(TablaSupervisores[REFERENCIA],TablaSeleccionSupervisores[#Headers])))</f>
        <v>784</v>
      </c>
      <c r="X252" cm="1">
        <f t="array" ref="X252">SUM(TablaSupervisores[DISPOSITIVOS BACNET MS/TP JC]*INDEX(TablaSeleccionSupervisores[],ROW(TablaSeleccionSupervisores[[#This Row],[ORDEN]])-1,_xlfn.XMATCH(TablaSupervisores[REFERENCIA],TablaSeleccionSupervisores[#Headers])))</f>
        <v>354</v>
      </c>
      <c r="Y252" cm="1">
        <f t="array" ref="Y252">SUM(TablaSupervisores[DISPOSITIVOS BACNET MS/TP COMPATIBLES]*INDEX(TablaSeleccionSupervisores[],ROW(TablaSeleccionSupervisores[[#This Row],[ORDEN]])-1,_xlfn.XMATCH(TablaSupervisores[REFERENCIA],TablaSeleccionSupervisores[#Headers])))</f>
        <v>228</v>
      </c>
      <c r="Z252" cm="1">
        <f t="array" ref="Z252">SUM(TablaSupervisores[DISPOSITIVOS BACNET IP]*INDEX(TablaSeleccionSupervisores[],ROW(TablaSeleccionSupervisores[[#This Row],[ORDEN]])-1,_xlfn.XMATCH(TablaSupervisores[REFERENCIA],TablaSeleccionSupervisores[#Headers])))</f>
        <v>710</v>
      </c>
      <c r="AA252" cm="1">
        <f t="array" ref="AA252">SUM(TablaSupervisores[OBJETOS]*INDEX(TablaSeleccionSupervisores[],ROW(TablaSeleccionSupervisores[[#This Row],[ORDEN]])-1,_xlfn.XMATCH(TablaSupervisores[REFERENCIA],TablaSeleccionSupervisores[#Headers])))</f>
        <v>15000</v>
      </c>
      <c r="AB252" s="28" cm="1">
        <f t="array" ref="AB252">SUM(TablaSupervisores[COSTE]*INDEX(TablaSeleccionSupervisores[],ROW(TablaSeleccionSupervisores[[#This Row],[ORDEN]])-1,_xlfn.XMATCH(TablaSupervisores[REFERENCIA],TablaSeleccionSupervisores[#Headers])))</f>
        <v>10685.42</v>
      </c>
      <c r="AC252" cm="1">
        <f t="array" ref="AC252">SUM(INDEX(TablaSeleccionSupervisores[],ROW(TablaSeleccionSupervisores[[#This Row],[ORDEN]])-1,_xlfn.XMATCH(TablaSupervisores[REFERENCIA],TablaSeleccionSupervisores[#Headers])))</f>
        <v>5</v>
      </c>
      <c r="AD252" t="str" cm="1">
        <f t="array" ref="AD252">IF(INDEX(TablaSeleccionSupervisores[],ROW(TablaSeleccionSupervisores[[#This Row],[ORDEN]])-1,_xlfn.XMATCH("ADMITIDO ADSLITE",TablaSeleccionSupervisores[#Headers])+1)=0,"Sí admitido","No admitido")</f>
        <v>No admitido</v>
      </c>
      <c r="AE252">
        <v>1</v>
      </c>
      <c r="AF252">
        <v>0</v>
      </c>
      <c r="AG252">
        <v>3</v>
      </c>
      <c r="AH252">
        <v>1</v>
      </c>
    </row>
    <row r="253" spans="22:34" x14ac:dyDescent="0.25">
      <c r="V253">
        <v>252</v>
      </c>
      <c r="W253" cm="1">
        <f t="array" ref="W253">SUM(TablaSupervisores[DISPOSITIVOS TOTAL]*INDEX(TablaSeleccionSupervisores[],ROW(TablaSeleccionSupervisores[[#This Row],[ORDEN]])-1,_xlfn.XMATCH(TablaSupervisores[REFERENCIA],TablaSeleccionSupervisores[#Headers])))</f>
        <v>1384</v>
      </c>
      <c r="X253" cm="1">
        <f t="array" ref="X253">SUM(TablaSupervisores[DISPOSITIVOS BACNET MS/TP JC]*INDEX(TablaSeleccionSupervisores[],ROW(TablaSeleccionSupervisores[[#This Row],[ORDEN]])-1,_xlfn.XMATCH(TablaSupervisores[REFERENCIA],TablaSeleccionSupervisores[#Headers])))</f>
        <v>554</v>
      </c>
      <c r="Y253" cm="1">
        <f t="array" ref="Y253">SUM(TablaSupervisores[DISPOSITIVOS BACNET MS/TP COMPATIBLES]*INDEX(TablaSeleccionSupervisores[],ROW(TablaSeleccionSupervisores[[#This Row],[ORDEN]])-1,_xlfn.XMATCH(TablaSupervisores[REFERENCIA],TablaSeleccionSupervisores[#Headers])))</f>
        <v>356</v>
      </c>
      <c r="Z253" cm="1">
        <f t="array" ref="Z253">SUM(TablaSupervisores[DISPOSITIVOS BACNET IP]*INDEX(TablaSeleccionSupervisores[],ROW(TablaSeleccionSupervisores[[#This Row],[ORDEN]])-1,_xlfn.XMATCH(TablaSupervisores[REFERENCIA],TablaSeleccionSupervisores[#Headers])))</f>
        <v>1110</v>
      </c>
      <c r="AA253" cm="1">
        <f t="array" ref="AA253">SUM(TablaSupervisores[OBJETOS]*INDEX(TablaSeleccionSupervisores[],ROW(TablaSeleccionSupervisores[[#This Row],[ORDEN]])-1,_xlfn.XMATCH(TablaSupervisores[REFERENCIA],TablaSeleccionSupervisores[#Headers])))</f>
        <v>20000</v>
      </c>
      <c r="AB253" s="28" cm="1">
        <f t="array" ref="AB253">SUM(TablaSupervisores[COSTE]*INDEX(TablaSeleccionSupervisores[],ROW(TablaSeleccionSupervisores[[#This Row],[ORDEN]])-1,_xlfn.XMATCH(TablaSupervisores[REFERENCIA],TablaSeleccionSupervisores[#Headers])))</f>
        <v>16352.050000000001</v>
      </c>
      <c r="AC253" cm="1">
        <f t="array" ref="AC253">SUM(INDEX(TablaSeleccionSupervisores[],ROW(TablaSeleccionSupervisores[[#This Row],[ORDEN]])-1,_xlfn.XMATCH(TablaSupervisores[REFERENCIA],TablaSeleccionSupervisores[#Headers])))</f>
        <v>6</v>
      </c>
      <c r="AD253" t="str" cm="1">
        <f t="array" ref="AD253">IF(INDEX(TablaSeleccionSupervisores[],ROW(TablaSeleccionSupervisores[[#This Row],[ORDEN]])-1,_xlfn.XMATCH("ADMITIDO ADSLITE",TablaSeleccionSupervisores[#Headers])+1)=0,"Sí admitido","No admitido")</f>
        <v>No admitido</v>
      </c>
      <c r="AE253">
        <v>2</v>
      </c>
      <c r="AF253">
        <v>0</v>
      </c>
      <c r="AG253">
        <v>3</v>
      </c>
      <c r="AH253">
        <v>1</v>
      </c>
    </row>
    <row r="254" spans="22:34" x14ac:dyDescent="0.25">
      <c r="V254">
        <v>253</v>
      </c>
      <c r="W254" cm="1">
        <f t="array" ref="W254">SUM(TablaSupervisores[DISPOSITIVOS TOTAL]*INDEX(TablaSeleccionSupervisores[],ROW(TablaSeleccionSupervisores[[#This Row],[ORDEN]])-1,_xlfn.XMATCH(TablaSupervisores[REFERENCIA],TablaSeleccionSupervisores[#Headers])))</f>
        <v>1984</v>
      </c>
      <c r="X254" cm="1">
        <f t="array" ref="X254">SUM(TablaSupervisores[DISPOSITIVOS BACNET MS/TP JC]*INDEX(TablaSeleccionSupervisores[],ROW(TablaSeleccionSupervisores[[#This Row],[ORDEN]])-1,_xlfn.XMATCH(TablaSupervisores[REFERENCIA],TablaSeleccionSupervisores[#Headers])))</f>
        <v>754</v>
      </c>
      <c r="Y254" cm="1">
        <f t="array" ref="Y254">SUM(TablaSupervisores[DISPOSITIVOS BACNET MS/TP COMPATIBLES]*INDEX(TablaSeleccionSupervisores[],ROW(TablaSeleccionSupervisores[[#This Row],[ORDEN]])-1,_xlfn.XMATCH(TablaSupervisores[REFERENCIA],TablaSeleccionSupervisores[#Headers])))</f>
        <v>484</v>
      </c>
      <c r="Z254" cm="1">
        <f t="array" ref="Z254">SUM(TablaSupervisores[DISPOSITIVOS BACNET IP]*INDEX(TablaSeleccionSupervisores[],ROW(TablaSeleccionSupervisores[[#This Row],[ORDEN]])-1,_xlfn.XMATCH(TablaSupervisores[REFERENCIA],TablaSeleccionSupervisores[#Headers])))</f>
        <v>1510</v>
      </c>
      <c r="AA254" cm="1">
        <f t="array" ref="AA254">SUM(TablaSupervisores[OBJETOS]*INDEX(TablaSeleccionSupervisores[],ROW(TablaSeleccionSupervisores[[#This Row],[ORDEN]])-1,_xlfn.XMATCH(TablaSupervisores[REFERENCIA],TablaSeleccionSupervisores[#Headers])))</f>
        <v>25000</v>
      </c>
      <c r="AB254" s="28" cm="1">
        <f t="array" ref="AB254">SUM(TablaSupervisores[COSTE]*INDEX(TablaSeleccionSupervisores[],ROW(TablaSeleccionSupervisores[[#This Row],[ORDEN]])-1,_xlfn.XMATCH(TablaSupervisores[REFERENCIA],TablaSeleccionSupervisores[#Headers])))</f>
        <v>22018.68</v>
      </c>
      <c r="AC254" cm="1">
        <f t="array" ref="AC254">SUM(INDEX(TablaSeleccionSupervisores[],ROW(TablaSeleccionSupervisores[[#This Row],[ORDEN]])-1,_xlfn.XMATCH(TablaSupervisores[REFERENCIA],TablaSeleccionSupervisores[#Headers])))</f>
        <v>7</v>
      </c>
      <c r="AD254" t="str" cm="1">
        <f t="array" ref="AD254">IF(INDEX(TablaSeleccionSupervisores[],ROW(TablaSeleccionSupervisores[[#This Row],[ORDEN]])-1,_xlfn.XMATCH("ADMITIDO ADSLITE",TablaSeleccionSupervisores[#Headers])+1)=0,"Sí admitido","No admitido")</f>
        <v>No admitido</v>
      </c>
      <c r="AE254">
        <v>3</v>
      </c>
      <c r="AF254">
        <v>0</v>
      </c>
      <c r="AG254">
        <v>3</v>
      </c>
      <c r="AH254">
        <v>1</v>
      </c>
    </row>
    <row r="255" spans="22:34" x14ac:dyDescent="0.25">
      <c r="V255">
        <v>254</v>
      </c>
      <c r="W255" cm="1">
        <f t="array" ref="W255">SUM(TablaSupervisores[DISPOSITIVOS TOTAL]*INDEX(TablaSeleccionSupervisores[],ROW(TablaSeleccionSupervisores[[#This Row],[ORDEN]])-1,_xlfn.XMATCH(TablaSupervisores[REFERENCIA],TablaSeleccionSupervisores[#Headers])))</f>
        <v>2584</v>
      </c>
      <c r="X255" cm="1">
        <f t="array" ref="X255">SUM(TablaSupervisores[DISPOSITIVOS BACNET MS/TP JC]*INDEX(TablaSeleccionSupervisores[],ROW(TablaSeleccionSupervisores[[#This Row],[ORDEN]])-1,_xlfn.XMATCH(TablaSupervisores[REFERENCIA],TablaSeleccionSupervisores[#Headers])))</f>
        <v>954</v>
      </c>
      <c r="Y255" cm="1">
        <f t="array" ref="Y255">SUM(TablaSupervisores[DISPOSITIVOS BACNET MS/TP COMPATIBLES]*INDEX(TablaSeleccionSupervisores[],ROW(TablaSeleccionSupervisores[[#This Row],[ORDEN]])-1,_xlfn.XMATCH(TablaSupervisores[REFERENCIA],TablaSeleccionSupervisores[#Headers])))</f>
        <v>612</v>
      </c>
      <c r="Z255" cm="1">
        <f t="array" ref="Z255">SUM(TablaSupervisores[DISPOSITIVOS BACNET IP]*INDEX(TablaSeleccionSupervisores[],ROW(TablaSeleccionSupervisores[[#This Row],[ORDEN]])-1,_xlfn.XMATCH(TablaSupervisores[REFERENCIA],TablaSeleccionSupervisores[#Headers])))</f>
        <v>1910</v>
      </c>
      <c r="AA255" cm="1">
        <f t="array" ref="AA255">SUM(TablaSupervisores[OBJETOS]*INDEX(TablaSeleccionSupervisores[],ROW(TablaSeleccionSupervisores[[#This Row],[ORDEN]])-1,_xlfn.XMATCH(TablaSupervisores[REFERENCIA],TablaSeleccionSupervisores[#Headers])))</f>
        <v>30000</v>
      </c>
      <c r="AB255" s="28" cm="1">
        <f t="array" ref="AB255">SUM(TablaSupervisores[COSTE]*INDEX(TablaSeleccionSupervisores[],ROW(TablaSeleccionSupervisores[[#This Row],[ORDEN]])-1,_xlfn.XMATCH(TablaSupervisores[REFERENCIA],TablaSeleccionSupervisores[#Headers])))</f>
        <v>27685.309999999998</v>
      </c>
      <c r="AC255" cm="1">
        <f t="array" ref="AC255">SUM(INDEX(TablaSeleccionSupervisores[],ROW(TablaSeleccionSupervisores[[#This Row],[ORDEN]])-1,_xlfn.XMATCH(TablaSupervisores[REFERENCIA],TablaSeleccionSupervisores[#Headers])))</f>
        <v>8</v>
      </c>
      <c r="AD255" t="str" cm="1">
        <f t="array" ref="AD255">IF(INDEX(TablaSeleccionSupervisores[],ROW(TablaSeleccionSupervisores[[#This Row],[ORDEN]])-1,_xlfn.XMATCH("ADMITIDO ADSLITE",TablaSeleccionSupervisores[#Headers])+1)=0,"Sí admitido","No admitido")</f>
        <v>No admitido</v>
      </c>
      <c r="AE255">
        <v>4</v>
      </c>
      <c r="AF255">
        <v>0</v>
      </c>
      <c r="AG255">
        <v>3</v>
      </c>
      <c r="AH255">
        <v>1</v>
      </c>
    </row>
    <row r="256" spans="22:34" x14ac:dyDescent="0.25">
      <c r="V256">
        <v>255</v>
      </c>
      <c r="W256" cm="1">
        <f t="array" ref="W256">SUM(TablaSupervisores[DISPOSITIVOS TOTAL]*INDEX(TablaSeleccionSupervisores[],ROW(TablaSeleccionSupervisores[[#This Row],[ORDEN]])-1,_xlfn.XMATCH(TablaSupervisores[REFERENCIA],TablaSeleccionSupervisores[#Headers])))</f>
        <v>334</v>
      </c>
      <c r="X256" cm="1">
        <f t="array" ref="X256">SUM(TablaSupervisores[DISPOSITIVOS BACNET MS/TP JC]*INDEX(TablaSeleccionSupervisores[],ROW(TablaSeleccionSupervisores[[#This Row],[ORDEN]])-1,_xlfn.XMATCH(TablaSupervisores[REFERENCIA],TablaSeleccionSupervisores[#Headers])))</f>
        <v>254</v>
      </c>
      <c r="Y256" cm="1">
        <f t="array" ref="Y256">SUM(TablaSupervisores[DISPOSITIVOS BACNET MS/TP COMPATIBLES]*INDEX(TablaSeleccionSupervisores[],ROW(TablaSeleccionSupervisores[[#This Row],[ORDEN]])-1,_xlfn.XMATCH(TablaSupervisores[REFERENCIA],TablaSeleccionSupervisores[#Headers])))</f>
        <v>164</v>
      </c>
      <c r="Z256" cm="1">
        <f t="array" ref="Z256">SUM(TablaSupervisores[DISPOSITIVOS BACNET IP]*INDEX(TablaSeleccionSupervisores[],ROW(TablaSeleccionSupervisores[[#This Row],[ORDEN]])-1,_xlfn.XMATCH(TablaSupervisores[REFERENCIA],TablaSeleccionSupervisores[#Headers])))</f>
        <v>510</v>
      </c>
      <c r="AA256" cm="1">
        <f t="array" ref="AA256">SUM(TablaSupervisores[OBJETOS]*INDEX(TablaSeleccionSupervisores[],ROW(TablaSeleccionSupervisores[[#This Row],[ORDEN]])-1,_xlfn.XMATCH(TablaSupervisores[REFERENCIA],TablaSeleccionSupervisores[#Headers])))</f>
        <v>12500</v>
      </c>
      <c r="AB256" s="28" cm="1">
        <f t="array" ref="AB256">SUM(TablaSupervisores[COSTE]*INDEX(TablaSeleccionSupervisores[],ROW(TablaSeleccionSupervisores[[#This Row],[ORDEN]])-1,_xlfn.XMATCH(TablaSupervisores[REFERENCIA],TablaSeleccionSupervisores[#Headers])))</f>
        <v>9007.52</v>
      </c>
      <c r="AC256" cm="1">
        <f t="array" ref="AC256">SUM(INDEX(TablaSeleccionSupervisores[],ROW(TablaSeleccionSupervisores[[#This Row],[ORDEN]])-1,_xlfn.XMATCH(TablaSupervisores[REFERENCIA],TablaSeleccionSupervisores[#Headers])))</f>
        <v>5</v>
      </c>
      <c r="AD256" t="str" cm="1">
        <f t="array" ref="AD256">IF(INDEX(TablaSeleccionSupervisores[],ROW(TablaSeleccionSupervisores[[#This Row],[ORDEN]])-1,_xlfn.XMATCH("ADMITIDO ADSLITE",TablaSeleccionSupervisores[#Headers])+1)=0,"Sí admitido","No admitido")</f>
        <v>Sí admitido</v>
      </c>
      <c r="AE256">
        <v>0</v>
      </c>
      <c r="AF256">
        <v>1</v>
      </c>
      <c r="AG256">
        <v>3</v>
      </c>
      <c r="AH256">
        <v>1</v>
      </c>
    </row>
    <row r="257" spans="22:34" x14ac:dyDescent="0.25">
      <c r="V257">
        <v>256</v>
      </c>
      <c r="W257" cm="1">
        <f t="array" ref="W257">SUM(TablaSupervisores[DISPOSITIVOS TOTAL]*INDEX(TablaSeleccionSupervisores[],ROW(TablaSeleccionSupervisores[[#This Row],[ORDEN]])-1,_xlfn.XMATCH(TablaSupervisores[REFERENCIA],TablaSeleccionSupervisores[#Headers])))</f>
        <v>934</v>
      </c>
      <c r="X257" cm="1">
        <f t="array" ref="X257">SUM(TablaSupervisores[DISPOSITIVOS BACNET MS/TP JC]*INDEX(TablaSeleccionSupervisores[],ROW(TablaSeleccionSupervisores[[#This Row],[ORDEN]])-1,_xlfn.XMATCH(TablaSupervisores[REFERENCIA],TablaSeleccionSupervisores[#Headers])))</f>
        <v>454</v>
      </c>
      <c r="Y257" cm="1">
        <f t="array" ref="Y257">SUM(TablaSupervisores[DISPOSITIVOS BACNET MS/TP COMPATIBLES]*INDEX(TablaSeleccionSupervisores[],ROW(TablaSeleccionSupervisores[[#This Row],[ORDEN]])-1,_xlfn.XMATCH(TablaSupervisores[REFERENCIA],TablaSeleccionSupervisores[#Headers])))</f>
        <v>292</v>
      </c>
      <c r="Z257" cm="1">
        <f t="array" ref="Z257">SUM(TablaSupervisores[DISPOSITIVOS BACNET IP]*INDEX(TablaSeleccionSupervisores[],ROW(TablaSeleccionSupervisores[[#This Row],[ORDEN]])-1,_xlfn.XMATCH(TablaSupervisores[REFERENCIA],TablaSeleccionSupervisores[#Headers])))</f>
        <v>910</v>
      </c>
      <c r="AA257" cm="1">
        <f t="array" ref="AA257">SUM(TablaSupervisores[OBJETOS]*INDEX(TablaSeleccionSupervisores[],ROW(TablaSeleccionSupervisores[[#This Row],[ORDEN]])-1,_xlfn.XMATCH(TablaSupervisores[REFERENCIA],TablaSeleccionSupervisores[#Headers])))</f>
        <v>17500</v>
      </c>
      <c r="AB257" s="28" cm="1">
        <f t="array" ref="AB257">SUM(TablaSupervisores[COSTE]*INDEX(TablaSeleccionSupervisores[],ROW(TablaSeleccionSupervisores[[#This Row],[ORDEN]])-1,_xlfn.XMATCH(TablaSupervisores[REFERENCIA],TablaSeleccionSupervisores[#Headers])))</f>
        <v>14674.150000000001</v>
      </c>
      <c r="AC257" cm="1">
        <f t="array" ref="AC257">SUM(INDEX(TablaSeleccionSupervisores[],ROW(TablaSeleccionSupervisores[[#This Row],[ORDEN]])-1,_xlfn.XMATCH(TablaSupervisores[REFERENCIA],TablaSeleccionSupervisores[#Headers])))</f>
        <v>6</v>
      </c>
      <c r="AD257" t="str" cm="1">
        <f t="array" ref="AD257">IF(INDEX(TablaSeleccionSupervisores[],ROW(TablaSeleccionSupervisores[[#This Row],[ORDEN]])-1,_xlfn.XMATCH("ADMITIDO ADSLITE",TablaSeleccionSupervisores[#Headers])+1)=0,"Sí admitido","No admitido")</f>
        <v>No admitido</v>
      </c>
      <c r="AE257">
        <v>1</v>
      </c>
      <c r="AF257">
        <v>1</v>
      </c>
      <c r="AG257">
        <v>3</v>
      </c>
      <c r="AH257">
        <v>1</v>
      </c>
    </row>
    <row r="258" spans="22:34" x14ac:dyDescent="0.25">
      <c r="V258">
        <v>257</v>
      </c>
      <c r="W258" cm="1">
        <f t="array" ref="W258">SUM(TablaSupervisores[DISPOSITIVOS TOTAL]*INDEX(TablaSeleccionSupervisores[],ROW(TablaSeleccionSupervisores[[#This Row],[ORDEN]])-1,_xlfn.XMATCH(TablaSupervisores[REFERENCIA],TablaSeleccionSupervisores[#Headers])))</f>
        <v>1534</v>
      </c>
      <c r="X258" cm="1">
        <f t="array" ref="X258">SUM(TablaSupervisores[DISPOSITIVOS BACNET MS/TP JC]*INDEX(TablaSeleccionSupervisores[],ROW(TablaSeleccionSupervisores[[#This Row],[ORDEN]])-1,_xlfn.XMATCH(TablaSupervisores[REFERENCIA],TablaSeleccionSupervisores[#Headers])))</f>
        <v>654</v>
      </c>
      <c r="Y258" cm="1">
        <f t="array" ref="Y258">SUM(TablaSupervisores[DISPOSITIVOS BACNET MS/TP COMPATIBLES]*INDEX(TablaSeleccionSupervisores[],ROW(TablaSeleccionSupervisores[[#This Row],[ORDEN]])-1,_xlfn.XMATCH(TablaSupervisores[REFERENCIA],TablaSeleccionSupervisores[#Headers])))</f>
        <v>420</v>
      </c>
      <c r="Z258" cm="1">
        <f t="array" ref="Z258">SUM(TablaSupervisores[DISPOSITIVOS BACNET IP]*INDEX(TablaSeleccionSupervisores[],ROW(TablaSeleccionSupervisores[[#This Row],[ORDEN]])-1,_xlfn.XMATCH(TablaSupervisores[REFERENCIA],TablaSeleccionSupervisores[#Headers])))</f>
        <v>1310</v>
      </c>
      <c r="AA258" cm="1">
        <f t="array" ref="AA258">SUM(TablaSupervisores[OBJETOS]*INDEX(TablaSeleccionSupervisores[],ROW(TablaSeleccionSupervisores[[#This Row],[ORDEN]])-1,_xlfn.XMATCH(TablaSupervisores[REFERENCIA],TablaSeleccionSupervisores[#Headers])))</f>
        <v>22500</v>
      </c>
      <c r="AB258" s="28" cm="1">
        <f t="array" ref="AB258">SUM(TablaSupervisores[COSTE]*INDEX(TablaSeleccionSupervisores[],ROW(TablaSeleccionSupervisores[[#This Row],[ORDEN]])-1,_xlfn.XMATCH(TablaSupervisores[REFERENCIA],TablaSeleccionSupervisores[#Headers])))</f>
        <v>20340.78</v>
      </c>
      <c r="AC258" cm="1">
        <f t="array" ref="AC258">SUM(INDEX(TablaSeleccionSupervisores[],ROW(TablaSeleccionSupervisores[[#This Row],[ORDEN]])-1,_xlfn.XMATCH(TablaSupervisores[REFERENCIA],TablaSeleccionSupervisores[#Headers])))</f>
        <v>7</v>
      </c>
      <c r="AD258" t="str" cm="1">
        <f t="array" ref="AD258">IF(INDEX(TablaSeleccionSupervisores[],ROW(TablaSeleccionSupervisores[[#This Row],[ORDEN]])-1,_xlfn.XMATCH("ADMITIDO ADSLITE",TablaSeleccionSupervisores[#Headers])+1)=0,"Sí admitido","No admitido")</f>
        <v>No admitido</v>
      </c>
      <c r="AE258">
        <v>2</v>
      </c>
      <c r="AF258">
        <v>1</v>
      </c>
      <c r="AG258">
        <v>3</v>
      </c>
      <c r="AH258">
        <v>1</v>
      </c>
    </row>
    <row r="259" spans="22:34" x14ac:dyDescent="0.25">
      <c r="V259">
        <v>258</v>
      </c>
      <c r="W259" cm="1">
        <f t="array" ref="W259">SUM(TablaSupervisores[DISPOSITIVOS TOTAL]*INDEX(TablaSeleccionSupervisores[],ROW(TablaSeleccionSupervisores[[#This Row],[ORDEN]])-1,_xlfn.XMATCH(TablaSupervisores[REFERENCIA],TablaSeleccionSupervisores[#Headers])))</f>
        <v>2134</v>
      </c>
      <c r="X259" cm="1">
        <f t="array" ref="X259">SUM(TablaSupervisores[DISPOSITIVOS BACNET MS/TP JC]*INDEX(TablaSeleccionSupervisores[],ROW(TablaSeleccionSupervisores[[#This Row],[ORDEN]])-1,_xlfn.XMATCH(TablaSupervisores[REFERENCIA],TablaSeleccionSupervisores[#Headers])))</f>
        <v>854</v>
      </c>
      <c r="Y259" cm="1">
        <f t="array" ref="Y259">SUM(TablaSupervisores[DISPOSITIVOS BACNET MS/TP COMPATIBLES]*INDEX(TablaSeleccionSupervisores[],ROW(TablaSeleccionSupervisores[[#This Row],[ORDEN]])-1,_xlfn.XMATCH(TablaSupervisores[REFERENCIA],TablaSeleccionSupervisores[#Headers])))</f>
        <v>548</v>
      </c>
      <c r="Z259" cm="1">
        <f t="array" ref="Z259">SUM(TablaSupervisores[DISPOSITIVOS BACNET IP]*INDEX(TablaSeleccionSupervisores[],ROW(TablaSeleccionSupervisores[[#This Row],[ORDEN]])-1,_xlfn.XMATCH(TablaSupervisores[REFERENCIA],TablaSeleccionSupervisores[#Headers])))</f>
        <v>1710</v>
      </c>
      <c r="AA259" cm="1">
        <f t="array" ref="AA259">SUM(TablaSupervisores[OBJETOS]*INDEX(TablaSeleccionSupervisores[],ROW(TablaSeleccionSupervisores[[#This Row],[ORDEN]])-1,_xlfn.XMATCH(TablaSupervisores[REFERENCIA],TablaSeleccionSupervisores[#Headers])))</f>
        <v>27500</v>
      </c>
      <c r="AB259" s="28" cm="1">
        <f t="array" ref="AB259">SUM(TablaSupervisores[COSTE]*INDEX(TablaSeleccionSupervisores[],ROW(TablaSeleccionSupervisores[[#This Row],[ORDEN]])-1,_xlfn.XMATCH(TablaSupervisores[REFERENCIA],TablaSeleccionSupervisores[#Headers])))</f>
        <v>26007.409999999996</v>
      </c>
      <c r="AC259" cm="1">
        <f t="array" ref="AC259">SUM(INDEX(TablaSeleccionSupervisores[],ROW(TablaSeleccionSupervisores[[#This Row],[ORDEN]])-1,_xlfn.XMATCH(TablaSupervisores[REFERENCIA],TablaSeleccionSupervisores[#Headers])))</f>
        <v>8</v>
      </c>
      <c r="AD259" t="str" cm="1">
        <f t="array" ref="AD259">IF(INDEX(TablaSeleccionSupervisores[],ROW(TablaSeleccionSupervisores[[#This Row],[ORDEN]])-1,_xlfn.XMATCH("ADMITIDO ADSLITE",TablaSeleccionSupervisores[#Headers])+1)=0,"Sí admitido","No admitido")</f>
        <v>No admitido</v>
      </c>
      <c r="AE259">
        <v>3</v>
      </c>
      <c r="AF259">
        <v>1</v>
      </c>
      <c r="AG259">
        <v>3</v>
      </c>
      <c r="AH259">
        <v>1</v>
      </c>
    </row>
    <row r="260" spans="22:34" x14ac:dyDescent="0.25">
      <c r="V260">
        <v>259</v>
      </c>
      <c r="W260" cm="1">
        <f t="array" ref="W260">SUM(TablaSupervisores[DISPOSITIVOS TOTAL]*INDEX(TablaSeleccionSupervisores[],ROW(TablaSeleccionSupervisores[[#This Row],[ORDEN]])-1,_xlfn.XMATCH(TablaSupervisores[REFERENCIA],TablaSeleccionSupervisores[#Headers])))</f>
        <v>484</v>
      </c>
      <c r="X260" cm="1">
        <f t="array" ref="X260">SUM(TablaSupervisores[DISPOSITIVOS BACNET MS/TP JC]*INDEX(TablaSeleccionSupervisores[],ROW(TablaSeleccionSupervisores[[#This Row],[ORDEN]])-1,_xlfn.XMATCH(TablaSupervisores[REFERENCIA],TablaSeleccionSupervisores[#Headers])))</f>
        <v>354</v>
      </c>
      <c r="Y260" cm="1">
        <f t="array" ref="Y260">SUM(TablaSupervisores[DISPOSITIVOS BACNET MS/TP COMPATIBLES]*INDEX(TablaSeleccionSupervisores[],ROW(TablaSeleccionSupervisores[[#This Row],[ORDEN]])-1,_xlfn.XMATCH(TablaSupervisores[REFERENCIA],TablaSeleccionSupervisores[#Headers])))</f>
        <v>228</v>
      </c>
      <c r="Z260" cm="1">
        <f t="array" ref="Z260">SUM(TablaSupervisores[DISPOSITIVOS BACNET IP]*INDEX(TablaSeleccionSupervisores[],ROW(TablaSeleccionSupervisores[[#This Row],[ORDEN]])-1,_xlfn.XMATCH(TablaSupervisores[REFERENCIA],TablaSeleccionSupervisores[#Headers])))</f>
        <v>710</v>
      </c>
      <c r="AA260" cm="1">
        <f t="array" ref="AA260">SUM(TablaSupervisores[OBJETOS]*INDEX(TablaSeleccionSupervisores[],ROW(TablaSeleccionSupervisores[[#This Row],[ORDEN]])-1,_xlfn.XMATCH(TablaSupervisores[REFERENCIA],TablaSeleccionSupervisores[#Headers])))</f>
        <v>15000</v>
      </c>
      <c r="AB260" s="28" cm="1">
        <f t="array" ref="AB260">SUM(TablaSupervisores[COSTE]*INDEX(TablaSeleccionSupervisores[],ROW(TablaSeleccionSupervisores[[#This Row],[ORDEN]])-1,_xlfn.XMATCH(TablaSupervisores[REFERENCIA],TablaSeleccionSupervisores[#Headers])))</f>
        <v>12996.250000000002</v>
      </c>
      <c r="AC260" cm="1">
        <f t="array" ref="AC260">SUM(INDEX(TablaSeleccionSupervisores[],ROW(TablaSeleccionSupervisores[[#This Row],[ORDEN]])-1,_xlfn.XMATCH(TablaSupervisores[REFERENCIA],TablaSeleccionSupervisores[#Headers])))</f>
        <v>6</v>
      </c>
      <c r="AD260" t="str" cm="1">
        <f t="array" ref="AD260">IF(INDEX(TablaSeleccionSupervisores[],ROW(TablaSeleccionSupervisores[[#This Row],[ORDEN]])-1,_xlfn.XMATCH("ADMITIDO ADSLITE",TablaSeleccionSupervisores[#Headers])+1)=0,"Sí admitido","No admitido")</f>
        <v>Sí admitido</v>
      </c>
      <c r="AE260">
        <v>0</v>
      </c>
      <c r="AF260">
        <v>2</v>
      </c>
      <c r="AG260">
        <v>3</v>
      </c>
      <c r="AH260">
        <v>1</v>
      </c>
    </row>
    <row r="261" spans="22:34" x14ac:dyDescent="0.25">
      <c r="V261">
        <v>260</v>
      </c>
      <c r="W261" cm="1">
        <f t="array" ref="W261">SUM(TablaSupervisores[DISPOSITIVOS TOTAL]*INDEX(TablaSeleccionSupervisores[],ROW(TablaSeleccionSupervisores[[#This Row],[ORDEN]])-1,_xlfn.XMATCH(TablaSupervisores[REFERENCIA],TablaSeleccionSupervisores[#Headers])))</f>
        <v>1084</v>
      </c>
      <c r="X261" cm="1">
        <f t="array" ref="X261">SUM(TablaSupervisores[DISPOSITIVOS BACNET MS/TP JC]*INDEX(TablaSeleccionSupervisores[],ROW(TablaSeleccionSupervisores[[#This Row],[ORDEN]])-1,_xlfn.XMATCH(TablaSupervisores[REFERENCIA],TablaSeleccionSupervisores[#Headers])))</f>
        <v>554</v>
      </c>
      <c r="Y261" cm="1">
        <f t="array" ref="Y261">SUM(TablaSupervisores[DISPOSITIVOS BACNET MS/TP COMPATIBLES]*INDEX(TablaSeleccionSupervisores[],ROW(TablaSeleccionSupervisores[[#This Row],[ORDEN]])-1,_xlfn.XMATCH(TablaSupervisores[REFERENCIA],TablaSeleccionSupervisores[#Headers])))</f>
        <v>356</v>
      </c>
      <c r="Z261" cm="1">
        <f t="array" ref="Z261">SUM(TablaSupervisores[DISPOSITIVOS BACNET IP]*INDEX(TablaSeleccionSupervisores[],ROW(TablaSeleccionSupervisores[[#This Row],[ORDEN]])-1,_xlfn.XMATCH(TablaSupervisores[REFERENCIA],TablaSeleccionSupervisores[#Headers])))</f>
        <v>1110</v>
      </c>
      <c r="AA261" cm="1">
        <f t="array" ref="AA261">SUM(TablaSupervisores[OBJETOS]*INDEX(TablaSeleccionSupervisores[],ROW(TablaSeleccionSupervisores[[#This Row],[ORDEN]])-1,_xlfn.XMATCH(TablaSupervisores[REFERENCIA],TablaSeleccionSupervisores[#Headers])))</f>
        <v>20000</v>
      </c>
      <c r="AB261" s="28" cm="1">
        <f t="array" ref="AB261">SUM(TablaSupervisores[COSTE]*INDEX(TablaSeleccionSupervisores[],ROW(TablaSeleccionSupervisores[[#This Row],[ORDEN]])-1,_xlfn.XMATCH(TablaSupervisores[REFERENCIA],TablaSeleccionSupervisores[#Headers])))</f>
        <v>18662.879999999997</v>
      </c>
      <c r="AC261" cm="1">
        <f t="array" ref="AC261">SUM(INDEX(TablaSeleccionSupervisores[],ROW(TablaSeleccionSupervisores[[#This Row],[ORDEN]])-1,_xlfn.XMATCH(TablaSupervisores[REFERENCIA],TablaSeleccionSupervisores[#Headers])))</f>
        <v>7</v>
      </c>
      <c r="AD261" t="str" cm="1">
        <f t="array" ref="AD261">IF(INDEX(TablaSeleccionSupervisores[],ROW(TablaSeleccionSupervisores[[#This Row],[ORDEN]])-1,_xlfn.XMATCH("ADMITIDO ADSLITE",TablaSeleccionSupervisores[#Headers])+1)=0,"Sí admitido","No admitido")</f>
        <v>No admitido</v>
      </c>
      <c r="AE261">
        <v>1</v>
      </c>
      <c r="AF261">
        <v>2</v>
      </c>
      <c r="AG261">
        <v>3</v>
      </c>
      <c r="AH261">
        <v>1</v>
      </c>
    </row>
    <row r="262" spans="22:34" x14ac:dyDescent="0.25">
      <c r="V262">
        <v>261</v>
      </c>
      <c r="W262" cm="1">
        <f t="array" ref="W262">SUM(TablaSupervisores[DISPOSITIVOS TOTAL]*INDEX(TablaSeleccionSupervisores[],ROW(TablaSeleccionSupervisores[[#This Row],[ORDEN]])-1,_xlfn.XMATCH(TablaSupervisores[REFERENCIA],TablaSeleccionSupervisores[#Headers])))</f>
        <v>1684</v>
      </c>
      <c r="X262" cm="1">
        <f t="array" ref="X262">SUM(TablaSupervisores[DISPOSITIVOS BACNET MS/TP JC]*INDEX(TablaSeleccionSupervisores[],ROW(TablaSeleccionSupervisores[[#This Row],[ORDEN]])-1,_xlfn.XMATCH(TablaSupervisores[REFERENCIA],TablaSeleccionSupervisores[#Headers])))</f>
        <v>754</v>
      </c>
      <c r="Y262" cm="1">
        <f t="array" ref="Y262">SUM(TablaSupervisores[DISPOSITIVOS BACNET MS/TP COMPATIBLES]*INDEX(TablaSeleccionSupervisores[],ROW(TablaSeleccionSupervisores[[#This Row],[ORDEN]])-1,_xlfn.XMATCH(TablaSupervisores[REFERENCIA],TablaSeleccionSupervisores[#Headers])))</f>
        <v>484</v>
      </c>
      <c r="Z262" cm="1">
        <f t="array" ref="Z262">SUM(TablaSupervisores[DISPOSITIVOS BACNET IP]*INDEX(TablaSeleccionSupervisores[],ROW(TablaSeleccionSupervisores[[#This Row],[ORDEN]])-1,_xlfn.XMATCH(TablaSupervisores[REFERENCIA],TablaSeleccionSupervisores[#Headers])))</f>
        <v>1510</v>
      </c>
      <c r="AA262" cm="1">
        <f t="array" ref="AA262">SUM(TablaSupervisores[OBJETOS]*INDEX(TablaSeleccionSupervisores[],ROW(TablaSeleccionSupervisores[[#This Row],[ORDEN]])-1,_xlfn.XMATCH(TablaSupervisores[REFERENCIA],TablaSeleccionSupervisores[#Headers])))</f>
        <v>25000</v>
      </c>
      <c r="AB262" s="28" cm="1">
        <f t="array" ref="AB262">SUM(TablaSupervisores[COSTE]*INDEX(TablaSeleccionSupervisores[],ROW(TablaSeleccionSupervisores[[#This Row],[ORDEN]])-1,_xlfn.XMATCH(TablaSupervisores[REFERENCIA],TablaSeleccionSupervisores[#Headers])))</f>
        <v>24329.510000000002</v>
      </c>
      <c r="AC262" cm="1">
        <f t="array" ref="AC262">SUM(INDEX(TablaSeleccionSupervisores[],ROW(TablaSeleccionSupervisores[[#This Row],[ORDEN]])-1,_xlfn.XMATCH(TablaSupervisores[REFERENCIA],TablaSeleccionSupervisores[#Headers])))</f>
        <v>8</v>
      </c>
      <c r="AD262" t="str" cm="1">
        <f t="array" ref="AD262">IF(INDEX(TablaSeleccionSupervisores[],ROW(TablaSeleccionSupervisores[[#This Row],[ORDEN]])-1,_xlfn.XMATCH("ADMITIDO ADSLITE",TablaSeleccionSupervisores[#Headers])+1)=0,"Sí admitido","No admitido")</f>
        <v>No admitido</v>
      </c>
      <c r="AE262">
        <v>2</v>
      </c>
      <c r="AF262">
        <v>2</v>
      </c>
      <c r="AG262">
        <v>3</v>
      </c>
      <c r="AH262">
        <v>1</v>
      </c>
    </row>
    <row r="263" spans="22:34" x14ac:dyDescent="0.25">
      <c r="V263">
        <v>262</v>
      </c>
      <c r="W263" cm="1">
        <f t="array" ref="W263">SUM(TablaSupervisores[DISPOSITIVOS TOTAL]*INDEX(TablaSeleccionSupervisores[],ROW(TablaSeleccionSupervisores[[#This Row],[ORDEN]])-1,_xlfn.XMATCH(TablaSupervisores[REFERENCIA],TablaSeleccionSupervisores[#Headers])))</f>
        <v>634</v>
      </c>
      <c r="X263" cm="1">
        <f t="array" ref="X263">SUM(TablaSupervisores[DISPOSITIVOS BACNET MS/TP JC]*INDEX(TablaSeleccionSupervisores[],ROW(TablaSeleccionSupervisores[[#This Row],[ORDEN]])-1,_xlfn.XMATCH(TablaSupervisores[REFERENCIA],TablaSeleccionSupervisores[#Headers])))</f>
        <v>454</v>
      </c>
      <c r="Y263" cm="1">
        <f t="array" ref="Y263">SUM(TablaSupervisores[DISPOSITIVOS BACNET MS/TP COMPATIBLES]*INDEX(TablaSeleccionSupervisores[],ROW(TablaSeleccionSupervisores[[#This Row],[ORDEN]])-1,_xlfn.XMATCH(TablaSupervisores[REFERENCIA],TablaSeleccionSupervisores[#Headers])))</f>
        <v>292</v>
      </c>
      <c r="Z263" cm="1">
        <f t="array" ref="Z263">SUM(TablaSupervisores[DISPOSITIVOS BACNET IP]*INDEX(TablaSeleccionSupervisores[],ROW(TablaSeleccionSupervisores[[#This Row],[ORDEN]])-1,_xlfn.XMATCH(TablaSupervisores[REFERENCIA],TablaSeleccionSupervisores[#Headers])))</f>
        <v>910</v>
      </c>
      <c r="AA263" cm="1">
        <f t="array" ref="AA263">SUM(TablaSupervisores[OBJETOS]*INDEX(TablaSeleccionSupervisores[],ROW(TablaSeleccionSupervisores[[#This Row],[ORDEN]])-1,_xlfn.XMATCH(TablaSupervisores[REFERENCIA],TablaSeleccionSupervisores[#Headers])))</f>
        <v>17500</v>
      </c>
      <c r="AB263" s="28" cm="1">
        <f t="array" ref="AB263">SUM(TablaSupervisores[COSTE]*INDEX(TablaSeleccionSupervisores[],ROW(TablaSeleccionSupervisores[[#This Row],[ORDEN]])-1,_xlfn.XMATCH(TablaSupervisores[REFERENCIA],TablaSeleccionSupervisores[#Headers])))</f>
        <v>16984.98</v>
      </c>
      <c r="AC263" cm="1">
        <f t="array" ref="AC263">SUM(INDEX(TablaSeleccionSupervisores[],ROW(TablaSeleccionSupervisores[[#This Row],[ORDEN]])-1,_xlfn.XMATCH(TablaSupervisores[REFERENCIA],TablaSeleccionSupervisores[#Headers])))</f>
        <v>7</v>
      </c>
      <c r="AD263" t="str" cm="1">
        <f t="array" ref="AD263">IF(INDEX(TablaSeleccionSupervisores[],ROW(TablaSeleccionSupervisores[[#This Row],[ORDEN]])-1,_xlfn.XMATCH("ADMITIDO ADSLITE",TablaSeleccionSupervisores[#Headers])+1)=0,"Sí admitido","No admitido")</f>
        <v>Sí admitido</v>
      </c>
      <c r="AE263">
        <v>0</v>
      </c>
      <c r="AF263">
        <v>3</v>
      </c>
      <c r="AG263">
        <v>3</v>
      </c>
      <c r="AH263">
        <v>1</v>
      </c>
    </row>
    <row r="264" spans="22:34" x14ac:dyDescent="0.25">
      <c r="V264">
        <v>263</v>
      </c>
      <c r="W264" cm="1">
        <f t="array" ref="W264">SUM(TablaSupervisores[DISPOSITIVOS TOTAL]*INDEX(TablaSeleccionSupervisores[],ROW(TablaSeleccionSupervisores[[#This Row],[ORDEN]])-1,_xlfn.XMATCH(TablaSupervisores[REFERENCIA],TablaSeleccionSupervisores[#Headers])))</f>
        <v>1234</v>
      </c>
      <c r="X264" cm="1">
        <f t="array" ref="X264">SUM(TablaSupervisores[DISPOSITIVOS BACNET MS/TP JC]*INDEX(TablaSeleccionSupervisores[],ROW(TablaSeleccionSupervisores[[#This Row],[ORDEN]])-1,_xlfn.XMATCH(TablaSupervisores[REFERENCIA],TablaSeleccionSupervisores[#Headers])))</f>
        <v>654</v>
      </c>
      <c r="Y264" cm="1">
        <f t="array" ref="Y264">SUM(TablaSupervisores[DISPOSITIVOS BACNET MS/TP COMPATIBLES]*INDEX(TablaSeleccionSupervisores[],ROW(TablaSeleccionSupervisores[[#This Row],[ORDEN]])-1,_xlfn.XMATCH(TablaSupervisores[REFERENCIA],TablaSeleccionSupervisores[#Headers])))</f>
        <v>420</v>
      </c>
      <c r="Z264" cm="1">
        <f t="array" ref="Z264">SUM(TablaSupervisores[DISPOSITIVOS BACNET IP]*INDEX(TablaSeleccionSupervisores[],ROW(TablaSeleccionSupervisores[[#This Row],[ORDEN]])-1,_xlfn.XMATCH(TablaSupervisores[REFERENCIA],TablaSeleccionSupervisores[#Headers])))</f>
        <v>1310</v>
      </c>
      <c r="AA264" cm="1">
        <f t="array" ref="AA264">SUM(TablaSupervisores[OBJETOS]*INDEX(TablaSeleccionSupervisores[],ROW(TablaSeleccionSupervisores[[#This Row],[ORDEN]])-1,_xlfn.XMATCH(TablaSupervisores[REFERENCIA],TablaSeleccionSupervisores[#Headers])))</f>
        <v>22500</v>
      </c>
      <c r="AB264" s="28" cm="1">
        <f t="array" ref="AB264">SUM(TablaSupervisores[COSTE]*INDEX(TablaSeleccionSupervisores[],ROW(TablaSeleccionSupervisores[[#This Row],[ORDEN]])-1,_xlfn.XMATCH(TablaSupervisores[REFERENCIA],TablaSeleccionSupervisores[#Headers])))</f>
        <v>22651.61</v>
      </c>
      <c r="AC264" cm="1">
        <f t="array" ref="AC264">SUM(INDEX(TablaSeleccionSupervisores[],ROW(TablaSeleccionSupervisores[[#This Row],[ORDEN]])-1,_xlfn.XMATCH(TablaSupervisores[REFERENCIA],TablaSeleccionSupervisores[#Headers])))</f>
        <v>8</v>
      </c>
      <c r="AD264" t="str" cm="1">
        <f t="array" ref="AD264">IF(INDEX(TablaSeleccionSupervisores[],ROW(TablaSeleccionSupervisores[[#This Row],[ORDEN]])-1,_xlfn.XMATCH("ADMITIDO ADSLITE",TablaSeleccionSupervisores[#Headers])+1)=0,"Sí admitido","No admitido")</f>
        <v>No admitido</v>
      </c>
      <c r="AE264">
        <v>1</v>
      </c>
      <c r="AF264">
        <v>3</v>
      </c>
      <c r="AG264">
        <v>3</v>
      </c>
      <c r="AH264">
        <v>1</v>
      </c>
    </row>
    <row r="265" spans="22:34" x14ac:dyDescent="0.25">
      <c r="V265">
        <v>264</v>
      </c>
      <c r="W265" cm="1">
        <f t="array" ref="W265">SUM(TablaSupervisores[DISPOSITIVOS TOTAL]*INDEX(TablaSeleccionSupervisores[],ROW(TablaSeleccionSupervisores[[#This Row],[ORDEN]])-1,_xlfn.XMATCH(TablaSupervisores[REFERENCIA],TablaSeleccionSupervisores[#Headers])))</f>
        <v>784</v>
      </c>
      <c r="X265" cm="1">
        <f t="array" ref="X265">SUM(TablaSupervisores[DISPOSITIVOS BACNET MS/TP JC]*INDEX(TablaSeleccionSupervisores[],ROW(TablaSeleccionSupervisores[[#This Row],[ORDEN]])-1,_xlfn.XMATCH(TablaSupervisores[REFERENCIA],TablaSeleccionSupervisores[#Headers])))</f>
        <v>554</v>
      </c>
      <c r="Y265" cm="1">
        <f t="array" ref="Y265">SUM(TablaSupervisores[DISPOSITIVOS BACNET MS/TP COMPATIBLES]*INDEX(TablaSeleccionSupervisores[],ROW(TablaSeleccionSupervisores[[#This Row],[ORDEN]])-1,_xlfn.XMATCH(TablaSupervisores[REFERENCIA],TablaSeleccionSupervisores[#Headers])))</f>
        <v>356</v>
      </c>
      <c r="Z265" cm="1">
        <f t="array" ref="Z265">SUM(TablaSupervisores[DISPOSITIVOS BACNET IP]*INDEX(TablaSeleccionSupervisores[],ROW(TablaSeleccionSupervisores[[#This Row],[ORDEN]])-1,_xlfn.XMATCH(TablaSupervisores[REFERENCIA],TablaSeleccionSupervisores[#Headers])))</f>
        <v>1110</v>
      </c>
      <c r="AA265" cm="1">
        <f t="array" ref="AA265">SUM(TablaSupervisores[OBJETOS]*INDEX(TablaSeleccionSupervisores[],ROW(TablaSeleccionSupervisores[[#This Row],[ORDEN]])-1,_xlfn.XMATCH(TablaSupervisores[REFERENCIA],TablaSeleccionSupervisores[#Headers])))</f>
        <v>20000</v>
      </c>
      <c r="AB265" s="28" cm="1">
        <f t="array" ref="AB265">SUM(TablaSupervisores[COSTE]*INDEX(TablaSeleccionSupervisores[],ROW(TablaSeleccionSupervisores[[#This Row],[ORDEN]])-1,_xlfn.XMATCH(TablaSupervisores[REFERENCIA],TablaSeleccionSupervisores[#Headers])))</f>
        <v>20973.71</v>
      </c>
      <c r="AC265" cm="1">
        <f t="array" ref="AC265">SUM(INDEX(TablaSeleccionSupervisores[],ROW(TablaSeleccionSupervisores[[#This Row],[ORDEN]])-1,_xlfn.XMATCH(TablaSupervisores[REFERENCIA],TablaSeleccionSupervisores[#Headers])))</f>
        <v>8</v>
      </c>
      <c r="AD265" t="str" cm="1">
        <f t="array" ref="AD265">IF(INDEX(TablaSeleccionSupervisores[],ROW(TablaSeleccionSupervisores[[#This Row],[ORDEN]])-1,_xlfn.XMATCH("ADMITIDO ADSLITE",TablaSeleccionSupervisores[#Headers])+1)=0,"Sí admitido","No admitido")</f>
        <v>Sí admitido</v>
      </c>
      <c r="AE265">
        <v>0</v>
      </c>
      <c r="AF265">
        <v>4</v>
      </c>
      <c r="AG265">
        <v>3</v>
      </c>
      <c r="AH265">
        <v>1</v>
      </c>
    </row>
    <row r="266" spans="22:34" x14ac:dyDescent="0.25">
      <c r="V266">
        <v>265</v>
      </c>
      <c r="W266" cm="1">
        <f t="array" ref="W266">SUM(TablaSupervisores[DISPOSITIVOS TOTAL]*INDEX(TablaSeleccionSupervisores[],ROW(TablaSeleccionSupervisores[[#This Row],[ORDEN]])-1,_xlfn.XMATCH(TablaSupervisores[REFERENCIA],TablaSeleccionSupervisores[#Headers])))</f>
        <v>244</v>
      </c>
      <c r="X266" cm="1">
        <f t="array" ref="X266">SUM(TablaSupervisores[DISPOSITIVOS BACNET MS/TP JC]*INDEX(TablaSeleccionSupervisores[],ROW(TablaSeleccionSupervisores[[#This Row],[ORDEN]])-1,_xlfn.XMATCH(TablaSupervisores[REFERENCIA],TablaSeleccionSupervisores[#Headers])))</f>
        <v>204</v>
      </c>
      <c r="Y266" cm="1">
        <f t="array" ref="Y266">SUM(TablaSupervisores[DISPOSITIVOS BACNET MS/TP COMPATIBLES]*INDEX(TablaSeleccionSupervisores[],ROW(TablaSeleccionSupervisores[[#This Row],[ORDEN]])-1,_xlfn.XMATCH(TablaSupervisores[REFERENCIA],TablaSeleccionSupervisores[#Headers])))</f>
        <v>132</v>
      </c>
      <c r="Z266" cm="1">
        <f t="array" ref="Z266">SUM(TablaSupervisores[DISPOSITIVOS BACNET IP]*INDEX(TablaSeleccionSupervisores[],ROW(TablaSeleccionSupervisores[[#This Row],[ORDEN]])-1,_xlfn.XMATCH(TablaSupervisores[REFERENCIA],TablaSeleccionSupervisores[#Headers])))</f>
        <v>410</v>
      </c>
      <c r="AA266" cm="1">
        <f t="array" ref="AA266">SUM(TablaSupervisores[OBJETOS]*INDEX(TablaSeleccionSupervisores[],ROW(TablaSeleccionSupervisores[[#This Row],[ORDEN]])-1,_xlfn.XMATCH(TablaSupervisores[REFERENCIA],TablaSeleccionSupervisores[#Headers])))</f>
        <v>12500</v>
      </c>
      <c r="AB266" s="28" cm="1">
        <f t="array" ref="AB266">SUM(TablaSupervisores[COSTE]*INDEX(TablaSeleccionSupervisores[],ROW(TablaSeleccionSupervisores[[#This Row],[ORDEN]])-1,_xlfn.XMATCH(TablaSupervisores[REFERENCIA],TablaSeleccionSupervisores[#Headers])))</f>
        <v>6442.27</v>
      </c>
      <c r="AC266" cm="1">
        <f t="array" ref="AC266">SUM(INDEX(TablaSeleccionSupervisores[],ROW(TablaSeleccionSupervisores[[#This Row],[ORDEN]])-1,_xlfn.XMATCH(TablaSupervisores[REFERENCIA],TablaSeleccionSupervisores[#Headers])))</f>
        <v>5</v>
      </c>
      <c r="AD266" t="str" cm="1">
        <f t="array" ref="AD266">IF(INDEX(TablaSeleccionSupervisores[],ROW(TablaSeleccionSupervisores[[#This Row],[ORDEN]])-1,_xlfn.XMATCH("ADMITIDO ADSLITE",TablaSeleccionSupervisores[#Headers])+1)=0,"Sí admitido","No admitido")</f>
        <v>Sí admitido</v>
      </c>
      <c r="AE266">
        <v>0</v>
      </c>
      <c r="AF266">
        <v>0</v>
      </c>
      <c r="AG266">
        <v>4</v>
      </c>
      <c r="AH266">
        <v>1</v>
      </c>
    </row>
    <row r="267" spans="22:34" x14ac:dyDescent="0.25">
      <c r="V267">
        <v>266</v>
      </c>
      <c r="W267" cm="1">
        <f t="array" ref="W267">SUM(TablaSupervisores[DISPOSITIVOS TOTAL]*INDEX(TablaSeleccionSupervisores[],ROW(TablaSeleccionSupervisores[[#This Row],[ORDEN]])-1,_xlfn.XMATCH(TablaSupervisores[REFERENCIA],TablaSeleccionSupervisores[#Headers])))</f>
        <v>844</v>
      </c>
      <c r="X267" cm="1">
        <f t="array" ref="X267">SUM(TablaSupervisores[DISPOSITIVOS BACNET MS/TP JC]*INDEX(TablaSeleccionSupervisores[],ROW(TablaSeleccionSupervisores[[#This Row],[ORDEN]])-1,_xlfn.XMATCH(TablaSupervisores[REFERENCIA],TablaSeleccionSupervisores[#Headers])))</f>
        <v>404</v>
      </c>
      <c r="Y267" cm="1">
        <f t="array" ref="Y267">SUM(TablaSupervisores[DISPOSITIVOS BACNET MS/TP COMPATIBLES]*INDEX(TablaSeleccionSupervisores[],ROW(TablaSeleccionSupervisores[[#This Row],[ORDEN]])-1,_xlfn.XMATCH(TablaSupervisores[REFERENCIA],TablaSeleccionSupervisores[#Headers])))</f>
        <v>260</v>
      </c>
      <c r="Z267" cm="1">
        <f t="array" ref="Z267">SUM(TablaSupervisores[DISPOSITIVOS BACNET IP]*INDEX(TablaSeleccionSupervisores[],ROW(TablaSeleccionSupervisores[[#This Row],[ORDEN]])-1,_xlfn.XMATCH(TablaSupervisores[REFERENCIA],TablaSeleccionSupervisores[#Headers])))</f>
        <v>810</v>
      </c>
      <c r="AA267" cm="1">
        <f t="array" ref="AA267">SUM(TablaSupervisores[OBJETOS]*INDEX(TablaSeleccionSupervisores[],ROW(TablaSeleccionSupervisores[[#This Row],[ORDEN]])-1,_xlfn.XMATCH(TablaSupervisores[REFERENCIA],TablaSeleccionSupervisores[#Headers])))</f>
        <v>17500</v>
      </c>
      <c r="AB267" s="28" cm="1">
        <f t="array" ref="AB267">SUM(TablaSupervisores[COSTE]*INDEX(TablaSeleccionSupervisores[],ROW(TablaSeleccionSupervisores[[#This Row],[ORDEN]])-1,_xlfn.XMATCH(TablaSupervisores[REFERENCIA],TablaSeleccionSupervisores[#Headers])))</f>
        <v>12108.9</v>
      </c>
      <c r="AC267" cm="1">
        <f t="array" ref="AC267">SUM(INDEX(TablaSeleccionSupervisores[],ROW(TablaSeleccionSupervisores[[#This Row],[ORDEN]])-1,_xlfn.XMATCH(TablaSupervisores[REFERENCIA],TablaSeleccionSupervisores[#Headers])))</f>
        <v>6</v>
      </c>
      <c r="AD267" t="str" cm="1">
        <f t="array" ref="AD267">IF(INDEX(TablaSeleccionSupervisores[],ROW(TablaSeleccionSupervisores[[#This Row],[ORDEN]])-1,_xlfn.XMATCH("ADMITIDO ADSLITE",TablaSeleccionSupervisores[#Headers])+1)=0,"Sí admitido","No admitido")</f>
        <v>No admitido</v>
      </c>
      <c r="AE267">
        <v>1</v>
      </c>
      <c r="AF267">
        <v>0</v>
      </c>
      <c r="AG267">
        <v>4</v>
      </c>
      <c r="AH267">
        <v>1</v>
      </c>
    </row>
    <row r="268" spans="22:34" x14ac:dyDescent="0.25">
      <c r="V268">
        <v>267</v>
      </c>
      <c r="W268" cm="1">
        <f t="array" ref="W268">SUM(TablaSupervisores[DISPOSITIVOS TOTAL]*INDEX(TablaSeleccionSupervisores[],ROW(TablaSeleccionSupervisores[[#This Row],[ORDEN]])-1,_xlfn.XMATCH(TablaSupervisores[REFERENCIA],TablaSeleccionSupervisores[#Headers])))</f>
        <v>1444</v>
      </c>
      <c r="X268" cm="1">
        <f t="array" ref="X268">SUM(TablaSupervisores[DISPOSITIVOS BACNET MS/TP JC]*INDEX(TablaSeleccionSupervisores[],ROW(TablaSeleccionSupervisores[[#This Row],[ORDEN]])-1,_xlfn.XMATCH(TablaSupervisores[REFERENCIA],TablaSeleccionSupervisores[#Headers])))</f>
        <v>604</v>
      </c>
      <c r="Y268" cm="1">
        <f t="array" ref="Y268">SUM(TablaSupervisores[DISPOSITIVOS BACNET MS/TP COMPATIBLES]*INDEX(TablaSeleccionSupervisores[],ROW(TablaSeleccionSupervisores[[#This Row],[ORDEN]])-1,_xlfn.XMATCH(TablaSupervisores[REFERENCIA],TablaSeleccionSupervisores[#Headers])))</f>
        <v>388</v>
      </c>
      <c r="Z268" cm="1">
        <f t="array" ref="Z268">SUM(TablaSupervisores[DISPOSITIVOS BACNET IP]*INDEX(TablaSeleccionSupervisores[],ROW(TablaSeleccionSupervisores[[#This Row],[ORDEN]])-1,_xlfn.XMATCH(TablaSupervisores[REFERENCIA],TablaSeleccionSupervisores[#Headers])))</f>
        <v>1210</v>
      </c>
      <c r="AA268" cm="1">
        <f t="array" ref="AA268">SUM(TablaSupervisores[OBJETOS]*INDEX(TablaSeleccionSupervisores[],ROW(TablaSeleccionSupervisores[[#This Row],[ORDEN]])-1,_xlfn.XMATCH(TablaSupervisores[REFERENCIA],TablaSeleccionSupervisores[#Headers])))</f>
        <v>22500</v>
      </c>
      <c r="AB268" s="28" cm="1">
        <f t="array" ref="AB268">SUM(TablaSupervisores[COSTE]*INDEX(TablaSeleccionSupervisores[],ROW(TablaSeleccionSupervisores[[#This Row],[ORDEN]])-1,_xlfn.XMATCH(TablaSupervisores[REFERENCIA],TablaSeleccionSupervisores[#Headers])))</f>
        <v>17775.53</v>
      </c>
      <c r="AC268" cm="1">
        <f t="array" ref="AC268">SUM(INDEX(TablaSeleccionSupervisores[],ROW(TablaSeleccionSupervisores[[#This Row],[ORDEN]])-1,_xlfn.XMATCH(TablaSupervisores[REFERENCIA],TablaSeleccionSupervisores[#Headers])))</f>
        <v>7</v>
      </c>
      <c r="AD268" t="str" cm="1">
        <f t="array" ref="AD268">IF(INDEX(TablaSeleccionSupervisores[],ROW(TablaSeleccionSupervisores[[#This Row],[ORDEN]])-1,_xlfn.XMATCH("ADMITIDO ADSLITE",TablaSeleccionSupervisores[#Headers])+1)=0,"Sí admitido","No admitido")</f>
        <v>No admitido</v>
      </c>
      <c r="AE268">
        <v>2</v>
      </c>
      <c r="AF268">
        <v>0</v>
      </c>
      <c r="AG268">
        <v>4</v>
      </c>
      <c r="AH268">
        <v>1</v>
      </c>
    </row>
    <row r="269" spans="22:34" x14ac:dyDescent="0.25">
      <c r="V269">
        <v>268</v>
      </c>
      <c r="W269" cm="1">
        <f t="array" ref="W269">SUM(TablaSupervisores[DISPOSITIVOS TOTAL]*INDEX(TablaSeleccionSupervisores[],ROW(TablaSeleccionSupervisores[[#This Row],[ORDEN]])-1,_xlfn.XMATCH(TablaSupervisores[REFERENCIA],TablaSeleccionSupervisores[#Headers])))</f>
        <v>2044</v>
      </c>
      <c r="X269" cm="1">
        <f t="array" ref="X269">SUM(TablaSupervisores[DISPOSITIVOS BACNET MS/TP JC]*INDEX(TablaSeleccionSupervisores[],ROW(TablaSeleccionSupervisores[[#This Row],[ORDEN]])-1,_xlfn.XMATCH(TablaSupervisores[REFERENCIA],TablaSeleccionSupervisores[#Headers])))</f>
        <v>804</v>
      </c>
      <c r="Y269" cm="1">
        <f t="array" ref="Y269">SUM(TablaSupervisores[DISPOSITIVOS BACNET MS/TP COMPATIBLES]*INDEX(TablaSeleccionSupervisores[],ROW(TablaSeleccionSupervisores[[#This Row],[ORDEN]])-1,_xlfn.XMATCH(TablaSupervisores[REFERENCIA],TablaSeleccionSupervisores[#Headers])))</f>
        <v>516</v>
      </c>
      <c r="Z269" cm="1">
        <f t="array" ref="Z269">SUM(TablaSupervisores[DISPOSITIVOS BACNET IP]*INDEX(TablaSeleccionSupervisores[],ROW(TablaSeleccionSupervisores[[#This Row],[ORDEN]])-1,_xlfn.XMATCH(TablaSupervisores[REFERENCIA],TablaSeleccionSupervisores[#Headers])))</f>
        <v>1610</v>
      </c>
      <c r="AA269" cm="1">
        <f t="array" ref="AA269">SUM(TablaSupervisores[OBJETOS]*INDEX(TablaSeleccionSupervisores[],ROW(TablaSeleccionSupervisores[[#This Row],[ORDEN]])-1,_xlfn.XMATCH(TablaSupervisores[REFERENCIA],TablaSeleccionSupervisores[#Headers])))</f>
        <v>27500</v>
      </c>
      <c r="AB269" s="28" cm="1">
        <f t="array" ref="AB269">SUM(TablaSupervisores[COSTE]*INDEX(TablaSeleccionSupervisores[],ROW(TablaSeleccionSupervisores[[#This Row],[ORDEN]])-1,_xlfn.XMATCH(TablaSupervisores[REFERENCIA],TablaSeleccionSupervisores[#Headers])))</f>
        <v>23442.159999999996</v>
      </c>
      <c r="AC269" cm="1">
        <f t="array" ref="AC269">SUM(INDEX(TablaSeleccionSupervisores[],ROW(TablaSeleccionSupervisores[[#This Row],[ORDEN]])-1,_xlfn.XMATCH(TablaSupervisores[REFERENCIA],TablaSeleccionSupervisores[#Headers])))</f>
        <v>8</v>
      </c>
      <c r="AD269" t="str" cm="1">
        <f t="array" ref="AD269">IF(INDEX(TablaSeleccionSupervisores[],ROW(TablaSeleccionSupervisores[[#This Row],[ORDEN]])-1,_xlfn.XMATCH("ADMITIDO ADSLITE",TablaSeleccionSupervisores[#Headers])+1)=0,"Sí admitido","No admitido")</f>
        <v>No admitido</v>
      </c>
      <c r="AE269">
        <v>3</v>
      </c>
      <c r="AF269">
        <v>0</v>
      </c>
      <c r="AG269">
        <v>4</v>
      </c>
      <c r="AH269">
        <v>1</v>
      </c>
    </row>
    <row r="270" spans="22:34" x14ac:dyDescent="0.25">
      <c r="V270">
        <v>269</v>
      </c>
      <c r="W270" cm="1">
        <f t="array" ref="W270">SUM(TablaSupervisores[DISPOSITIVOS TOTAL]*INDEX(TablaSeleccionSupervisores[],ROW(TablaSeleccionSupervisores[[#This Row],[ORDEN]])-1,_xlfn.XMATCH(TablaSupervisores[REFERENCIA],TablaSeleccionSupervisores[#Headers])))</f>
        <v>394</v>
      </c>
      <c r="X270" cm="1">
        <f t="array" ref="X270">SUM(TablaSupervisores[DISPOSITIVOS BACNET MS/TP JC]*INDEX(TablaSeleccionSupervisores[],ROW(TablaSeleccionSupervisores[[#This Row],[ORDEN]])-1,_xlfn.XMATCH(TablaSupervisores[REFERENCIA],TablaSeleccionSupervisores[#Headers])))</f>
        <v>304</v>
      </c>
      <c r="Y270" cm="1">
        <f t="array" ref="Y270">SUM(TablaSupervisores[DISPOSITIVOS BACNET MS/TP COMPATIBLES]*INDEX(TablaSeleccionSupervisores[],ROW(TablaSeleccionSupervisores[[#This Row],[ORDEN]])-1,_xlfn.XMATCH(TablaSupervisores[REFERENCIA],TablaSeleccionSupervisores[#Headers])))</f>
        <v>196</v>
      </c>
      <c r="Z270" cm="1">
        <f t="array" ref="Z270">SUM(TablaSupervisores[DISPOSITIVOS BACNET IP]*INDEX(TablaSeleccionSupervisores[],ROW(TablaSeleccionSupervisores[[#This Row],[ORDEN]])-1,_xlfn.XMATCH(TablaSupervisores[REFERENCIA],TablaSeleccionSupervisores[#Headers])))</f>
        <v>610</v>
      </c>
      <c r="AA270" cm="1">
        <f t="array" ref="AA270">SUM(TablaSupervisores[OBJETOS]*INDEX(TablaSeleccionSupervisores[],ROW(TablaSeleccionSupervisores[[#This Row],[ORDEN]])-1,_xlfn.XMATCH(TablaSupervisores[REFERENCIA],TablaSeleccionSupervisores[#Headers])))</f>
        <v>15000</v>
      </c>
      <c r="AB270" s="28" cm="1">
        <f t="array" ref="AB270">SUM(TablaSupervisores[COSTE]*INDEX(TablaSeleccionSupervisores[],ROW(TablaSeleccionSupervisores[[#This Row],[ORDEN]])-1,_xlfn.XMATCH(TablaSupervisores[REFERENCIA],TablaSeleccionSupervisores[#Headers])))</f>
        <v>10431</v>
      </c>
      <c r="AC270" cm="1">
        <f t="array" ref="AC270">SUM(INDEX(TablaSeleccionSupervisores[],ROW(TablaSeleccionSupervisores[[#This Row],[ORDEN]])-1,_xlfn.XMATCH(TablaSupervisores[REFERENCIA],TablaSeleccionSupervisores[#Headers])))</f>
        <v>6</v>
      </c>
      <c r="AD270" t="str" cm="1">
        <f t="array" ref="AD270">IF(INDEX(TablaSeleccionSupervisores[],ROW(TablaSeleccionSupervisores[[#This Row],[ORDEN]])-1,_xlfn.XMATCH("ADMITIDO ADSLITE",TablaSeleccionSupervisores[#Headers])+1)=0,"Sí admitido","No admitido")</f>
        <v>Sí admitido</v>
      </c>
      <c r="AE270">
        <v>0</v>
      </c>
      <c r="AF270">
        <v>1</v>
      </c>
      <c r="AG270">
        <v>4</v>
      </c>
      <c r="AH270">
        <v>1</v>
      </c>
    </row>
    <row r="271" spans="22:34" x14ac:dyDescent="0.25">
      <c r="V271">
        <v>270</v>
      </c>
      <c r="W271" cm="1">
        <f t="array" ref="W271">SUM(TablaSupervisores[DISPOSITIVOS TOTAL]*INDEX(TablaSeleccionSupervisores[],ROW(TablaSeleccionSupervisores[[#This Row],[ORDEN]])-1,_xlfn.XMATCH(TablaSupervisores[REFERENCIA],TablaSeleccionSupervisores[#Headers])))</f>
        <v>994</v>
      </c>
      <c r="X271" cm="1">
        <f t="array" ref="X271">SUM(TablaSupervisores[DISPOSITIVOS BACNET MS/TP JC]*INDEX(TablaSeleccionSupervisores[],ROW(TablaSeleccionSupervisores[[#This Row],[ORDEN]])-1,_xlfn.XMATCH(TablaSupervisores[REFERENCIA],TablaSeleccionSupervisores[#Headers])))</f>
        <v>504</v>
      </c>
      <c r="Y271" cm="1">
        <f t="array" ref="Y271">SUM(TablaSupervisores[DISPOSITIVOS BACNET MS/TP COMPATIBLES]*INDEX(TablaSeleccionSupervisores[],ROW(TablaSeleccionSupervisores[[#This Row],[ORDEN]])-1,_xlfn.XMATCH(TablaSupervisores[REFERENCIA],TablaSeleccionSupervisores[#Headers])))</f>
        <v>324</v>
      </c>
      <c r="Z271" cm="1">
        <f t="array" ref="Z271">SUM(TablaSupervisores[DISPOSITIVOS BACNET IP]*INDEX(TablaSeleccionSupervisores[],ROW(TablaSeleccionSupervisores[[#This Row],[ORDEN]])-1,_xlfn.XMATCH(TablaSupervisores[REFERENCIA],TablaSeleccionSupervisores[#Headers])))</f>
        <v>1010</v>
      </c>
      <c r="AA271" cm="1">
        <f t="array" ref="AA271">SUM(TablaSupervisores[OBJETOS]*INDEX(TablaSeleccionSupervisores[],ROW(TablaSeleccionSupervisores[[#This Row],[ORDEN]])-1,_xlfn.XMATCH(TablaSupervisores[REFERENCIA],TablaSeleccionSupervisores[#Headers])))</f>
        <v>20000</v>
      </c>
      <c r="AB271" s="28" cm="1">
        <f t="array" ref="AB271">SUM(TablaSupervisores[COSTE]*INDEX(TablaSeleccionSupervisores[],ROW(TablaSeleccionSupervisores[[#This Row],[ORDEN]])-1,_xlfn.XMATCH(TablaSupervisores[REFERENCIA],TablaSeleccionSupervisores[#Headers])))</f>
        <v>16097.630000000001</v>
      </c>
      <c r="AC271" cm="1">
        <f t="array" ref="AC271">SUM(INDEX(TablaSeleccionSupervisores[],ROW(TablaSeleccionSupervisores[[#This Row],[ORDEN]])-1,_xlfn.XMATCH(TablaSupervisores[REFERENCIA],TablaSeleccionSupervisores[#Headers])))</f>
        <v>7</v>
      </c>
      <c r="AD271" t="str" cm="1">
        <f t="array" ref="AD271">IF(INDEX(TablaSeleccionSupervisores[],ROW(TablaSeleccionSupervisores[[#This Row],[ORDEN]])-1,_xlfn.XMATCH("ADMITIDO ADSLITE",TablaSeleccionSupervisores[#Headers])+1)=0,"Sí admitido","No admitido")</f>
        <v>No admitido</v>
      </c>
      <c r="AE271">
        <v>1</v>
      </c>
      <c r="AF271">
        <v>1</v>
      </c>
      <c r="AG271">
        <v>4</v>
      </c>
      <c r="AH271">
        <v>1</v>
      </c>
    </row>
    <row r="272" spans="22:34" x14ac:dyDescent="0.25">
      <c r="V272">
        <v>271</v>
      </c>
      <c r="W272" cm="1">
        <f t="array" ref="W272">SUM(TablaSupervisores[DISPOSITIVOS TOTAL]*INDEX(TablaSeleccionSupervisores[],ROW(TablaSeleccionSupervisores[[#This Row],[ORDEN]])-1,_xlfn.XMATCH(TablaSupervisores[REFERENCIA],TablaSeleccionSupervisores[#Headers])))</f>
        <v>1594</v>
      </c>
      <c r="X272" cm="1">
        <f t="array" ref="X272">SUM(TablaSupervisores[DISPOSITIVOS BACNET MS/TP JC]*INDEX(TablaSeleccionSupervisores[],ROW(TablaSeleccionSupervisores[[#This Row],[ORDEN]])-1,_xlfn.XMATCH(TablaSupervisores[REFERENCIA],TablaSeleccionSupervisores[#Headers])))</f>
        <v>704</v>
      </c>
      <c r="Y272" cm="1">
        <f t="array" ref="Y272">SUM(TablaSupervisores[DISPOSITIVOS BACNET MS/TP COMPATIBLES]*INDEX(TablaSeleccionSupervisores[],ROW(TablaSeleccionSupervisores[[#This Row],[ORDEN]])-1,_xlfn.XMATCH(TablaSupervisores[REFERENCIA],TablaSeleccionSupervisores[#Headers])))</f>
        <v>452</v>
      </c>
      <c r="Z272" cm="1">
        <f t="array" ref="Z272">SUM(TablaSupervisores[DISPOSITIVOS BACNET IP]*INDEX(TablaSeleccionSupervisores[],ROW(TablaSeleccionSupervisores[[#This Row],[ORDEN]])-1,_xlfn.XMATCH(TablaSupervisores[REFERENCIA],TablaSeleccionSupervisores[#Headers])))</f>
        <v>1410</v>
      </c>
      <c r="AA272" cm="1">
        <f t="array" ref="AA272">SUM(TablaSupervisores[OBJETOS]*INDEX(TablaSeleccionSupervisores[],ROW(TablaSeleccionSupervisores[[#This Row],[ORDEN]])-1,_xlfn.XMATCH(TablaSupervisores[REFERENCIA],TablaSeleccionSupervisores[#Headers])))</f>
        <v>25000</v>
      </c>
      <c r="AB272" s="28" cm="1">
        <f t="array" ref="AB272">SUM(TablaSupervisores[COSTE]*INDEX(TablaSeleccionSupervisores[],ROW(TablaSeleccionSupervisores[[#This Row],[ORDEN]])-1,_xlfn.XMATCH(TablaSupervisores[REFERENCIA],TablaSeleccionSupervisores[#Headers])))</f>
        <v>21764.26</v>
      </c>
      <c r="AC272" cm="1">
        <f t="array" ref="AC272">SUM(INDEX(TablaSeleccionSupervisores[],ROW(TablaSeleccionSupervisores[[#This Row],[ORDEN]])-1,_xlfn.XMATCH(TablaSupervisores[REFERENCIA],TablaSeleccionSupervisores[#Headers])))</f>
        <v>8</v>
      </c>
      <c r="AD272" t="str" cm="1">
        <f t="array" ref="AD272">IF(INDEX(TablaSeleccionSupervisores[],ROW(TablaSeleccionSupervisores[[#This Row],[ORDEN]])-1,_xlfn.XMATCH("ADMITIDO ADSLITE",TablaSeleccionSupervisores[#Headers])+1)=0,"Sí admitido","No admitido")</f>
        <v>No admitido</v>
      </c>
      <c r="AE272">
        <v>2</v>
      </c>
      <c r="AF272">
        <v>1</v>
      </c>
      <c r="AG272">
        <v>4</v>
      </c>
      <c r="AH272">
        <v>1</v>
      </c>
    </row>
    <row r="273" spans="22:34" x14ac:dyDescent="0.25">
      <c r="V273">
        <v>272</v>
      </c>
      <c r="W273" cm="1">
        <f t="array" ref="W273">SUM(TablaSupervisores[DISPOSITIVOS TOTAL]*INDEX(TablaSeleccionSupervisores[],ROW(TablaSeleccionSupervisores[[#This Row],[ORDEN]])-1,_xlfn.XMATCH(TablaSupervisores[REFERENCIA],TablaSeleccionSupervisores[#Headers])))</f>
        <v>544</v>
      </c>
      <c r="X273" cm="1">
        <f t="array" ref="X273">SUM(TablaSupervisores[DISPOSITIVOS BACNET MS/TP JC]*INDEX(TablaSeleccionSupervisores[],ROW(TablaSeleccionSupervisores[[#This Row],[ORDEN]])-1,_xlfn.XMATCH(TablaSupervisores[REFERENCIA],TablaSeleccionSupervisores[#Headers])))</f>
        <v>404</v>
      </c>
      <c r="Y273" cm="1">
        <f t="array" ref="Y273">SUM(TablaSupervisores[DISPOSITIVOS BACNET MS/TP COMPATIBLES]*INDEX(TablaSeleccionSupervisores[],ROW(TablaSeleccionSupervisores[[#This Row],[ORDEN]])-1,_xlfn.XMATCH(TablaSupervisores[REFERENCIA],TablaSeleccionSupervisores[#Headers])))</f>
        <v>260</v>
      </c>
      <c r="Z273" cm="1">
        <f t="array" ref="Z273">SUM(TablaSupervisores[DISPOSITIVOS BACNET IP]*INDEX(TablaSeleccionSupervisores[],ROW(TablaSeleccionSupervisores[[#This Row],[ORDEN]])-1,_xlfn.XMATCH(TablaSupervisores[REFERENCIA],TablaSeleccionSupervisores[#Headers])))</f>
        <v>810</v>
      </c>
      <c r="AA273" cm="1">
        <f t="array" ref="AA273">SUM(TablaSupervisores[OBJETOS]*INDEX(TablaSeleccionSupervisores[],ROW(TablaSeleccionSupervisores[[#This Row],[ORDEN]])-1,_xlfn.XMATCH(TablaSupervisores[REFERENCIA],TablaSeleccionSupervisores[#Headers])))</f>
        <v>17500</v>
      </c>
      <c r="AB273" s="28" cm="1">
        <f t="array" ref="AB273">SUM(TablaSupervisores[COSTE]*INDEX(TablaSeleccionSupervisores[],ROW(TablaSeleccionSupervisores[[#This Row],[ORDEN]])-1,_xlfn.XMATCH(TablaSupervisores[REFERENCIA],TablaSeleccionSupervisores[#Headers])))</f>
        <v>14419.730000000001</v>
      </c>
      <c r="AC273" cm="1">
        <f t="array" ref="AC273">SUM(INDEX(TablaSeleccionSupervisores[],ROW(TablaSeleccionSupervisores[[#This Row],[ORDEN]])-1,_xlfn.XMATCH(TablaSupervisores[REFERENCIA],TablaSeleccionSupervisores[#Headers])))</f>
        <v>7</v>
      </c>
      <c r="AD273" t="str" cm="1">
        <f t="array" ref="AD273">IF(INDEX(TablaSeleccionSupervisores[],ROW(TablaSeleccionSupervisores[[#This Row],[ORDEN]])-1,_xlfn.XMATCH("ADMITIDO ADSLITE",TablaSeleccionSupervisores[#Headers])+1)=0,"Sí admitido","No admitido")</f>
        <v>Sí admitido</v>
      </c>
      <c r="AE273">
        <v>0</v>
      </c>
      <c r="AF273">
        <v>2</v>
      </c>
      <c r="AG273">
        <v>4</v>
      </c>
      <c r="AH273">
        <v>1</v>
      </c>
    </row>
    <row r="274" spans="22:34" x14ac:dyDescent="0.25">
      <c r="V274">
        <v>273</v>
      </c>
      <c r="W274" cm="1">
        <f t="array" ref="W274">SUM(TablaSupervisores[DISPOSITIVOS TOTAL]*INDEX(TablaSeleccionSupervisores[],ROW(TablaSeleccionSupervisores[[#This Row],[ORDEN]])-1,_xlfn.XMATCH(TablaSupervisores[REFERENCIA],TablaSeleccionSupervisores[#Headers])))</f>
        <v>1144</v>
      </c>
      <c r="X274" cm="1">
        <f t="array" ref="X274">SUM(TablaSupervisores[DISPOSITIVOS BACNET MS/TP JC]*INDEX(TablaSeleccionSupervisores[],ROW(TablaSeleccionSupervisores[[#This Row],[ORDEN]])-1,_xlfn.XMATCH(TablaSupervisores[REFERENCIA],TablaSeleccionSupervisores[#Headers])))</f>
        <v>604</v>
      </c>
      <c r="Y274" cm="1">
        <f t="array" ref="Y274">SUM(TablaSupervisores[DISPOSITIVOS BACNET MS/TP COMPATIBLES]*INDEX(TablaSeleccionSupervisores[],ROW(TablaSeleccionSupervisores[[#This Row],[ORDEN]])-1,_xlfn.XMATCH(TablaSupervisores[REFERENCIA],TablaSeleccionSupervisores[#Headers])))</f>
        <v>388</v>
      </c>
      <c r="Z274" cm="1">
        <f t="array" ref="Z274">SUM(TablaSupervisores[DISPOSITIVOS BACNET IP]*INDEX(TablaSeleccionSupervisores[],ROW(TablaSeleccionSupervisores[[#This Row],[ORDEN]])-1,_xlfn.XMATCH(TablaSupervisores[REFERENCIA],TablaSeleccionSupervisores[#Headers])))</f>
        <v>1210</v>
      </c>
      <c r="AA274" cm="1">
        <f t="array" ref="AA274">SUM(TablaSupervisores[OBJETOS]*INDEX(TablaSeleccionSupervisores[],ROW(TablaSeleccionSupervisores[[#This Row],[ORDEN]])-1,_xlfn.XMATCH(TablaSupervisores[REFERENCIA],TablaSeleccionSupervisores[#Headers])))</f>
        <v>22500</v>
      </c>
      <c r="AB274" s="28" cm="1">
        <f t="array" ref="AB274">SUM(TablaSupervisores[COSTE]*INDEX(TablaSeleccionSupervisores[],ROW(TablaSeleccionSupervisores[[#This Row],[ORDEN]])-1,_xlfn.XMATCH(TablaSupervisores[REFERENCIA],TablaSeleccionSupervisores[#Headers])))</f>
        <v>20086.36</v>
      </c>
      <c r="AC274" cm="1">
        <f t="array" ref="AC274">SUM(INDEX(TablaSeleccionSupervisores[],ROW(TablaSeleccionSupervisores[[#This Row],[ORDEN]])-1,_xlfn.XMATCH(TablaSupervisores[REFERENCIA],TablaSeleccionSupervisores[#Headers])))</f>
        <v>8</v>
      </c>
      <c r="AD274" t="str" cm="1">
        <f t="array" ref="AD274">IF(INDEX(TablaSeleccionSupervisores[],ROW(TablaSeleccionSupervisores[[#This Row],[ORDEN]])-1,_xlfn.XMATCH("ADMITIDO ADSLITE",TablaSeleccionSupervisores[#Headers])+1)=0,"Sí admitido","No admitido")</f>
        <v>No admitido</v>
      </c>
      <c r="AE274">
        <v>1</v>
      </c>
      <c r="AF274">
        <v>2</v>
      </c>
      <c r="AG274">
        <v>4</v>
      </c>
      <c r="AH274">
        <v>1</v>
      </c>
    </row>
    <row r="275" spans="22:34" x14ac:dyDescent="0.25">
      <c r="V275">
        <v>274</v>
      </c>
      <c r="W275" cm="1">
        <f t="array" ref="W275">SUM(TablaSupervisores[DISPOSITIVOS TOTAL]*INDEX(TablaSeleccionSupervisores[],ROW(TablaSeleccionSupervisores[[#This Row],[ORDEN]])-1,_xlfn.XMATCH(TablaSupervisores[REFERENCIA],TablaSeleccionSupervisores[#Headers])))</f>
        <v>694</v>
      </c>
      <c r="X275" cm="1">
        <f t="array" ref="X275">SUM(TablaSupervisores[DISPOSITIVOS BACNET MS/TP JC]*INDEX(TablaSeleccionSupervisores[],ROW(TablaSeleccionSupervisores[[#This Row],[ORDEN]])-1,_xlfn.XMATCH(TablaSupervisores[REFERENCIA],TablaSeleccionSupervisores[#Headers])))</f>
        <v>504</v>
      </c>
      <c r="Y275" cm="1">
        <f t="array" ref="Y275">SUM(TablaSupervisores[DISPOSITIVOS BACNET MS/TP COMPATIBLES]*INDEX(TablaSeleccionSupervisores[],ROW(TablaSeleccionSupervisores[[#This Row],[ORDEN]])-1,_xlfn.XMATCH(TablaSupervisores[REFERENCIA],TablaSeleccionSupervisores[#Headers])))</f>
        <v>324</v>
      </c>
      <c r="Z275" cm="1">
        <f t="array" ref="Z275">SUM(TablaSupervisores[DISPOSITIVOS BACNET IP]*INDEX(TablaSeleccionSupervisores[],ROW(TablaSeleccionSupervisores[[#This Row],[ORDEN]])-1,_xlfn.XMATCH(TablaSupervisores[REFERENCIA],TablaSeleccionSupervisores[#Headers])))</f>
        <v>1010</v>
      </c>
      <c r="AA275" cm="1">
        <f t="array" ref="AA275">SUM(TablaSupervisores[OBJETOS]*INDEX(TablaSeleccionSupervisores[],ROW(TablaSeleccionSupervisores[[#This Row],[ORDEN]])-1,_xlfn.XMATCH(TablaSupervisores[REFERENCIA],TablaSeleccionSupervisores[#Headers])))</f>
        <v>20000</v>
      </c>
      <c r="AB275" s="28" cm="1">
        <f t="array" ref="AB275">SUM(TablaSupervisores[COSTE]*INDEX(TablaSeleccionSupervisores[],ROW(TablaSeleccionSupervisores[[#This Row],[ORDEN]])-1,_xlfn.XMATCH(TablaSupervisores[REFERENCIA],TablaSeleccionSupervisores[#Headers])))</f>
        <v>18408.46</v>
      </c>
      <c r="AC275" cm="1">
        <f t="array" ref="AC275">SUM(INDEX(TablaSeleccionSupervisores[],ROW(TablaSeleccionSupervisores[[#This Row],[ORDEN]])-1,_xlfn.XMATCH(TablaSupervisores[REFERENCIA],TablaSeleccionSupervisores[#Headers])))</f>
        <v>8</v>
      </c>
      <c r="AD275" t="str" cm="1">
        <f t="array" ref="AD275">IF(INDEX(TablaSeleccionSupervisores[],ROW(TablaSeleccionSupervisores[[#This Row],[ORDEN]])-1,_xlfn.XMATCH("ADMITIDO ADSLITE",TablaSeleccionSupervisores[#Headers])+1)=0,"Sí admitido","No admitido")</f>
        <v>Sí admitido</v>
      </c>
      <c r="AE275">
        <v>0</v>
      </c>
      <c r="AF275">
        <v>3</v>
      </c>
      <c r="AG275">
        <v>4</v>
      </c>
      <c r="AH275">
        <v>1</v>
      </c>
    </row>
    <row r="276" spans="22:34" x14ac:dyDescent="0.25">
      <c r="V276">
        <v>275</v>
      </c>
      <c r="W276" cm="1">
        <f t="array" ref="W276">SUM(TablaSupervisores[DISPOSITIVOS TOTAL]*INDEX(TablaSeleccionSupervisores[],ROW(TablaSeleccionSupervisores[[#This Row],[ORDEN]])-1,_xlfn.XMATCH(TablaSupervisores[REFERENCIA],TablaSeleccionSupervisores[#Headers])))</f>
        <v>304</v>
      </c>
      <c r="X276" cm="1">
        <f t="array" ref="X276">SUM(TablaSupervisores[DISPOSITIVOS BACNET MS/TP JC]*INDEX(TablaSeleccionSupervisores[],ROW(TablaSeleccionSupervisores[[#This Row],[ORDEN]])-1,_xlfn.XMATCH(TablaSupervisores[REFERENCIA],TablaSeleccionSupervisores[#Headers])))</f>
        <v>254</v>
      </c>
      <c r="Y276" cm="1">
        <f t="array" ref="Y276">SUM(TablaSupervisores[DISPOSITIVOS BACNET MS/TP COMPATIBLES]*INDEX(TablaSeleccionSupervisores[],ROW(TablaSeleccionSupervisores[[#This Row],[ORDEN]])-1,_xlfn.XMATCH(TablaSupervisores[REFERENCIA],TablaSeleccionSupervisores[#Headers])))</f>
        <v>164</v>
      </c>
      <c r="Z276" cm="1">
        <f t="array" ref="Z276">SUM(TablaSupervisores[DISPOSITIVOS BACNET IP]*INDEX(TablaSeleccionSupervisores[],ROW(TablaSeleccionSupervisores[[#This Row],[ORDEN]])-1,_xlfn.XMATCH(TablaSupervisores[REFERENCIA],TablaSeleccionSupervisores[#Headers])))</f>
        <v>510</v>
      </c>
      <c r="AA276" cm="1">
        <f t="array" ref="AA276">SUM(TablaSupervisores[OBJETOS]*INDEX(TablaSeleccionSupervisores[],ROW(TablaSeleccionSupervisores[[#This Row],[ORDEN]])-1,_xlfn.XMATCH(TablaSupervisores[REFERENCIA],TablaSeleccionSupervisores[#Headers])))</f>
        <v>15000</v>
      </c>
      <c r="AB276" s="28" cm="1">
        <f t="array" ref="AB276">SUM(TablaSupervisores[COSTE]*INDEX(TablaSeleccionSupervisores[],ROW(TablaSeleccionSupervisores[[#This Row],[ORDEN]])-1,_xlfn.XMATCH(TablaSupervisores[REFERENCIA],TablaSeleccionSupervisores[#Headers])))</f>
        <v>7865.75</v>
      </c>
      <c r="AC276" cm="1">
        <f t="array" ref="AC276">SUM(INDEX(TablaSeleccionSupervisores[],ROW(TablaSeleccionSupervisores[[#This Row],[ORDEN]])-1,_xlfn.XMATCH(TablaSupervisores[REFERENCIA],TablaSeleccionSupervisores[#Headers])))</f>
        <v>6</v>
      </c>
      <c r="AD276" t="str" cm="1">
        <f t="array" ref="AD276">IF(INDEX(TablaSeleccionSupervisores[],ROW(TablaSeleccionSupervisores[[#This Row],[ORDEN]])-1,_xlfn.XMATCH("ADMITIDO ADSLITE",TablaSeleccionSupervisores[#Headers])+1)=0,"Sí admitido","No admitido")</f>
        <v>Sí admitido</v>
      </c>
      <c r="AE276">
        <v>0</v>
      </c>
      <c r="AF276">
        <v>0</v>
      </c>
      <c r="AG276">
        <v>5</v>
      </c>
      <c r="AH276">
        <v>1</v>
      </c>
    </row>
    <row r="277" spans="22:34" x14ac:dyDescent="0.25">
      <c r="V277">
        <v>276</v>
      </c>
      <c r="W277" cm="1">
        <f t="array" ref="W277">SUM(TablaSupervisores[DISPOSITIVOS TOTAL]*INDEX(TablaSeleccionSupervisores[],ROW(TablaSeleccionSupervisores[[#This Row],[ORDEN]])-1,_xlfn.XMATCH(TablaSupervisores[REFERENCIA],TablaSeleccionSupervisores[#Headers])))</f>
        <v>904</v>
      </c>
      <c r="X277" cm="1">
        <f t="array" ref="X277">SUM(TablaSupervisores[DISPOSITIVOS BACNET MS/TP JC]*INDEX(TablaSeleccionSupervisores[],ROW(TablaSeleccionSupervisores[[#This Row],[ORDEN]])-1,_xlfn.XMATCH(TablaSupervisores[REFERENCIA],TablaSeleccionSupervisores[#Headers])))</f>
        <v>454</v>
      </c>
      <c r="Y277" cm="1">
        <f t="array" ref="Y277">SUM(TablaSupervisores[DISPOSITIVOS BACNET MS/TP COMPATIBLES]*INDEX(TablaSeleccionSupervisores[],ROW(TablaSeleccionSupervisores[[#This Row],[ORDEN]])-1,_xlfn.XMATCH(TablaSupervisores[REFERENCIA],TablaSeleccionSupervisores[#Headers])))</f>
        <v>292</v>
      </c>
      <c r="Z277" cm="1">
        <f t="array" ref="Z277">SUM(TablaSupervisores[DISPOSITIVOS BACNET IP]*INDEX(TablaSeleccionSupervisores[],ROW(TablaSeleccionSupervisores[[#This Row],[ORDEN]])-1,_xlfn.XMATCH(TablaSupervisores[REFERENCIA],TablaSeleccionSupervisores[#Headers])))</f>
        <v>910</v>
      </c>
      <c r="AA277" cm="1">
        <f t="array" ref="AA277">SUM(TablaSupervisores[OBJETOS]*INDEX(TablaSeleccionSupervisores[],ROW(TablaSeleccionSupervisores[[#This Row],[ORDEN]])-1,_xlfn.XMATCH(TablaSupervisores[REFERENCIA],TablaSeleccionSupervisores[#Headers])))</f>
        <v>20000</v>
      </c>
      <c r="AB277" s="28" cm="1">
        <f t="array" ref="AB277">SUM(TablaSupervisores[COSTE]*INDEX(TablaSeleccionSupervisores[],ROW(TablaSeleccionSupervisores[[#This Row],[ORDEN]])-1,_xlfn.XMATCH(TablaSupervisores[REFERENCIA],TablaSeleccionSupervisores[#Headers])))</f>
        <v>13532.38</v>
      </c>
      <c r="AC277" cm="1">
        <f t="array" ref="AC277">SUM(INDEX(TablaSeleccionSupervisores[],ROW(TablaSeleccionSupervisores[[#This Row],[ORDEN]])-1,_xlfn.XMATCH(TablaSupervisores[REFERENCIA],TablaSeleccionSupervisores[#Headers])))</f>
        <v>7</v>
      </c>
      <c r="AD277" t="str" cm="1">
        <f t="array" ref="AD277">IF(INDEX(TablaSeleccionSupervisores[],ROW(TablaSeleccionSupervisores[[#This Row],[ORDEN]])-1,_xlfn.XMATCH("ADMITIDO ADSLITE",TablaSeleccionSupervisores[#Headers])+1)=0,"Sí admitido","No admitido")</f>
        <v>No admitido</v>
      </c>
      <c r="AE277">
        <v>1</v>
      </c>
      <c r="AF277">
        <v>0</v>
      </c>
      <c r="AG277">
        <v>5</v>
      </c>
      <c r="AH277">
        <v>1</v>
      </c>
    </row>
    <row r="278" spans="22:34" x14ac:dyDescent="0.25">
      <c r="V278">
        <v>277</v>
      </c>
      <c r="W278" cm="1">
        <f t="array" ref="W278">SUM(TablaSupervisores[DISPOSITIVOS TOTAL]*INDEX(TablaSeleccionSupervisores[],ROW(TablaSeleccionSupervisores[[#This Row],[ORDEN]])-1,_xlfn.XMATCH(TablaSupervisores[REFERENCIA],TablaSeleccionSupervisores[#Headers])))</f>
        <v>1504</v>
      </c>
      <c r="X278" cm="1">
        <f t="array" ref="X278">SUM(TablaSupervisores[DISPOSITIVOS BACNET MS/TP JC]*INDEX(TablaSeleccionSupervisores[],ROW(TablaSeleccionSupervisores[[#This Row],[ORDEN]])-1,_xlfn.XMATCH(TablaSupervisores[REFERENCIA],TablaSeleccionSupervisores[#Headers])))</f>
        <v>654</v>
      </c>
      <c r="Y278" cm="1">
        <f t="array" ref="Y278">SUM(TablaSupervisores[DISPOSITIVOS BACNET MS/TP COMPATIBLES]*INDEX(TablaSeleccionSupervisores[],ROW(TablaSeleccionSupervisores[[#This Row],[ORDEN]])-1,_xlfn.XMATCH(TablaSupervisores[REFERENCIA],TablaSeleccionSupervisores[#Headers])))</f>
        <v>420</v>
      </c>
      <c r="Z278" cm="1">
        <f t="array" ref="Z278">SUM(TablaSupervisores[DISPOSITIVOS BACNET IP]*INDEX(TablaSeleccionSupervisores[],ROW(TablaSeleccionSupervisores[[#This Row],[ORDEN]])-1,_xlfn.XMATCH(TablaSupervisores[REFERENCIA],TablaSeleccionSupervisores[#Headers])))</f>
        <v>1310</v>
      </c>
      <c r="AA278" cm="1">
        <f t="array" ref="AA278">SUM(TablaSupervisores[OBJETOS]*INDEX(TablaSeleccionSupervisores[],ROW(TablaSeleccionSupervisores[[#This Row],[ORDEN]])-1,_xlfn.XMATCH(TablaSupervisores[REFERENCIA],TablaSeleccionSupervisores[#Headers])))</f>
        <v>25000</v>
      </c>
      <c r="AB278" s="28" cm="1">
        <f t="array" ref="AB278">SUM(TablaSupervisores[COSTE]*INDEX(TablaSeleccionSupervisores[],ROW(TablaSeleccionSupervisores[[#This Row],[ORDEN]])-1,_xlfn.XMATCH(TablaSupervisores[REFERENCIA],TablaSeleccionSupervisores[#Headers])))</f>
        <v>19199.009999999998</v>
      </c>
      <c r="AC278" cm="1">
        <f t="array" ref="AC278">SUM(INDEX(TablaSeleccionSupervisores[],ROW(TablaSeleccionSupervisores[[#This Row],[ORDEN]])-1,_xlfn.XMATCH(TablaSupervisores[REFERENCIA],TablaSeleccionSupervisores[#Headers])))</f>
        <v>8</v>
      </c>
      <c r="AD278" t="str" cm="1">
        <f t="array" ref="AD278">IF(INDEX(TablaSeleccionSupervisores[],ROW(TablaSeleccionSupervisores[[#This Row],[ORDEN]])-1,_xlfn.XMATCH("ADMITIDO ADSLITE",TablaSeleccionSupervisores[#Headers])+1)=0,"Sí admitido","No admitido")</f>
        <v>No admitido</v>
      </c>
      <c r="AE278">
        <v>2</v>
      </c>
      <c r="AF278">
        <v>0</v>
      </c>
      <c r="AG278">
        <v>5</v>
      </c>
      <c r="AH278">
        <v>1</v>
      </c>
    </row>
    <row r="279" spans="22:34" x14ac:dyDescent="0.25">
      <c r="V279">
        <v>278</v>
      </c>
      <c r="W279" cm="1">
        <f t="array" ref="W279">SUM(TablaSupervisores[DISPOSITIVOS TOTAL]*INDEX(TablaSeleccionSupervisores[],ROW(TablaSeleccionSupervisores[[#This Row],[ORDEN]])-1,_xlfn.XMATCH(TablaSupervisores[REFERENCIA],TablaSeleccionSupervisores[#Headers])))</f>
        <v>454</v>
      </c>
      <c r="X279" cm="1">
        <f t="array" ref="X279">SUM(TablaSupervisores[DISPOSITIVOS BACNET MS/TP JC]*INDEX(TablaSeleccionSupervisores[],ROW(TablaSeleccionSupervisores[[#This Row],[ORDEN]])-1,_xlfn.XMATCH(TablaSupervisores[REFERENCIA],TablaSeleccionSupervisores[#Headers])))</f>
        <v>354</v>
      </c>
      <c r="Y279" cm="1">
        <f t="array" ref="Y279">SUM(TablaSupervisores[DISPOSITIVOS BACNET MS/TP COMPATIBLES]*INDEX(TablaSeleccionSupervisores[],ROW(TablaSeleccionSupervisores[[#This Row],[ORDEN]])-1,_xlfn.XMATCH(TablaSupervisores[REFERENCIA],TablaSeleccionSupervisores[#Headers])))</f>
        <v>228</v>
      </c>
      <c r="Z279" cm="1">
        <f t="array" ref="Z279">SUM(TablaSupervisores[DISPOSITIVOS BACNET IP]*INDEX(TablaSeleccionSupervisores[],ROW(TablaSeleccionSupervisores[[#This Row],[ORDEN]])-1,_xlfn.XMATCH(TablaSupervisores[REFERENCIA],TablaSeleccionSupervisores[#Headers])))</f>
        <v>710</v>
      </c>
      <c r="AA279" cm="1">
        <f t="array" ref="AA279">SUM(TablaSupervisores[OBJETOS]*INDEX(TablaSeleccionSupervisores[],ROW(TablaSeleccionSupervisores[[#This Row],[ORDEN]])-1,_xlfn.XMATCH(TablaSupervisores[REFERENCIA],TablaSeleccionSupervisores[#Headers])))</f>
        <v>17500</v>
      </c>
      <c r="AB279" s="28" cm="1">
        <f t="array" ref="AB279">SUM(TablaSupervisores[COSTE]*INDEX(TablaSeleccionSupervisores[],ROW(TablaSeleccionSupervisores[[#This Row],[ORDEN]])-1,_xlfn.XMATCH(TablaSupervisores[REFERENCIA],TablaSeleccionSupervisores[#Headers])))</f>
        <v>11854.48</v>
      </c>
      <c r="AC279" cm="1">
        <f t="array" ref="AC279">SUM(INDEX(TablaSeleccionSupervisores[],ROW(TablaSeleccionSupervisores[[#This Row],[ORDEN]])-1,_xlfn.XMATCH(TablaSupervisores[REFERENCIA],TablaSeleccionSupervisores[#Headers])))</f>
        <v>7</v>
      </c>
      <c r="AD279" t="str" cm="1">
        <f t="array" ref="AD279">IF(INDEX(TablaSeleccionSupervisores[],ROW(TablaSeleccionSupervisores[[#This Row],[ORDEN]])-1,_xlfn.XMATCH("ADMITIDO ADSLITE",TablaSeleccionSupervisores[#Headers])+1)=0,"Sí admitido","No admitido")</f>
        <v>Sí admitido</v>
      </c>
      <c r="AE279">
        <v>0</v>
      </c>
      <c r="AF279">
        <v>1</v>
      </c>
      <c r="AG279">
        <v>5</v>
      </c>
      <c r="AH279">
        <v>1</v>
      </c>
    </row>
    <row r="280" spans="22:34" x14ac:dyDescent="0.25">
      <c r="V280">
        <v>279</v>
      </c>
      <c r="W280" cm="1">
        <f t="array" ref="W280">SUM(TablaSupervisores[DISPOSITIVOS TOTAL]*INDEX(TablaSeleccionSupervisores[],ROW(TablaSeleccionSupervisores[[#This Row],[ORDEN]])-1,_xlfn.XMATCH(TablaSupervisores[REFERENCIA],TablaSeleccionSupervisores[#Headers])))</f>
        <v>1054</v>
      </c>
      <c r="X280" cm="1">
        <f t="array" ref="X280">SUM(TablaSupervisores[DISPOSITIVOS BACNET MS/TP JC]*INDEX(TablaSeleccionSupervisores[],ROW(TablaSeleccionSupervisores[[#This Row],[ORDEN]])-1,_xlfn.XMATCH(TablaSupervisores[REFERENCIA],TablaSeleccionSupervisores[#Headers])))</f>
        <v>554</v>
      </c>
      <c r="Y280" cm="1">
        <f t="array" ref="Y280">SUM(TablaSupervisores[DISPOSITIVOS BACNET MS/TP COMPATIBLES]*INDEX(TablaSeleccionSupervisores[],ROW(TablaSeleccionSupervisores[[#This Row],[ORDEN]])-1,_xlfn.XMATCH(TablaSupervisores[REFERENCIA],TablaSeleccionSupervisores[#Headers])))</f>
        <v>356</v>
      </c>
      <c r="Z280" cm="1">
        <f t="array" ref="Z280">SUM(TablaSupervisores[DISPOSITIVOS BACNET IP]*INDEX(TablaSeleccionSupervisores[],ROW(TablaSeleccionSupervisores[[#This Row],[ORDEN]])-1,_xlfn.XMATCH(TablaSupervisores[REFERENCIA],TablaSeleccionSupervisores[#Headers])))</f>
        <v>1110</v>
      </c>
      <c r="AA280" cm="1">
        <f t="array" ref="AA280">SUM(TablaSupervisores[OBJETOS]*INDEX(TablaSeleccionSupervisores[],ROW(TablaSeleccionSupervisores[[#This Row],[ORDEN]])-1,_xlfn.XMATCH(TablaSupervisores[REFERENCIA],TablaSeleccionSupervisores[#Headers])))</f>
        <v>22500</v>
      </c>
      <c r="AB280" s="28" cm="1">
        <f t="array" ref="AB280">SUM(TablaSupervisores[COSTE]*INDEX(TablaSeleccionSupervisores[],ROW(TablaSeleccionSupervisores[[#This Row],[ORDEN]])-1,_xlfn.XMATCH(TablaSupervisores[REFERENCIA],TablaSeleccionSupervisores[#Headers])))</f>
        <v>17521.11</v>
      </c>
      <c r="AC280" cm="1">
        <f t="array" ref="AC280">SUM(INDEX(TablaSeleccionSupervisores[],ROW(TablaSeleccionSupervisores[[#This Row],[ORDEN]])-1,_xlfn.XMATCH(TablaSupervisores[REFERENCIA],TablaSeleccionSupervisores[#Headers])))</f>
        <v>8</v>
      </c>
      <c r="AD280" t="str" cm="1">
        <f t="array" ref="AD280">IF(INDEX(TablaSeleccionSupervisores[],ROW(TablaSeleccionSupervisores[[#This Row],[ORDEN]])-1,_xlfn.XMATCH("ADMITIDO ADSLITE",TablaSeleccionSupervisores[#Headers])+1)=0,"Sí admitido","No admitido")</f>
        <v>No admitido</v>
      </c>
      <c r="AE280">
        <v>1</v>
      </c>
      <c r="AF280">
        <v>1</v>
      </c>
      <c r="AG280">
        <v>5</v>
      </c>
      <c r="AH280">
        <v>1</v>
      </c>
    </row>
    <row r="281" spans="22:34" x14ac:dyDescent="0.25">
      <c r="V281">
        <v>280</v>
      </c>
      <c r="W281" cm="1">
        <f t="array" ref="W281">SUM(TablaSupervisores[DISPOSITIVOS TOTAL]*INDEX(TablaSeleccionSupervisores[],ROW(TablaSeleccionSupervisores[[#This Row],[ORDEN]])-1,_xlfn.XMATCH(TablaSupervisores[REFERENCIA],TablaSeleccionSupervisores[#Headers])))</f>
        <v>604</v>
      </c>
      <c r="X281" cm="1">
        <f t="array" ref="X281">SUM(TablaSupervisores[DISPOSITIVOS BACNET MS/TP JC]*INDEX(TablaSeleccionSupervisores[],ROW(TablaSeleccionSupervisores[[#This Row],[ORDEN]])-1,_xlfn.XMATCH(TablaSupervisores[REFERENCIA],TablaSeleccionSupervisores[#Headers])))</f>
        <v>454</v>
      </c>
      <c r="Y281" cm="1">
        <f t="array" ref="Y281">SUM(TablaSupervisores[DISPOSITIVOS BACNET MS/TP COMPATIBLES]*INDEX(TablaSeleccionSupervisores[],ROW(TablaSeleccionSupervisores[[#This Row],[ORDEN]])-1,_xlfn.XMATCH(TablaSupervisores[REFERENCIA],TablaSeleccionSupervisores[#Headers])))</f>
        <v>292</v>
      </c>
      <c r="Z281" cm="1">
        <f t="array" ref="Z281">SUM(TablaSupervisores[DISPOSITIVOS BACNET IP]*INDEX(TablaSeleccionSupervisores[],ROW(TablaSeleccionSupervisores[[#This Row],[ORDEN]])-1,_xlfn.XMATCH(TablaSupervisores[REFERENCIA],TablaSeleccionSupervisores[#Headers])))</f>
        <v>910</v>
      </c>
      <c r="AA281" cm="1">
        <f t="array" ref="AA281">SUM(TablaSupervisores[OBJETOS]*INDEX(TablaSeleccionSupervisores[],ROW(TablaSeleccionSupervisores[[#This Row],[ORDEN]])-1,_xlfn.XMATCH(TablaSupervisores[REFERENCIA],TablaSeleccionSupervisores[#Headers])))</f>
        <v>20000</v>
      </c>
      <c r="AB281" s="28" cm="1">
        <f t="array" ref="AB281">SUM(TablaSupervisores[COSTE]*INDEX(TablaSeleccionSupervisores[],ROW(TablaSeleccionSupervisores[[#This Row],[ORDEN]])-1,_xlfn.XMATCH(TablaSupervisores[REFERENCIA],TablaSeleccionSupervisores[#Headers])))</f>
        <v>15843.210000000001</v>
      </c>
      <c r="AC281" cm="1">
        <f t="array" ref="AC281">SUM(INDEX(TablaSeleccionSupervisores[],ROW(TablaSeleccionSupervisores[[#This Row],[ORDEN]])-1,_xlfn.XMATCH(TablaSupervisores[REFERENCIA],TablaSeleccionSupervisores[#Headers])))</f>
        <v>8</v>
      </c>
      <c r="AD281" t="str" cm="1">
        <f t="array" ref="AD281">IF(INDEX(TablaSeleccionSupervisores[],ROW(TablaSeleccionSupervisores[[#This Row],[ORDEN]])-1,_xlfn.XMATCH("ADMITIDO ADSLITE",TablaSeleccionSupervisores[#Headers])+1)=0,"Sí admitido","No admitido")</f>
        <v>Sí admitido</v>
      </c>
      <c r="AE281">
        <v>0</v>
      </c>
      <c r="AF281">
        <v>2</v>
      </c>
      <c r="AG281">
        <v>5</v>
      </c>
      <c r="AH281">
        <v>1</v>
      </c>
    </row>
    <row r="282" spans="22:34" x14ac:dyDescent="0.25">
      <c r="V282">
        <v>281</v>
      </c>
      <c r="W282" cm="1">
        <f t="array" ref="W282">SUM(TablaSupervisores[DISPOSITIVOS TOTAL]*INDEX(TablaSeleccionSupervisores[],ROW(TablaSeleccionSupervisores[[#This Row],[ORDEN]])-1,_xlfn.XMATCH(TablaSupervisores[REFERENCIA],TablaSeleccionSupervisores[#Headers])))</f>
        <v>364</v>
      </c>
      <c r="X282" cm="1">
        <f t="array" ref="X282">SUM(TablaSupervisores[DISPOSITIVOS BACNET MS/TP JC]*INDEX(TablaSeleccionSupervisores[],ROW(TablaSeleccionSupervisores[[#This Row],[ORDEN]])-1,_xlfn.XMATCH(TablaSupervisores[REFERENCIA],TablaSeleccionSupervisores[#Headers])))</f>
        <v>304</v>
      </c>
      <c r="Y282" cm="1">
        <f t="array" ref="Y282">SUM(TablaSupervisores[DISPOSITIVOS BACNET MS/TP COMPATIBLES]*INDEX(TablaSeleccionSupervisores[],ROW(TablaSeleccionSupervisores[[#This Row],[ORDEN]])-1,_xlfn.XMATCH(TablaSupervisores[REFERENCIA],TablaSeleccionSupervisores[#Headers])))</f>
        <v>196</v>
      </c>
      <c r="Z282" cm="1">
        <f t="array" ref="Z282">SUM(TablaSupervisores[DISPOSITIVOS BACNET IP]*INDEX(TablaSeleccionSupervisores[],ROW(TablaSeleccionSupervisores[[#This Row],[ORDEN]])-1,_xlfn.XMATCH(TablaSupervisores[REFERENCIA],TablaSeleccionSupervisores[#Headers])))</f>
        <v>610</v>
      </c>
      <c r="AA282" cm="1">
        <f t="array" ref="AA282">SUM(TablaSupervisores[OBJETOS]*INDEX(TablaSeleccionSupervisores[],ROW(TablaSeleccionSupervisores[[#This Row],[ORDEN]])-1,_xlfn.XMATCH(TablaSupervisores[REFERENCIA],TablaSeleccionSupervisores[#Headers])))</f>
        <v>17500</v>
      </c>
      <c r="AB282" s="28" cm="1">
        <f t="array" ref="AB282">SUM(TablaSupervisores[COSTE]*INDEX(TablaSeleccionSupervisores[],ROW(TablaSeleccionSupervisores[[#This Row],[ORDEN]])-1,_xlfn.XMATCH(TablaSupervisores[REFERENCIA],TablaSeleccionSupervisores[#Headers])))</f>
        <v>9289.2300000000014</v>
      </c>
      <c r="AC282" cm="1">
        <f t="array" ref="AC282">SUM(INDEX(TablaSeleccionSupervisores[],ROW(TablaSeleccionSupervisores[[#This Row],[ORDEN]])-1,_xlfn.XMATCH(TablaSupervisores[REFERENCIA],TablaSeleccionSupervisores[#Headers])))</f>
        <v>7</v>
      </c>
      <c r="AD282" t="str" cm="1">
        <f t="array" ref="AD282">IF(INDEX(TablaSeleccionSupervisores[],ROW(TablaSeleccionSupervisores[[#This Row],[ORDEN]])-1,_xlfn.XMATCH("ADMITIDO ADSLITE",TablaSeleccionSupervisores[#Headers])+1)=0,"Sí admitido","No admitido")</f>
        <v>Sí admitido</v>
      </c>
      <c r="AE282">
        <v>0</v>
      </c>
      <c r="AF282">
        <v>0</v>
      </c>
      <c r="AG282">
        <v>6</v>
      </c>
      <c r="AH282">
        <v>1</v>
      </c>
    </row>
    <row r="283" spans="22:34" x14ac:dyDescent="0.25">
      <c r="V283">
        <v>282</v>
      </c>
      <c r="W283" cm="1">
        <f t="array" ref="W283">SUM(TablaSupervisores[DISPOSITIVOS TOTAL]*INDEX(TablaSeleccionSupervisores[],ROW(TablaSeleccionSupervisores[[#This Row],[ORDEN]])-1,_xlfn.XMATCH(TablaSupervisores[REFERENCIA],TablaSeleccionSupervisores[#Headers])))</f>
        <v>964</v>
      </c>
      <c r="X283" cm="1">
        <f t="array" ref="X283">SUM(TablaSupervisores[DISPOSITIVOS BACNET MS/TP JC]*INDEX(TablaSeleccionSupervisores[],ROW(TablaSeleccionSupervisores[[#This Row],[ORDEN]])-1,_xlfn.XMATCH(TablaSupervisores[REFERENCIA],TablaSeleccionSupervisores[#Headers])))</f>
        <v>504</v>
      </c>
      <c r="Y283" cm="1">
        <f t="array" ref="Y283">SUM(TablaSupervisores[DISPOSITIVOS BACNET MS/TP COMPATIBLES]*INDEX(TablaSeleccionSupervisores[],ROW(TablaSeleccionSupervisores[[#This Row],[ORDEN]])-1,_xlfn.XMATCH(TablaSupervisores[REFERENCIA],TablaSeleccionSupervisores[#Headers])))</f>
        <v>324</v>
      </c>
      <c r="Z283" cm="1">
        <f t="array" ref="Z283">SUM(TablaSupervisores[DISPOSITIVOS BACNET IP]*INDEX(TablaSeleccionSupervisores[],ROW(TablaSeleccionSupervisores[[#This Row],[ORDEN]])-1,_xlfn.XMATCH(TablaSupervisores[REFERENCIA],TablaSeleccionSupervisores[#Headers])))</f>
        <v>1010</v>
      </c>
      <c r="AA283" cm="1">
        <f t="array" ref="AA283">SUM(TablaSupervisores[OBJETOS]*INDEX(TablaSeleccionSupervisores[],ROW(TablaSeleccionSupervisores[[#This Row],[ORDEN]])-1,_xlfn.XMATCH(TablaSupervisores[REFERENCIA],TablaSeleccionSupervisores[#Headers])))</f>
        <v>22500</v>
      </c>
      <c r="AB283" s="28" cm="1">
        <f t="array" ref="AB283">SUM(TablaSupervisores[COSTE]*INDEX(TablaSeleccionSupervisores[],ROW(TablaSeleccionSupervisores[[#This Row],[ORDEN]])-1,_xlfn.XMATCH(TablaSupervisores[REFERENCIA],TablaSeleccionSupervisores[#Headers])))</f>
        <v>14955.860000000002</v>
      </c>
      <c r="AC283" cm="1">
        <f t="array" ref="AC283">SUM(INDEX(TablaSeleccionSupervisores[],ROW(TablaSeleccionSupervisores[[#This Row],[ORDEN]])-1,_xlfn.XMATCH(TablaSupervisores[REFERENCIA],TablaSeleccionSupervisores[#Headers])))</f>
        <v>8</v>
      </c>
      <c r="AD283" t="str" cm="1">
        <f t="array" ref="AD283">IF(INDEX(TablaSeleccionSupervisores[],ROW(TablaSeleccionSupervisores[[#This Row],[ORDEN]])-1,_xlfn.XMATCH("ADMITIDO ADSLITE",TablaSeleccionSupervisores[#Headers])+1)=0,"Sí admitido","No admitido")</f>
        <v>No admitido</v>
      </c>
      <c r="AE283">
        <v>1</v>
      </c>
      <c r="AF283">
        <v>0</v>
      </c>
      <c r="AG283">
        <v>6</v>
      </c>
      <c r="AH283">
        <v>1</v>
      </c>
    </row>
    <row r="284" spans="22:34" x14ac:dyDescent="0.25">
      <c r="V284">
        <v>283</v>
      </c>
      <c r="W284" cm="1">
        <f t="array" ref="W284">SUM(TablaSupervisores[DISPOSITIVOS TOTAL]*INDEX(TablaSeleccionSupervisores[],ROW(TablaSeleccionSupervisores[[#This Row],[ORDEN]])-1,_xlfn.XMATCH(TablaSupervisores[REFERENCIA],TablaSeleccionSupervisores[#Headers])))</f>
        <v>514</v>
      </c>
      <c r="X284" cm="1">
        <f t="array" ref="X284">SUM(TablaSupervisores[DISPOSITIVOS BACNET MS/TP JC]*INDEX(TablaSeleccionSupervisores[],ROW(TablaSeleccionSupervisores[[#This Row],[ORDEN]])-1,_xlfn.XMATCH(TablaSupervisores[REFERENCIA],TablaSeleccionSupervisores[#Headers])))</f>
        <v>404</v>
      </c>
      <c r="Y284" cm="1">
        <f t="array" ref="Y284">SUM(TablaSupervisores[DISPOSITIVOS BACNET MS/TP COMPATIBLES]*INDEX(TablaSeleccionSupervisores[],ROW(TablaSeleccionSupervisores[[#This Row],[ORDEN]])-1,_xlfn.XMATCH(TablaSupervisores[REFERENCIA],TablaSeleccionSupervisores[#Headers])))</f>
        <v>260</v>
      </c>
      <c r="Z284" cm="1">
        <f t="array" ref="Z284">SUM(TablaSupervisores[DISPOSITIVOS BACNET IP]*INDEX(TablaSeleccionSupervisores[],ROW(TablaSeleccionSupervisores[[#This Row],[ORDEN]])-1,_xlfn.XMATCH(TablaSupervisores[REFERENCIA],TablaSeleccionSupervisores[#Headers])))</f>
        <v>810</v>
      </c>
      <c r="AA284" cm="1">
        <f t="array" ref="AA284">SUM(TablaSupervisores[OBJETOS]*INDEX(TablaSeleccionSupervisores[],ROW(TablaSeleccionSupervisores[[#This Row],[ORDEN]])-1,_xlfn.XMATCH(TablaSupervisores[REFERENCIA],TablaSeleccionSupervisores[#Headers])))</f>
        <v>20000</v>
      </c>
      <c r="AB284" s="28" cm="1">
        <f t="array" ref="AB284">SUM(TablaSupervisores[COSTE]*INDEX(TablaSeleccionSupervisores[],ROW(TablaSeleccionSupervisores[[#This Row],[ORDEN]])-1,_xlfn.XMATCH(TablaSupervisores[REFERENCIA],TablaSeleccionSupervisores[#Headers])))</f>
        <v>13277.960000000001</v>
      </c>
      <c r="AC284" cm="1">
        <f t="array" ref="AC284">SUM(INDEX(TablaSeleccionSupervisores[],ROW(TablaSeleccionSupervisores[[#This Row],[ORDEN]])-1,_xlfn.XMATCH(TablaSupervisores[REFERENCIA],TablaSeleccionSupervisores[#Headers])))</f>
        <v>8</v>
      </c>
      <c r="AD284" t="str" cm="1">
        <f t="array" ref="AD284">IF(INDEX(TablaSeleccionSupervisores[],ROW(TablaSeleccionSupervisores[[#This Row],[ORDEN]])-1,_xlfn.XMATCH("ADMITIDO ADSLITE",TablaSeleccionSupervisores[#Headers])+1)=0,"Sí admitido","No admitido")</f>
        <v>Sí admitido</v>
      </c>
      <c r="AE284">
        <v>0</v>
      </c>
      <c r="AF284">
        <v>1</v>
      </c>
      <c r="AG284">
        <v>6</v>
      </c>
      <c r="AH284">
        <v>1</v>
      </c>
    </row>
    <row r="285" spans="22:34" x14ac:dyDescent="0.25">
      <c r="V285">
        <v>284</v>
      </c>
      <c r="W285" cm="1">
        <f t="array" ref="W285">SUM(TablaSupervisores[DISPOSITIVOS TOTAL]*INDEX(TablaSeleccionSupervisores[],ROW(TablaSeleccionSupervisores[[#This Row],[ORDEN]])-1,_xlfn.XMATCH(TablaSupervisores[REFERENCIA],TablaSeleccionSupervisores[#Headers])))</f>
        <v>424</v>
      </c>
      <c r="X285" cm="1">
        <f t="array" ref="X285">SUM(TablaSupervisores[DISPOSITIVOS BACNET MS/TP JC]*INDEX(TablaSeleccionSupervisores[],ROW(TablaSeleccionSupervisores[[#This Row],[ORDEN]])-1,_xlfn.XMATCH(TablaSupervisores[REFERENCIA],TablaSeleccionSupervisores[#Headers])))</f>
        <v>354</v>
      </c>
      <c r="Y285" cm="1">
        <f t="array" ref="Y285">SUM(TablaSupervisores[DISPOSITIVOS BACNET MS/TP COMPATIBLES]*INDEX(TablaSeleccionSupervisores[],ROW(TablaSeleccionSupervisores[[#This Row],[ORDEN]])-1,_xlfn.XMATCH(TablaSupervisores[REFERENCIA],TablaSeleccionSupervisores[#Headers])))</f>
        <v>228</v>
      </c>
      <c r="Z285" cm="1">
        <f t="array" ref="Z285">SUM(TablaSupervisores[DISPOSITIVOS BACNET IP]*INDEX(TablaSeleccionSupervisores[],ROW(TablaSeleccionSupervisores[[#This Row],[ORDEN]])-1,_xlfn.XMATCH(TablaSupervisores[REFERENCIA],TablaSeleccionSupervisores[#Headers])))</f>
        <v>710</v>
      </c>
      <c r="AA285" cm="1">
        <f t="array" ref="AA285">SUM(TablaSupervisores[OBJETOS]*INDEX(TablaSeleccionSupervisores[],ROW(TablaSeleccionSupervisores[[#This Row],[ORDEN]])-1,_xlfn.XMATCH(TablaSupervisores[REFERENCIA],TablaSeleccionSupervisores[#Headers])))</f>
        <v>20000</v>
      </c>
      <c r="AB285" s="28" cm="1">
        <f t="array" ref="AB285">SUM(TablaSupervisores[COSTE]*INDEX(TablaSeleccionSupervisores[],ROW(TablaSeleccionSupervisores[[#This Row],[ORDEN]])-1,_xlfn.XMATCH(TablaSupervisores[REFERENCIA],TablaSeleccionSupervisores[#Headers])))</f>
        <v>10712.710000000001</v>
      </c>
      <c r="AC285" cm="1">
        <f t="array" ref="AC285">SUM(INDEX(TablaSeleccionSupervisores[],ROW(TablaSeleccionSupervisores[[#This Row],[ORDEN]])-1,_xlfn.XMATCH(TablaSupervisores[REFERENCIA],TablaSeleccionSupervisores[#Headers])))</f>
        <v>8</v>
      </c>
      <c r="AD285" t="str" cm="1">
        <f t="array" ref="AD285">IF(INDEX(TablaSeleccionSupervisores[],ROW(TablaSeleccionSupervisores[[#This Row],[ORDEN]])-1,_xlfn.XMATCH("ADMITIDO ADSLITE",TablaSeleccionSupervisores[#Headers])+1)=0,"Sí admitido","No admitido")</f>
        <v>Sí admitido</v>
      </c>
      <c r="AE285">
        <v>0</v>
      </c>
      <c r="AF285">
        <v>0</v>
      </c>
      <c r="AG285">
        <v>7</v>
      </c>
      <c r="AH285">
        <v>1</v>
      </c>
    </row>
    <row r="286" spans="22:34" x14ac:dyDescent="0.25">
      <c r="V286">
        <v>285</v>
      </c>
      <c r="W286" cm="1">
        <f t="array" ref="W286">SUM(TablaSupervisores[DISPOSITIVOS TOTAL]*INDEX(TablaSeleccionSupervisores[],ROW(TablaSeleccionSupervisores[[#This Row],[ORDEN]])-1,_xlfn.XMATCH(TablaSupervisores[REFERENCIA],TablaSeleccionSupervisores[#Headers])))</f>
        <v>8</v>
      </c>
      <c r="X286" cm="1">
        <f t="array" ref="X286">SUM(TablaSupervisores[DISPOSITIVOS BACNET MS/TP JC]*INDEX(TablaSeleccionSupervisores[],ROW(TablaSeleccionSupervisores[[#This Row],[ORDEN]])-1,_xlfn.XMATCH(TablaSupervisores[REFERENCIA],TablaSeleccionSupervisores[#Headers])))</f>
        <v>8</v>
      </c>
      <c r="Y286" cm="1">
        <f t="array" ref="Y286">SUM(TablaSupervisores[DISPOSITIVOS BACNET MS/TP COMPATIBLES]*INDEX(TablaSeleccionSupervisores[],ROW(TablaSeleccionSupervisores[[#This Row],[ORDEN]])-1,_xlfn.XMATCH(TablaSupervisores[REFERENCIA],TablaSeleccionSupervisores[#Headers])))</f>
        <v>8</v>
      </c>
      <c r="Z286" cm="1">
        <f t="array" ref="Z286">SUM(TablaSupervisores[DISPOSITIVOS BACNET IP]*INDEX(TablaSeleccionSupervisores[],ROW(TablaSeleccionSupervisores[[#This Row],[ORDEN]])-1,_xlfn.XMATCH(TablaSupervisores[REFERENCIA],TablaSeleccionSupervisores[#Headers])))</f>
        <v>20</v>
      </c>
      <c r="AA286" cm="1">
        <f t="array" ref="AA286">SUM(TablaSupervisores[OBJETOS]*INDEX(TablaSeleccionSupervisores[],ROW(TablaSeleccionSupervisores[[#This Row],[ORDEN]])-1,_xlfn.XMATCH(TablaSupervisores[REFERENCIA],TablaSeleccionSupervisores[#Headers])))</f>
        <v>5000</v>
      </c>
      <c r="AB286" s="28" cm="1">
        <f t="array" ref="AB286">SUM(TablaSupervisores[COSTE]*INDEX(TablaSeleccionSupervisores[],ROW(TablaSeleccionSupervisores[[#This Row],[ORDEN]])-1,_xlfn.XMATCH(TablaSupervisores[REFERENCIA],TablaSeleccionSupervisores[#Headers])))</f>
        <v>1496.7</v>
      </c>
      <c r="AC286" cm="1">
        <f t="array" ref="AC286">SUM(INDEX(TablaSeleccionSupervisores[],ROW(TablaSeleccionSupervisores[[#This Row],[ORDEN]])-1,_xlfn.XMATCH(TablaSupervisores[REFERENCIA],TablaSeleccionSupervisores[#Headers])))</f>
        <v>2</v>
      </c>
      <c r="AD286" t="str" cm="1">
        <f t="array" ref="AD286">IF(INDEX(TablaSeleccionSupervisores[],ROW(TablaSeleccionSupervisores[[#This Row],[ORDEN]])-1,_xlfn.XMATCH("ADMITIDO ADSLITE",TablaSeleccionSupervisores[#Headers])+1)=0,"Sí admitido","No admitido")</f>
        <v>Sí admitido</v>
      </c>
      <c r="AE286">
        <v>0</v>
      </c>
      <c r="AF286">
        <v>0</v>
      </c>
      <c r="AG286">
        <v>0</v>
      </c>
      <c r="AH286">
        <v>2</v>
      </c>
    </row>
    <row r="287" spans="22:34" x14ac:dyDescent="0.25">
      <c r="V287">
        <v>286</v>
      </c>
      <c r="W287" cm="1">
        <f t="array" ref="W287">SUM(TablaSupervisores[DISPOSITIVOS TOTAL]*INDEX(TablaSeleccionSupervisores[],ROW(TablaSeleccionSupervisores[[#This Row],[ORDEN]])-1,_xlfn.XMATCH(TablaSupervisores[REFERENCIA],TablaSeleccionSupervisores[#Headers])))</f>
        <v>608</v>
      </c>
      <c r="X287" cm="1">
        <f t="array" ref="X287">SUM(TablaSupervisores[DISPOSITIVOS BACNET MS/TP JC]*INDEX(TablaSeleccionSupervisores[],ROW(TablaSeleccionSupervisores[[#This Row],[ORDEN]])-1,_xlfn.XMATCH(TablaSupervisores[REFERENCIA],TablaSeleccionSupervisores[#Headers])))</f>
        <v>208</v>
      </c>
      <c r="Y287" cm="1">
        <f t="array" ref="Y287">SUM(TablaSupervisores[DISPOSITIVOS BACNET MS/TP COMPATIBLES]*INDEX(TablaSeleccionSupervisores[],ROW(TablaSeleccionSupervisores[[#This Row],[ORDEN]])-1,_xlfn.XMATCH(TablaSupervisores[REFERENCIA],TablaSeleccionSupervisores[#Headers])))</f>
        <v>136</v>
      </c>
      <c r="Z287" cm="1">
        <f t="array" ref="Z287">SUM(TablaSupervisores[DISPOSITIVOS BACNET IP]*INDEX(TablaSeleccionSupervisores[],ROW(TablaSeleccionSupervisores[[#This Row],[ORDEN]])-1,_xlfn.XMATCH(TablaSupervisores[REFERENCIA],TablaSeleccionSupervisores[#Headers])))</f>
        <v>420</v>
      </c>
      <c r="AA287" cm="1">
        <f t="array" ref="AA287">SUM(TablaSupervisores[OBJETOS]*INDEX(TablaSeleccionSupervisores[],ROW(TablaSeleccionSupervisores[[#This Row],[ORDEN]])-1,_xlfn.XMATCH(TablaSupervisores[REFERENCIA],TablaSeleccionSupervisores[#Headers])))</f>
        <v>10000</v>
      </c>
      <c r="AB287" s="28" cm="1">
        <f t="array" ref="AB287">SUM(TablaSupervisores[COSTE]*INDEX(TablaSeleccionSupervisores[],ROW(TablaSeleccionSupervisores[[#This Row],[ORDEN]])-1,_xlfn.XMATCH(TablaSupervisores[REFERENCIA],TablaSeleccionSupervisores[#Headers])))</f>
        <v>7163.33</v>
      </c>
      <c r="AC287" cm="1">
        <f t="array" ref="AC287">SUM(INDEX(TablaSeleccionSupervisores[],ROW(TablaSeleccionSupervisores[[#This Row],[ORDEN]])-1,_xlfn.XMATCH(TablaSupervisores[REFERENCIA],TablaSeleccionSupervisores[#Headers])))</f>
        <v>3</v>
      </c>
      <c r="AD287" t="str" cm="1">
        <f t="array" ref="AD287">IF(INDEX(TablaSeleccionSupervisores[],ROW(TablaSeleccionSupervisores[[#This Row],[ORDEN]])-1,_xlfn.XMATCH("ADMITIDO ADSLITE",TablaSeleccionSupervisores[#Headers])+1)=0,"Sí admitido","No admitido")</f>
        <v>No admitido</v>
      </c>
      <c r="AE287">
        <v>1</v>
      </c>
      <c r="AF287">
        <v>0</v>
      </c>
      <c r="AG287">
        <v>0</v>
      </c>
      <c r="AH287">
        <v>2</v>
      </c>
    </row>
    <row r="288" spans="22:34" x14ac:dyDescent="0.25">
      <c r="V288">
        <v>287</v>
      </c>
      <c r="W288" cm="1">
        <f t="array" ref="W288">SUM(TablaSupervisores[DISPOSITIVOS TOTAL]*INDEX(TablaSeleccionSupervisores[],ROW(TablaSeleccionSupervisores[[#This Row],[ORDEN]])-1,_xlfn.XMATCH(TablaSupervisores[REFERENCIA],TablaSeleccionSupervisores[#Headers])))</f>
        <v>1208</v>
      </c>
      <c r="X288" cm="1">
        <f t="array" ref="X288">SUM(TablaSupervisores[DISPOSITIVOS BACNET MS/TP JC]*INDEX(TablaSeleccionSupervisores[],ROW(TablaSeleccionSupervisores[[#This Row],[ORDEN]])-1,_xlfn.XMATCH(TablaSupervisores[REFERENCIA],TablaSeleccionSupervisores[#Headers])))</f>
        <v>408</v>
      </c>
      <c r="Y288" cm="1">
        <f t="array" ref="Y288">SUM(TablaSupervisores[DISPOSITIVOS BACNET MS/TP COMPATIBLES]*INDEX(TablaSeleccionSupervisores[],ROW(TablaSeleccionSupervisores[[#This Row],[ORDEN]])-1,_xlfn.XMATCH(TablaSupervisores[REFERENCIA],TablaSeleccionSupervisores[#Headers])))</f>
        <v>264</v>
      </c>
      <c r="Z288" cm="1">
        <f t="array" ref="Z288">SUM(TablaSupervisores[DISPOSITIVOS BACNET IP]*INDEX(TablaSeleccionSupervisores[],ROW(TablaSeleccionSupervisores[[#This Row],[ORDEN]])-1,_xlfn.XMATCH(TablaSupervisores[REFERENCIA],TablaSeleccionSupervisores[#Headers])))</f>
        <v>820</v>
      </c>
      <c r="AA288" cm="1">
        <f t="array" ref="AA288">SUM(TablaSupervisores[OBJETOS]*INDEX(TablaSeleccionSupervisores[],ROW(TablaSeleccionSupervisores[[#This Row],[ORDEN]])-1,_xlfn.XMATCH(TablaSupervisores[REFERENCIA],TablaSeleccionSupervisores[#Headers])))</f>
        <v>15000</v>
      </c>
      <c r="AB288" s="28" cm="1">
        <f t="array" ref="AB288">SUM(TablaSupervisores[COSTE]*INDEX(TablaSeleccionSupervisores[],ROW(TablaSeleccionSupervisores[[#This Row],[ORDEN]])-1,_xlfn.XMATCH(TablaSupervisores[REFERENCIA],TablaSeleccionSupervisores[#Headers])))</f>
        <v>12829.960000000001</v>
      </c>
      <c r="AC288" cm="1">
        <f t="array" ref="AC288">SUM(INDEX(TablaSeleccionSupervisores[],ROW(TablaSeleccionSupervisores[[#This Row],[ORDEN]])-1,_xlfn.XMATCH(TablaSupervisores[REFERENCIA],TablaSeleccionSupervisores[#Headers])))</f>
        <v>4</v>
      </c>
      <c r="AD288" t="str" cm="1">
        <f t="array" ref="AD288">IF(INDEX(TablaSeleccionSupervisores[],ROW(TablaSeleccionSupervisores[[#This Row],[ORDEN]])-1,_xlfn.XMATCH("ADMITIDO ADSLITE",TablaSeleccionSupervisores[#Headers])+1)=0,"Sí admitido","No admitido")</f>
        <v>No admitido</v>
      </c>
      <c r="AE288">
        <v>2</v>
      </c>
      <c r="AF288">
        <v>0</v>
      </c>
      <c r="AG288">
        <v>0</v>
      </c>
      <c r="AH288">
        <v>2</v>
      </c>
    </row>
    <row r="289" spans="22:34" x14ac:dyDescent="0.25">
      <c r="V289">
        <v>288</v>
      </c>
      <c r="W289" cm="1">
        <f t="array" ref="W289">SUM(TablaSupervisores[DISPOSITIVOS TOTAL]*INDEX(TablaSeleccionSupervisores[],ROW(TablaSeleccionSupervisores[[#This Row],[ORDEN]])-1,_xlfn.XMATCH(TablaSupervisores[REFERENCIA],TablaSeleccionSupervisores[#Headers])))</f>
        <v>1808</v>
      </c>
      <c r="X289" cm="1">
        <f t="array" ref="X289">SUM(TablaSupervisores[DISPOSITIVOS BACNET MS/TP JC]*INDEX(TablaSeleccionSupervisores[],ROW(TablaSeleccionSupervisores[[#This Row],[ORDEN]])-1,_xlfn.XMATCH(TablaSupervisores[REFERENCIA],TablaSeleccionSupervisores[#Headers])))</f>
        <v>608</v>
      </c>
      <c r="Y289" cm="1">
        <f t="array" ref="Y289">SUM(TablaSupervisores[DISPOSITIVOS BACNET MS/TP COMPATIBLES]*INDEX(TablaSeleccionSupervisores[],ROW(TablaSeleccionSupervisores[[#This Row],[ORDEN]])-1,_xlfn.XMATCH(TablaSupervisores[REFERENCIA],TablaSeleccionSupervisores[#Headers])))</f>
        <v>392</v>
      </c>
      <c r="Z289" cm="1">
        <f t="array" ref="Z289">SUM(TablaSupervisores[DISPOSITIVOS BACNET IP]*INDEX(TablaSeleccionSupervisores[],ROW(TablaSeleccionSupervisores[[#This Row],[ORDEN]])-1,_xlfn.XMATCH(TablaSupervisores[REFERENCIA],TablaSeleccionSupervisores[#Headers])))</f>
        <v>1220</v>
      </c>
      <c r="AA289" cm="1">
        <f t="array" ref="AA289">SUM(TablaSupervisores[OBJETOS]*INDEX(TablaSeleccionSupervisores[],ROW(TablaSeleccionSupervisores[[#This Row],[ORDEN]])-1,_xlfn.XMATCH(TablaSupervisores[REFERENCIA],TablaSeleccionSupervisores[#Headers])))</f>
        <v>20000</v>
      </c>
      <c r="AB289" s="28" cm="1">
        <f t="array" ref="AB289">SUM(TablaSupervisores[COSTE]*INDEX(TablaSeleccionSupervisores[],ROW(TablaSeleccionSupervisores[[#This Row],[ORDEN]])-1,_xlfn.XMATCH(TablaSupervisores[REFERENCIA],TablaSeleccionSupervisores[#Headers])))</f>
        <v>18496.59</v>
      </c>
      <c r="AC289" cm="1">
        <f t="array" ref="AC289">SUM(INDEX(TablaSeleccionSupervisores[],ROW(TablaSeleccionSupervisores[[#This Row],[ORDEN]])-1,_xlfn.XMATCH(TablaSupervisores[REFERENCIA],TablaSeleccionSupervisores[#Headers])))</f>
        <v>5</v>
      </c>
      <c r="AD289" t="str" cm="1">
        <f t="array" ref="AD289">IF(INDEX(TablaSeleccionSupervisores[],ROW(TablaSeleccionSupervisores[[#This Row],[ORDEN]])-1,_xlfn.XMATCH("ADMITIDO ADSLITE",TablaSeleccionSupervisores[#Headers])+1)=0,"Sí admitido","No admitido")</f>
        <v>No admitido</v>
      </c>
      <c r="AE289">
        <v>3</v>
      </c>
      <c r="AF289">
        <v>0</v>
      </c>
      <c r="AG289">
        <v>0</v>
      </c>
      <c r="AH289">
        <v>2</v>
      </c>
    </row>
    <row r="290" spans="22:34" x14ac:dyDescent="0.25">
      <c r="V290">
        <v>289</v>
      </c>
      <c r="W290" cm="1">
        <f t="array" ref="W290">SUM(TablaSupervisores[DISPOSITIVOS TOTAL]*INDEX(TablaSeleccionSupervisores[],ROW(TablaSeleccionSupervisores[[#This Row],[ORDEN]])-1,_xlfn.XMATCH(TablaSupervisores[REFERENCIA],TablaSeleccionSupervisores[#Headers])))</f>
        <v>2408</v>
      </c>
      <c r="X290" cm="1">
        <f t="array" ref="X290">SUM(TablaSupervisores[DISPOSITIVOS BACNET MS/TP JC]*INDEX(TablaSeleccionSupervisores[],ROW(TablaSeleccionSupervisores[[#This Row],[ORDEN]])-1,_xlfn.XMATCH(TablaSupervisores[REFERENCIA],TablaSeleccionSupervisores[#Headers])))</f>
        <v>808</v>
      </c>
      <c r="Y290" cm="1">
        <f t="array" ref="Y290">SUM(TablaSupervisores[DISPOSITIVOS BACNET MS/TP COMPATIBLES]*INDEX(TablaSeleccionSupervisores[],ROW(TablaSeleccionSupervisores[[#This Row],[ORDEN]])-1,_xlfn.XMATCH(TablaSupervisores[REFERENCIA],TablaSeleccionSupervisores[#Headers])))</f>
        <v>520</v>
      </c>
      <c r="Z290" cm="1">
        <f t="array" ref="Z290">SUM(TablaSupervisores[DISPOSITIVOS BACNET IP]*INDEX(TablaSeleccionSupervisores[],ROW(TablaSeleccionSupervisores[[#This Row],[ORDEN]])-1,_xlfn.XMATCH(TablaSupervisores[REFERENCIA],TablaSeleccionSupervisores[#Headers])))</f>
        <v>1620</v>
      </c>
      <c r="AA290" cm="1">
        <f t="array" ref="AA290">SUM(TablaSupervisores[OBJETOS]*INDEX(TablaSeleccionSupervisores[],ROW(TablaSeleccionSupervisores[[#This Row],[ORDEN]])-1,_xlfn.XMATCH(TablaSupervisores[REFERENCIA],TablaSeleccionSupervisores[#Headers])))</f>
        <v>25000</v>
      </c>
      <c r="AB290" s="28" cm="1">
        <f t="array" ref="AB290">SUM(TablaSupervisores[COSTE]*INDEX(TablaSeleccionSupervisores[],ROW(TablaSeleccionSupervisores[[#This Row],[ORDEN]])-1,_xlfn.XMATCH(TablaSupervisores[REFERENCIA],TablaSeleccionSupervisores[#Headers])))</f>
        <v>24163.22</v>
      </c>
      <c r="AC290" cm="1">
        <f t="array" ref="AC290">SUM(INDEX(TablaSeleccionSupervisores[],ROW(TablaSeleccionSupervisores[[#This Row],[ORDEN]])-1,_xlfn.XMATCH(TablaSupervisores[REFERENCIA],TablaSeleccionSupervisores[#Headers])))</f>
        <v>6</v>
      </c>
      <c r="AD290" t="str" cm="1">
        <f t="array" ref="AD290">IF(INDEX(TablaSeleccionSupervisores[],ROW(TablaSeleccionSupervisores[[#This Row],[ORDEN]])-1,_xlfn.XMATCH("ADMITIDO ADSLITE",TablaSeleccionSupervisores[#Headers])+1)=0,"Sí admitido","No admitido")</f>
        <v>No admitido</v>
      </c>
      <c r="AE290">
        <v>4</v>
      </c>
      <c r="AF290">
        <v>0</v>
      </c>
      <c r="AG290">
        <v>0</v>
      </c>
      <c r="AH290">
        <v>2</v>
      </c>
    </row>
    <row r="291" spans="22:34" x14ac:dyDescent="0.25">
      <c r="V291">
        <v>290</v>
      </c>
      <c r="W291" cm="1">
        <f t="array" ref="W291">SUM(TablaSupervisores[DISPOSITIVOS TOTAL]*INDEX(TablaSeleccionSupervisores[],ROW(TablaSeleccionSupervisores[[#This Row],[ORDEN]])-1,_xlfn.XMATCH(TablaSupervisores[REFERENCIA],TablaSeleccionSupervisores[#Headers])))</f>
        <v>3008</v>
      </c>
      <c r="X291" cm="1">
        <f t="array" ref="X291">SUM(TablaSupervisores[DISPOSITIVOS BACNET MS/TP JC]*INDEX(TablaSeleccionSupervisores[],ROW(TablaSeleccionSupervisores[[#This Row],[ORDEN]])-1,_xlfn.XMATCH(TablaSupervisores[REFERENCIA],TablaSeleccionSupervisores[#Headers])))</f>
        <v>1008</v>
      </c>
      <c r="Y291" cm="1">
        <f t="array" ref="Y291">SUM(TablaSupervisores[DISPOSITIVOS BACNET MS/TP COMPATIBLES]*INDEX(TablaSeleccionSupervisores[],ROW(TablaSeleccionSupervisores[[#This Row],[ORDEN]])-1,_xlfn.XMATCH(TablaSupervisores[REFERENCIA],TablaSeleccionSupervisores[#Headers])))</f>
        <v>648</v>
      </c>
      <c r="Z291" cm="1">
        <f t="array" ref="Z291">SUM(TablaSupervisores[DISPOSITIVOS BACNET IP]*INDEX(TablaSeleccionSupervisores[],ROW(TablaSeleccionSupervisores[[#This Row],[ORDEN]])-1,_xlfn.XMATCH(TablaSupervisores[REFERENCIA],TablaSeleccionSupervisores[#Headers])))</f>
        <v>2020</v>
      </c>
      <c r="AA291" cm="1">
        <f t="array" ref="AA291">SUM(TablaSupervisores[OBJETOS]*INDEX(TablaSeleccionSupervisores[],ROW(TablaSeleccionSupervisores[[#This Row],[ORDEN]])-1,_xlfn.XMATCH(TablaSupervisores[REFERENCIA],TablaSeleccionSupervisores[#Headers])))</f>
        <v>30000</v>
      </c>
      <c r="AB291" s="28" cm="1">
        <f t="array" ref="AB291">SUM(TablaSupervisores[COSTE]*INDEX(TablaSeleccionSupervisores[],ROW(TablaSeleccionSupervisores[[#This Row],[ORDEN]])-1,_xlfn.XMATCH(TablaSupervisores[REFERENCIA],TablaSeleccionSupervisores[#Headers])))</f>
        <v>29829.850000000002</v>
      </c>
      <c r="AC291" cm="1">
        <f t="array" ref="AC291">SUM(INDEX(TablaSeleccionSupervisores[],ROW(TablaSeleccionSupervisores[[#This Row],[ORDEN]])-1,_xlfn.XMATCH(TablaSupervisores[REFERENCIA],TablaSeleccionSupervisores[#Headers])))</f>
        <v>7</v>
      </c>
      <c r="AD291" t="str" cm="1">
        <f t="array" ref="AD291">IF(INDEX(TablaSeleccionSupervisores[],ROW(TablaSeleccionSupervisores[[#This Row],[ORDEN]])-1,_xlfn.XMATCH("ADMITIDO ADSLITE",TablaSeleccionSupervisores[#Headers])+1)=0,"Sí admitido","No admitido")</f>
        <v>No admitido</v>
      </c>
      <c r="AE291">
        <v>5</v>
      </c>
      <c r="AF291">
        <v>0</v>
      </c>
      <c r="AG291">
        <v>0</v>
      </c>
      <c r="AH291">
        <v>2</v>
      </c>
    </row>
    <row r="292" spans="22:34" x14ac:dyDescent="0.25">
      <c r="V292">
        <v>291</v>
      </c>
      <c r="W292" cm="1">
        <f t="array" ref="W292">SUM(TablaSupervisores[DISPOSITIVOS TOTAL]*INDEX(TablaSeleccionSupervisores[],ROW(TablaSeleccionSupervisores[[#This Row],[ORDEN]])-1,_xlfn.XMATCH(TablaSupervisores[REFERENCIA],TablaSeleccionSupervisores[#Headers])))</f>
        <v>3608</v>
      </c>
      <c r="X292" cm="1">
        <f t="array" ref="X292">SUM(TablaSupervisores[DISPOSITIVOS BACNET MS/TP JC]*INDEX(TablaSeleccionSupervisores[],ROW(TablaSeleccionSupervisores[[#This Row],[ORDEN]])-1,_xlfn.XMATCH(TablaSupervisores[REFERENCIA],TablaSeleccionSupervisores[#Headers])))</f>
        <v>1208</v>
      </c>
      <c r="Y292" cm="1">
        <f t="array" ref="Y292">SUM(TablaSupervisores[DISPOSITIVOS BACNET MS/TP COMPATIBLES]*INDEX(TablaSeleccionSupervisores[],ROW(TablaSeleccionSupervisores[[#This Row],[ORDEN]])-1,_xlfn.XMATCH(TablaSupervisores[REFERENCIA],TablaSeleccionSupervisores[#Headers])))</f>
        <v>776</v>
      </c>
      <c r="Z292" cm="1">
        <f t="array" ref="Z292">SUM(TablaSupervisores[DISPOSITIVOS BACNET IP]*INDEX(TablaSeleccionSupervisores[],ROW(TablaSeleccionSupervisores[[#This Row],[ORDEN]])-1,_xlfn.XMATCH(TablaSupervisores[REFERENCIA],TablaSeleccionSupervisores[#Headers])))</f>
        <v>2420</v>
      </c>
      <c r="AA292" cm="1">
        <f t="array" ref="AA292">SUM(TablaSupervisores[OBJETOS]*INDEX(TablaSeleccionSupervisores[],ROW(TablaSeleccionSupervisores[[#This Row],[ORDEN]])-1,_xlfn.XMATCH(TablaSupervisores[REFERENCIA],TablaSeleccionSupervisores[#Headers])))</f>
        <v>35000</v>
      </c>
      <c r="AB292" s="28" cm="1">
        <f t="array" ref="AB292">SUM(TablaSupervisores[COSTE]*INDEX(TablaSeleccionSupervisores[],ROW(TablaSeleccionSupervisores[[#This Row],[ORDEN]])-1,_xlfn.XMATCH(TablaSupervisores[REFERENCIA],TablaSeleccionSupervisores[#Headers])))</f>
        <v>35496.479999999996</v>
      </c>
      <c r="AC292" cm="1">
        <f t="array" ref="AC292">SUM(INDEX(TablaSeleccionSupervisores[],ROW(TablaSeleccionSupervisores[[#This Row],[ORDEN]])-1,_xlfn.XMATCH(TablaSupervisores[REFERENCIA],TablaSeleccionSupervisores[#Headers])))</f>
        <v>8</v>
      </c>
      <c r="AD292" t="str" cm="1">
        <f t="array" ref="AD292">IF(INDEX(TablaSeleccionSupervisores[],ROW(TablaSeleccionSupervisores[[#This Row],[ORDEN]])-1,_xlfn.XMATCH("ADMITIDO ADSLITE",TablaSeleccionSupervisores[#Headers])+1)=0,"Sí admitido","No admitido")</f>
        <v>No admitido</v>
      </c>
      <c r="AE292">
        <v>6</v>
      </c>
      <c r="AF292">
        <v>0</v>
      </c>
      <c r="AG292">
        <v>0</v>
      </c>
      <c r="AH292">
        <v>2</v>
      </c>
    </row>
    <row r="293" spans="22:34" x14ac:dyDescent="0.25">
      <c r="V293">
        <v>292</v>
      </c>
      <c r="W293" cm="1">
        <f t="array" ref="W293">SUM(TablaSupervisores[DISPOSITIVOS TOTAL]*INDEX(TablaSeleccionSupervisores[],ROW(TablaSeleccionSupervisores[[#This Row],[ORDEN]])-1,_xlfn.XMATCH(TablaSupervisores[REFERENCIA],TablaSeleccionSupervisores[#Headers])))</f>
        <v>158</v>
      </c>
      <c r="X293" cm="1">
        <f t="array" ref="X293">SUM(TablaSupervisores[DISPOSITIVOS BACNET MS/TP JC]*INDEX(TablaSeleccionSupervisores[],ROW(TablaSeleccionSupervisores[[#This Row],[ORDEN]])-1,_xlfn.XMATCH(TablaSupervisores[REFERENCIA],TablaSeleccionSupervisores[#Headers])))</f>
        <v>108</v>
      </c>
      <c r="Y293" cm="1">
        <f t="array" ref="Y293">SUM(TablaSupervisores[DISPOSITIVOS BACNET MS/TP COMPATIBLES]*INDEX(TablaSeleccionSupervisores[],ROW(TablaSeleccionSupervisores[[#This Row],[ORDEN]])-1,_xlfn.XMATCH(TablaSupervisores[REFERENCIA],TablaSeleccionSupervisores[#Headers])))</f>
        <v>72</v>
      </c>
      <c r="Z293" cm="1">
        <f t="array" ref="Z293">SUM(TablaSupervisores[DISPOSITIVOS BACNET IP]*INDEX(TablaSeleccionSupervisores[],ROW(TablaSeleccionSupervisores[[#This Row],[ORDEN]])-1,_xlfn.XMATCH(TablaSupervisores[REFERENCIA],TablaSeleccionSupervisores[#Headers])))</f>
        <v>220</v>
      </c>
      <c r="AA293" cm="1">
        <f t="array" ref="AA293">SUM(TablaSupervisores[OBJETOS]*INDEX(TablaSeleccionSupervisores[],ROW(TablaSeleccionSupervisores[[#This Row],[ORDEN]])-1,_xlfn.XMATCH(TablaSupervisores[REFERENCIA],TablaSeleccionSupervisores[#Headers])))</f>
        <v>7500</v>
      </c>
      <c r="AB293" s="28" cm="1">
        <f t="array" ref="AB293">SUM(TablaSupervisores[COSTE]*INDEX(TablaSeleccionSupervisores[],ROW(TablaSeleccionSupervisores[[#This Row],[ORDEN]])-1,_xlfn.XMATCH(TablaSupervisores[REFERENCIA],TablaSeleccionSupervisores[#Headers])))</f>
        <v>5485.43</v>
      </c>
      <c r="AC293" cm="1">
        <f t="array" ref="AC293">SUM(INDEX(TablaSeleccionSupervisores[],ROW(TablaSeleccionSupervisores[[#This Row],[ORDEN]])-1,_xlfn.XMATCH(TablaSupervisores[REFERENCIA],TablaSeleccionSupervisores[#Headers])))</f>
        <v>3</v>
      </c>
      <c r="AD293" t="str" cm="1">
        <f t="array" ref="AD293">IF(INDEX(TablaSeleccionSupervisores[],ROW(TablaSeleccionSupervisores[[#This Row],[ORDEN]])-1,_xlfn.XMATCH("ADMITIDO ADSLITE",TablaSeleccionSupervisores[#Headers])+1)=0,"Sí admitido","No admitido")</f>
        <v>Sí admitido</v>
      </c>
      <c r="AE293">
        <v>0</v>
      </c>
      <c r="AF293">
        <v>1</v>
      </c>
      <c r="AG293">
        <v>0</v>
      </c>
      <c r="AH293">
        <v>2</v>
      </c>
    </row>
    <row r="294" spans="22:34" x14ac:dyDescent="0.25">
      <c r="V294">
        <v>293</v>
      </c>
      <c r="W294" cm="1">
        <f t="array" ref="W294">SUM(TablaSupervisores[DISPOSITIVOS TOTAL]*INDEX(TablaSeleccionSupervisores[],ROW(TablaSeleccionSupervisores[[#This Row],[ORDEN]])-1,_xlfn.XMATCH(TablaSupervisores[REFERENCIA],TablaSeleccionSupervisores[#Headers])))</f>
        <v>758</v>
      </c>
      <c r="X294" cm="1">
        <f t="array" ref="X294">SUM(TablaSupervisores[DISPOSITIVOS BACNET MS/TP JC]*INDEX(TablaSeleccionSupervisores[],ROW(TablaSeleccionSupervisores[[#This Row],[ORDEN]])-1,_xlfn.XMATCH(TablaSupervisores[REFERENCIA],TablaSeleccionSupervisores[#Headers])))</f>
        <v>308</v>
      </c>
      <c r="Y294" cm="1">
        <f t="array" ref="Y294">SUM(TablaSupervisores[DISPOSITIVOS BACNET MS/TP COMPATIBLES]*INDEX(TablaSeleccionSupervisores[],ROW(TablaSeleccionSupervisores[[#This Row],[ORDEN]])-1,_xlfn.XMATCH(TablaSupervisores[REFERENCIA],TablaSeleccionSupervisores[#Headers])))</f>
        <v>200</v>
      </c>
      <c r="Z294" cm="1">
        <f t="array" ref="Z294">SUM(TablaSupervisores[DISPOSITIVOS BACNET IP]*INDEX(TablaSeleccionSupervisores[],ROW(TablaSeleccionSupervisores[[#This Row],[ORDEN]])-1,_xlfn.XMATCH(TablaSupervisores[REFERENCIA],TablaSeleccionSupervisores[#Headers])))</f>
        <v>620</v>
      </c>
      <c r="AA294" cm="1">
        <f t="array" ref="AA294">SUM(TablaSupervisores[OBJETOS]*INDEX(TablaSeleccionSupervisores[],ROW(TablaSeleccionSupervisores[[#This Row],[ORDEN]])-1,_xlfn.XMATCH(TablaSupervisores[REFERENCIA],TablaSeleccionSupervisores[#Headers])))</f>
        <v>12500</v>
      </c>
      <c r="AB294" s="28" cm="1">
        <f t="array" ref="AB294">SUM(TablaSupervisores[COSTE]*INDEX(TablaSeleccionSupervisores[],ROW(TablaSeleccionSupervisores[[#This Row],[ORDEN]])-1,_xlfn.XMATCH(TablaSupervisores[REFERENCIA],TablaSeleccionSupervisores[#Headers])))</f>
        <v>11152.060000000001</v>
      </c>
      <c r="AC294" cm="1">
        <f t="array" ref="AC294">SUM(INDEX(TablaSeleccionSupervisores[],ROW(TablaSeleccionSupervisores[[#This Row],[ORDEN]])-1,_xlfn.XMATCH(TablaSupervisores[REFERENCIA],TablaSeleccionSupervisores[#Headers])))</f>
        <v>4</v>
      </c>
      <c r="AD294" t="str" cm="1">
        <f t="array" ref="AD294">IF(INDEX(TablaSeleccionSupervisores[],ROW(TablaSeleccionSupervisores[[#This Row],[ORDEN]])-1,_xlfn.XMATCH("ADMITIDO ADSLITE",TablaSeleccionSupervisores[#Headers])+1)=0,"Sí admitido","No admitido")</f>
        <v>No admitido</v>
      </c>
      <c r="AE294">
        <v>1</v>
      </c>
      <c r="AF294">
        <v>1</v>
      </c>
      <c r="AG294">
        <v>0</v>
      </c>
      <c r="AH294">
        <v>2</v>
      </c>
    </row>
    <row r="295" spans="22:34" x14ac:dyDescent="0.25">
      <c r="V295">
        <v>294</v>
      </c>
      <c r="W295" cm="1">
        <f t="array" ref="W295">SUM(TablaSupervisores[DISPOSITIVOS TOTAL]*INDEX(TablaSeleccionSupervisores[],ROW(TablaSeleccionSupervisores[[#This Row],[ORDEN]])-1,_xlfn.XMATCH(TablaSupervisores[REFERENCIA],TablaSeleccionSupervisores[#Headers])))</f>
        <v>1358</v>
      </c>
      <c r="X295" cm="1">
        <f t="array" ref="X295">SUM(TablaSupervisores[DISPOSITIVOS BACNET MS/TP JC]*INDEX(TablaSeleccionSupervisores[],ROW(TablaSeleccionSupervisores[[#This Row],[ORDEN]])-1,_xlfn.XMATCH(TablaSupervisores[REFERENCIA],TablaSeleccionSupervisores[#Headers])))</f>
        <v>508</v>
      </c>
      <c r="Y295" cm="1">
        <f t="array" ref="Y295">SUM(TablaSupervisores[DISPOSITIVOS BACNET MS/TP COMPATIBLES]*INDEX(TablaSeleccionSupervisores[],ROW(TablaSeleccionSupervisores[[#This Row],[ORDEN]])-1,_xlfn.XMATCH(TablaSupervisores[REFERENCIA],TablaSeleccionSupervisores[#Headers])))</f>
        <v>328</v>
      </c>
      <c r="Z295" cm="1">
        <f t="array" ref="Z295">SUM(TablaSupervisores[DISPOSITIVOS BACNET IP]*INDEX(TablaSeleccionSupervisores[],ROW(TablaSeleccionSupervisores[[#This Row],[ORDEN]])-1,_xlfn.XMATCH(TablaSupervisores[REFERENCIA],TablaSeleccionSupervisores[#Headers])))</f>
        <v>1020</v>
      </c>
      <c r="AA295" cm="1">
        <f t="array" ref="AA295">SUM(TablaSupervisores[OBJETOS]*INDEX(TablaSeleccionSupervisores[],ROW(TablaSeleccionSupervisores[[#This Row],[ORDEN]])-1,_xlfn.XMATCH(TablaSupervisores[REFERENCIA],TablaSeleccionSupervisores[#Headers])))</f>
        <v>17500</v>
      </c>
      <c r="AB295" s="28" cm="1">
        <f t="array" ref="AB295">SUM(TablaSupervisores[COSTE]*INDEX(TablaSeleccionSupervisores[],ROW(TablaSeleccionSupervisores[[#This Row],[ORDEN]])-1,_xlfn.XMATCH(TablaSupervisores[REFERENCIA],TablaSeleccionSupervisores[#Headers])))</f>
        <v>16818.689999999999</v>
      </c>
      <c r="AC295" cm="1">
        <f t="array" ref="AC295">SUM(INDEX(TablaSeleccionSupervisores[],ROW(TablaSeleccionSupervisores[[#This Row],[ORDEN]])-1,_xlfn.XMATCH(TablaSupervisores[REFERENCIA],TablaSeleccionSupervisores[#Headers])))</f>
        <v>5</v>
      </c>
      <c r="AD295" t="str" cm="1">
        <f t="array" ref="AD295">IF(INDEX(TablaSeleccionSupervisores[],ROW(TablaSeleccionSupervisores[[#This Row],[ORDEN]])-1,_xlfn.XMATCH("ADMITIDO ADSLITE",TablaSeleccionSupervisores[#Headers])+1)=0,"Sí admitido","No admitido")</f>
        <v>No admitido</v>
      </c>
      <c r="AE295">
        <v>2</v>
      </c>
      <c r="AF295">
        <v>1</v>
      </c>
      <c r="AG295">
        <v>0</v>
      </c>
      <c r="AH295">
        <v>2</v>
      </c>
    </row>
    <row r="296" spans="22:34" x14ac:dyDescent="0.25">
      <c r="V296">
        <v>295</v>
      </c>
      <c r="W296" cm="1">
        <f t="array" ref="W296">SUM(TablaSupervisores[DISPOSITIVOS TOTAL]*INDEX(TablaSeleccionSupervisores[],ROW(TablaSeleccionSupervisores[[#This Row],[ORDEN]])-1,_xlfn.XMATCH(TablaSupervisores[REFERENCIA],TablaSeleccionSupervisores[#Headers])))</f>
        <v>1958</v>
      </c>
      <c r="X296" cm="1">
        <f t="array" ref="X296">SUM(TablaSupervisores[DISPOSITIVOS BACNET MS/TP JC]*INDEX(TablaSeleccionSupervisores[],ROW(TablaSeleccionSupervisores[[#This Row],[ORDEN]])-1,_xlfn.XMATCH(TablaSupervisores[REFERENCIA],TablaSeleccionSupervisores[#Headers])))</f>
        <v>708</v>
      </c>
      <c r="Y296" cm="1">
        <f t="array" ref="Y296">SUM(TablaSupervisores[DISPOSITIVOS BACNET MS/TP COMPATIBLES]*INDEX(TablaSeleccionSupervisores[],ROW(TablaSeleccionSupervisores[[#This Row],[ORDEN]])-1,_xlfn.XMATCH(TablaSupervisores[REFERENCIA],TablaSeleccionSupervisores[#Headers])))</f>
        <v>456</v>
      </c>
      <c r="Z296" cm="1">
        <f t="array" ref="Z296">SUM(TablaSupervisores[DISPOSITIVOS BACNET IP]*INDEX(TablaSeleccionSupervisores[],ROW(TablaSeleccionSupervisores[[#This Row],[ORDEN]])-1,_xlfn.XMATCH(TablaSupervisores[REFERENCIA],TablaSeleccionSupervisores[#Headers])))</f>
        <v>1420</v>
      </c>
      <c r="AA296" cm="1">
        <f t="array" ref="AA296">SUM(TablaSupervisores[OBJETOS]*INDEX(TablaSeleccionSupervisores[],ROW(TablaSeleccionSupervisores[[#This Row],[ORDEN]])-1,_xlfn.XMATCH(TablaSupervisores[REFERENCIA],TablaSeleccionSupervisores[#Headers])))</f>
        <v>22500</v>
      </c>
      <c r="AB296" s="28" cm="1">
        <f t="array" ref="AB296">SUM(TablaSupervisores[COSTE]*INDEX(TablaSeleccionSupervisores[],ROW(TablaSeleccionSupervisores[[#This Row],[ORDEN]])-1,_xlfn.XMATCH(TablaSupervisores[REFERENCIA],TablaSeleccionSupervisores[#Headers])))</f>
        <v>22485.32</v>
      </c>
      <c r="AC296" cm="1">
        <f t="array" ref="AC296">SUM(INDEX(TablaSeleccionSupervisores[],ROW(TablaSeleccionSupervisores[[#This Row],[ORDEN]])-1,_xlfn.XMATCH(TablaSupervisores[REFERENCIA],TablaSeleccionSupervisores[#Headers])))</f>
        <v>6</v>
      </c>
      <c r="AD296" t="str" cm="1">
        <f t="array" ref="AD296">IF(INDEX(TablaSeleccionSupervisores[],ROW(TablaSeleccionSupervisores[[#This Row],[ORDEN]])-1,_xlfn.XMATCH("ADMITIDO ADSLITE",TablaSeleccionSupervisores[#Headers])+1)=0,"Sí admitido","No admitido")</f>
        <v>No admitido</v>
      </c>
      <c r="AE296">
        <v>3</v>
      </c>
      <c r="AF296">
        <v>1</v>
      </c>
      <c r="AG296">
        <v>0</v>
      </c>
      <c r="AH296">
        <v>2</v>
      </c>
    </row>
    <row r="297" spans="22:34" x14ac:dyDescent="0.25">
      <c r="V297">
        <v>296</v>
      </c>
      <c r="W297" cm="1">
        <f t="array" ref="W297">SUM(TablaSupervisores[DISPOSITIVOS TOTAL]*INDEX(TablaSeleccionSupervisores[],ROW(TablaSeleccionSupervisores[[#This Row],[ORDEN]])-1,_xlfn.XMATCH(TablaSupervisores[REFERENCIA],TablaSeleccionSupervisores[#Headers])))</f>
        <v>2558</v>
      </c>
      <c r="X297" cm="1">
        <f t="array" ref="X297">SUM(TablaSupervisores[DISPOSITIVOS BACNET MS/TP JC]*INDEX(TablaSeleccionSupervisores[],ROW(TablaSeleccionSupervisores[[#This Row],[ORDEN]])-1,_xlfn.XMATCH(TablaSupervisores[REFERENCIA],TablaSeleccionSupervisores[#Headers])))</f>
        <v>908</v>
      </c>
      <c r="Y297" cm="1">
        <f t="array" ref="Y297">SUM(TablaSupervisores[DISPOSITIVOS BACNET MS/TP COMPATIBLES]*INDEX(TablaSeleccionSupervisores[],ROW(TablaSeleccionSupervisores[[#This Row],[ORDEN]])-1,_xlfn.XMATCH(TablaSupervisores[REFERENCIA],TablaSeleccionSupervisores[#Headers])))</f>
        <v>584</v>
      </c>
      <c r="Z297" cm="1">
        <f t="array" ref="Z297">SUM(TablaSupervisores[DISPOSITIVOS BACNET IP]*INDEX(TablaSeleccionSupervisores[],ROW(TablaSeleccionSupervisores[[#This Row],[ORDEN]])-1,_xlfn.XMATCH(TablaSupervisores[REFERENCIA],TablaSeleccionSupervisores[#Headers])))</f>
        <v>1820</v>
      </c>
      <c r="AA297" cm="1">
        <f t="array" ref="AA297">SUM(TablaSupervisores[OBJETOS]*INDEX(TablaSeleccionSupervisores[],ROW(TablaSeleccionSupervisores[[#This Row],[ORDEN]])-1,_xlfn.XMATCH(TablaSupervisores[REFERENCIA],TablaSeleccionSupervisores[#Headers])))</f>
        <v>27500</v>
      </c>
      <c r="AB297" s="28" cm="1">
        <f t="array" ref="AB297">SUM(TablaSupervisores[COSTE]*INDEX(TablaSeleccionSupervisores[],ROW(TablaSeleccionSupervisores[[#This Row],[ORDEN]])-1,_xlfn.XMATCH(TablaSupervisores[REFERENCIA],TablaSeleccionSupervisores[#Headers])))</f>
        <v>28151.95</v>
      </c>
      <c r="AC297" cm="1">
        <f t="array" ref="AC297">SUM(INDEX(TablaSeleccionSupervisores[],ROW(TablaSeleccionSupervisores[[#This Row],[ORDEN]])-1,_xlfn.XMATCH(TablaSupervisores[REFERENCIA],TablaSeleccionSupervisores[#Headers])))</f>
        <v>7</v>
      </c>
      <c r="AD297" t="str" cm="1">
        <f t="array" ref="AD297">IF(INDEX(TablaSeleccionSupervisores[],ROW(TablaSeleccionSupervisores[[#This Row],[ORDEN]])-1,_xlfn.XMATCH("ADMITIDO ADSLITE",TablaSeleccionSupervisores[#Headers])+1)=0,"Sí admitido","No admitido")</f>
        <v>No admitido</v>
      </c>
      <c r="AE297">
        <v>4</v>
      </c>
      <c r="AF297">
        <v>1</v>
      </c>
      <c r="AG297">
        <v>0</v>
      </c>
      <c r="AH297">
        <v>2</v>
      </c>
    </row>
    <row r="298" spans="22:34" x14ac:dyDescent="0.25">
      <c r="V298">
        <v>297</v>
      </c>
      <c r="W298" cm="1">
        <f t="array" ref="W298">SUM(TablaSupervisores[DISPOSITIVOS TOTAL]*INDEX(TablaSeleccionSupervisores[],ROW(TablaSeleccionSupervisores[[#This Row],[ORDEN]])-1,_xlfn.XMATCH(TablaSupervisores[REFERENCIA],TablaSeleccionSupervisores[#Headers])))</f>
        <v>3158</v>
      </c>
      <c r="X298" cm="1">
        <f t="array" ref="X298">SUM(TablaSupervisores[DISPOSITIVOS BACNET MS/TP JC]*INDEX(TablaSeleccionSupervisores[],ROW(TablaSeleccionSupervisores[[#This Row],[ORDEN]])-1,_xlfn.XMATCH(TablaSupervisores[REFERENCIA],TablaSeleccionSupervisores[#Headers])))</f>
        <v>1108</v>
      </c>
      <c r="Y298" cm="1">
        <f t="array" ref="Y298">SUM(TablaSupervisores[DISPOSITIVOS BACNET MS/TP COMPATIBLES]*INDEX(TablaSeleccionSupervisores[],ROW(TablaSeleccionSupervisores[[#This Row],[ORDEN]])-1,_xlfn.XMATCH(TablaSupervisores[REFERENCIA],TablaSeleccionSupervisores[#Headers])))</f>
        <v>712</v>
      </c>
      <c r="Z298" cm="1">
        <f t="array" ref="Z298">SUM(TablaSupervisores[DISPOSITIVOS BACNET IP]*INDEX(TablaSeleccionSupervisores[],ROW(TablaSeleccionSupervisores[[#This Row],[ORDEN]])-1,_xlfn.XMATCH(TablaSupervisores[REFERENCIA],TablaSeleccionSupervisores[#Headers])))</f>
        <v>2220</v>
      </c>
      <c r="AA298" cm="1">
        <f t="array" ref="AA298">SUM(TablaSupervisores[OBJETOS]*INDEX(TablaSeleccionSupervisores[],ROW(TablaSeleccionSupervisores[[#This Row],[ORDEN]])-1,_xlfn.XMATCH(TablaSupervisores[REFERENCIA],TablaSeleccionSupervisores[#Headers])))</f>
        <v>32500</v>
      </c>
      <c r="AB298" s="28" cm="1">
        <f t="array" ref="AB298">SUM(TablaSupervisores[COSTE]*INDEX(TablaSeleccionSupervisores[],ROW(TablaSeleccionSupervisores[[#This Row],[ORDEN]])-1,_xlfn.XMATCH(TablaSupervisores[REFERENCIA],TablaSeleccionSupervisores[#Headers])))</f>
        <v>33818.58</v>
      </c>
      <c r="AC298" cm="1">
        <f t="array" ref="AC298">SUM(INDEX(TablaSeleccionSupervisores[],ROW(TablaSeleccionSupervisores[[#This Row],[ORDEN]])-1,_xlfn.XMATCH(TablaSupervisores[REFERENCIA],TablaSeleccionSupervisores[#Headers])))</f>
        <v>8</v>
      </c>
      <c r="AD298" t="str" cm="1">
        <f t="array" ref="AD298">IF(INDEX(TablaSeleccionSupervisores[],ROW(TablaSeleccionSupervisores[[#This Row],[ORDEN]])-1,_xlfn.XMATCH("ADMITIDO ADSLITE",TablaSeleccionSupervisores[#Headers])+1)=0,"Sí admitido","No admitido")</f>
        <v>No admitido</v>
      </c>
      <c r="AE298">
        <v>5</v>
      </c>
      <c r="AF298">
        <v>1</v>
      </c>
      <c r="AG298">
        <v>0</v>
      </c>
      <c r="AH298">
        <v>2</v>
      </c>
    </row>
    <row r="299" spans="22:34" x14ac:dyDescent="0.25">
      <c r="V299">
        <v>298</v>
      </c>
      <c r="W299" cm="1">
        <f t="array" ref="W299">SUM(TablaSupervisores[DISPOSITIVOS TOTAL]*INDEX(TablaSeleccionSupervisores[],ROW(TablaSeleccionSupervisores[[#This Row],[ORDEN]])-1,_xlfn.XMATCH(TablaSupervisores[REFERENCIA],TablaSeleccionSupervisores[#Headers])))</f>
        <v>308</v>
      </c>
      <c r="X299" cm="1">
        <f t="array" ref="X299">SUM(TablaSupervisores[DISPOSITIVOS BACNET MS/TP JC]*INDEX(TablaSeleccionSupervisores[],ROW(TablaSeleccionSupervisores[[#This Row],[ORDEN]])-1,_xlfn.XMATCH(TablaSupervisores[REFERENCIA],TablaSeleccionSupervisores[#Headers])))</f>
        <v>208</v>
      </c>
      <c r="Y299" cm="1">
        <f t="array" ref="Y299">SUM(TablaSupervisores[DISPOSITIVOS BACNET MS/TP COMPATIBLES]*INDEX(TablaSeleccionSupervisores[],ROW(TablaSeleccionSupervisores[[#This Row],[ORDEN]])-1,_xlfn.XMATCH(TablaSupervisores[REFERENCIA],TablaSeleccionSupervisores[#Headers])))</f>
        <v>136</v>
      </c>
      <c r="Z299" cm="1">
        <f t="array" ref="Z299">SUM(TablaSupervisores[DISPOSITIVOS BACNET IP]*INDEX(TablaSeleccionSupervisores[],ROW(TablaSeleccionSupervisores[[#This Row],[ORDEN]])-1,_xlfn.XMATCH(TablaSupervisores[REFERENCIA],TablaSeleccionSupervisores[#Headers])))</f>
        <v>420</v>
      </c>
      <c r="AA299" cm="1">
        <f t="array" ref="AA299">SUM(TablaSupervisores[OBJETOS]*INDEX(TablaSeleccionSupervisores[],ROW(TablaSeleccionSupervisores[[#This Row],[ORDEN]])-1,_xlfn.XMATCH(TablaSupervisores[REFERENCIA],TablaSeleccionSupervisores[#Headers])))</f>
        <v>10000</v>
      </c>
      <c r="AB299" s="28" cm="1">
        <f t="array" ref="AB299">SUM(TablaSupervisores[COSTE]*INDEX(TablaSeleccionSupervisores[],ROW(TablaSeleccionSupervisores[[#This Row],[ORDEN]])-1,_xlfn.XMATCH(TablaSupervisores[REFERENCIA],TablaSeleccionSupervisores[#Headers])))</f>
        <v>9474.16</v>
      </c>
      <c r="AC299" cm="1">
        <f t="array" ref="AC299">SUM(INDEX(TablaSeleccionSupervisores[],ROW(TablaSeleccionSupervisores[[#This Row],[ORDEN]])-1,_xlfn.XMATCH(TablaSupervisores[REFERENCIA],TablaSeleccionSupervisores[#Headers])))</f>
        <v>4</v>
      </c>
      <c r="AD299" t="str" cm="1">
        <f t="array" ref="AD299">IF(INDEX(TablaSeleccionSupervisores[],ROW(TablaSeleccionSupervisores[[#This Row],[ORDEN]])-1,_xlfn.XMATCH("ADMITIDO ADSLITE",TablaSeleccionSupervisores[#Headers])+1)=0,"Sí admitido","No admitido")</f>
        <v>Sí admitido</v>
      </c>
      <c r="AE299">
        <v>0</v>
      </c>
      <c r="AF299">
        <v>2</v>
      </c>
      <c r="AG299">
        <v>0</v>
      </c>
      <c r="AH299">
        <v>2</v>
      </c>
    </row>
    <row r="300" spans="22:34" x14ac:dyDescent="0.25">
      <c r="V300">
        <v>299</v>
      </c>
      <c r="W300" cm="1">
        <f t="array" ref="W300">SUM(TablaSupervisores[DISPOSITIVOS TOTAL]*INDEX(TablaSeleccionSupervisores[],ROW(TablaSeleccionSupervisores[[#This Row],[ORDEN]])-1,_xlfn.XMATCH(TablaSupervisores[REFERENCIA],TablaSeleccionSupervisores[#Headers])))</f>
        <v>908</v>
      </c>
      <c r="X300" cm="1">
        <f t="array" ref="X300">SUM(TablaSupervisores[DISPOSITIVOS BACNET MS/TP JC]*INDEX(TablaSeleccionSupervisores[],ROW(TablaSeleccionSupervisores[[#This Row],[ORDEN]])-1,_xlfn.XMATCH(TablaSupervisores[REFERENCIA],TablaSeleccionSupervisores[#Headers])))</f>
        <v>408</v>
      </c>
      <c r="Y300" cm="1">
        <f t="array" ref="Y300">SUM(TablaSupervisores[DISPOSITIVOS BACNET MS/TP COMPATIBLES]*INDEX(TablaSeleccionSupervisores[],ROW(TablaSeleccionSupervisores[[#This Row],[ORDEN]])-1,_xlfn.XMATCH(TablaSupervisores[REFERENCIA],TablaSeleccionSupervisores[#Headers])))</f>
        <v>264</v>
      </c>
      <c r="Z300" cm="1">
        <f t="array" ref="Z300">SUM(TablaSupervisores[DISPOSITIVOS BACNET IP]*INDEX(TablaSeleccionSupervisores[],ROW(TablaSeleccionSupervisores[[#This Row],[ORDEN]])-1,_xlfn.XMATCH(TablaSupervisores[REFERENCIA],TablaSeleccionSupervisores[#Headers])))</f>
        <v>820</v>
      </c>
      <c r="AA300" cm="1">
        <f t="array" ref="AA300">SUM(TablaSupervisores[OBJETOS]*INDEX(TablaSeleccionSupervisores[],ROW(TablaSeleccionSupervisores[[#This Row],[ORDEN]])-1,_xlfn.XMATCH(TablaSupervisores[REFERENCIA],TablaSeleccionSupervisores[#Headers])))</f>
        <v>15000</v>
      </c>
      <c r="AB300" s="28" cm="1">
        <f t="array" ref="AB300">SUM(TablaSupervisores[COSTE]*INDEX(TablaSeleccionSupervisores[],ROW(TablaSeleccionSupervisores[[#This Row],[ORDEN]])-1,_xlfn.XMATCH(TablaSupervisores[REFERENCIA],TablaSeleccionSupervisores[#Headers])))</f>
        <v>15140.79</v>
      </c>
      <c r="AC300" cm="1">
        <f t="array" ref="AC300">SUM(INDEX(TablaSeleccionSupervisores[],ROW(TablaSeleccionSupervisores[[#This Row],[ORDEN]])-1,_xlfn.XMATCH(TablaSupervisores[REFERENCIA],TablaSeleccionSupervisores[#Headers])))</f>
        <v>5</v>
      </c>
      <c r="AD300" t="str" cm="1">
        <f t="array" ref="AD300">IF(INDEX(TablaSeleccionSupervisores[],ROW(TablaSeleccionSupervisores[[#This Row],[ORDEN]])-1,_xlfn.XMATCH("ADMITIDO ADSLITE",TablaSeleccionSupervisores[#Headers])+1)=0,"Sí admitido","No admitido")</f>
        <v>No admitido</v>
      </c>
      <c r="AE300">
        <v>1</v>
      </c>
      <c r="AF300">
        <v>2</v>
      </c>
      <c r="AG300">
        <v>0</v>
      </c>
      <c r="AH300">
        <v>2</v>
      </c>
    </row>
    <row r="301" spans="22:34" x14ac:dyDescent="0.25">
      <c r="V301">
        <v>300</v>
      </c>
      <c r="W301" cm="1">
        <f t="array" ref="W301">SUM(TablaSupervisores[DISPOSITIVOS TOTAL]*INDEX(TablaSeleccionSupervisores[],ROW(TablaSeleccionSupervisores[[#This Row],[ORDEN]])-1,_xlfn.XMATCH(TablaSupervisores[REFERENCIA],TablaSeleccionSupervisores[#Headers])))</f>
        <v>1508</v>
      </c>
      <c r="X301" cm="1">
        <f t="array" ref="X301">SUM(TablaSupervisores[DISPOSITIVOS BACNET MS/TP JC]*INDEX(TablaSeleccionSupervisores[],ROW(TablaSeleccionSupervisores[[#This Row],[ORDEN]])-1,_xlfn.XMATCH(TablaSupervisores[REFERENCIA],TablaSeleccionSupervisores[#Headers])))</f>
        <v>608</v>
      </c>
      <c r="Y301" cm="1">
        <f t="array" ref="Y301">SUM(TablaSupervisores[DISPOSITIVOS BACNET MS/TP COMPATIBLES]*INDEX(TablaSeleccionSupervisores[],ROW(TablaSeleccionSupervisores[[#This Row],[ORDEN]])-1,_xlfn.XMATCH(TablaSupervisores[REFERENCIA],TablaSeleccionSupervisores[#Headers])))</f>
        <v>392</v>
      </c>
      <c r="Z301" cm="1">
        <f t="array" ref="Z301">SUM(TablaSupervisores[DISPOSITIVOS BACNET IP]*INDEX(TablaSeleccionSupervisores[],ROW(TablaSeleccionSupervisores[[#This Row],[ORDEN]])-1,_xlfn.XMATCH(TablaSupervisores[REFERENCIA],TablaSeleccionSupervisores[#Headers])))</f>
        <v>1220</v>
      </c>
      <c r="AA301" cm="1">
        <f t="array" ref="AA301">SUM(TablaSupervisores[OBJETOS]*INDEX(TablaSeleccionSupervisores[],ROW(TablaSeleccionSupervisores[[#This Row],[ORDEN]])-1,_xlfn.XMATCH(TablaSupervisores[REFERENCIA],TablaSeleccionSupervisores[#Headers])))</f>
        <v>20000</v>
      </c>
      <c r="AB301" s="28" cm="1">
        <f t="array" ref="AB301">SUM(TablaSupervisores[COSTE]*INDEX(TablaSeleccionSupervisores[],ROW(TablaSeleccionSupervisores[[#This Row],[ORDEN]])-1,_xlfn.XMATCH(TablaSupervisores[REFERENCIA],TablaSeleccionSupervisores[#Headers])))</f>
        <v>20807.420000000002</v>
      </c>
      <c r="AC301" cm="1">
        <f t="array" ref="AC301">SUM(INDEX(TablaSeleccionSupervisores[],ROW(TablaSeleccionSupervisores[[#This Row],[ORDEN]])-1,_xlfn.XMATCH(TablaSupervisores[REFERENCIA],TablaSeleccionSupervisores[#Headers])))</f>
        <v>6</v>
      </c>
      <c r="AD301" t="str" cm="1">
        <f t="array" ref="AD301">IF(INDEX(TablaSeleccionSupervisores[],ROW(TablaSeleccionSupervisores[[#This Row],[ORDEN]])-1,_xlfn.XMATCH("ADMITIDO ADSLITE",TablaSeleccionSupervisores[#Headers])+1)=0,"Sí admitido","No admitido")</f>
        <v>No admitido</v>
      </c>
      <c r="AE301">
        <v>2</v>
      </c>
      <c r="AF301">
        <v>2</v>
      </c>
      <c r="AG301">
        <v>0</v>
      </c>
      <c r="AH301">
        <v>2</v>
      </c>
    </row>
    <row r="302" spans="22:34" x14ac:dyDescent="0.25">
      <c r="V302">
        <v>301</v>
      </c>
      <c r="W302" cm="1">
        <f t="array" ref="W302">SUM(TablaSupervisores[DISPOSITIVOS TOTAL]*INDEX(TablaSeleccionSupervisores[],ROW(TablaSeleccionSupervisores[[#This Row],[ORDEN]])-1,_xlfn.XMATCH(TablaSupervisores[REFERENCIA],TablaSeleccionSupervisores[#Headers])))</f>
        <v>2108</v>
      </c>
      <c r="X302" cm="1">
        <f t="array" ref="X302">SUM(TablaSupervisores[DISPOSITIVOS BACNET MS/TP JC]*INDEX(TablaSeleccionSupervisores[],ROW(TablaSeleccionSupervisores[[#This Row],[ORDEN]])-1,_xlfn.XMATCH(TablaSupervisores[REFERENCIA],TablaSeleccionSupervisores[#Headers])))</f>
        <v>808</v>
      </c>
      <c r="Y302" cm="1">
        <f t="array" ref="Y302">SUM(TablaSupervisores[DISPOSITIVOS BACNET MS/TP COMPATIBLES]*INDEX(TablaSeleccionSupervisores[],ROW(TablaSeleccionSupervisores[[#This Row],[ORDEN]])-1,_xlfn.XMATCH(TablaSupervisores[REFERENCIA],TablaSeleccionSupervisores[#Headers])))</f>
        <v>520</v>
      </c>
      <c r="Z302" cm="1">
        <f t="array" ref="Z302">SUM(TablaSupervisores[DISPOSITIVOS BACNET IP]*INDEX(TablaSeleccionSupervisores[],ROW(TablaSeleccionSupervisores[[#This Row],[ORDEN]])-1,_xlfn.XMATCH(TablaSupervisores[REFERENCIA],TablaSeleccionSupervisores[#Headers])))</f>
        <v>1620</v>
      </c>
      <c r="AA302" cm="1">
        <f t="array" ref="AA302">SUM(TablaSupervisores[OBJETOS]*INDEX(TablaSeleccionSupervisores[],ROW(TablaSeleccionSupervisores[[#This Row],[ORDEN]])-1,_xlfn.XMATCH(TablaSupervisores[REFERENCIA],TablaSeleccionSupervisores[#Headers])))</f>
        <v>25000</v>
      </c>
      <c r="AB302" s="28" cm="1">
        <f t="array" ref="AB302">SUM(TablaSupervisores[COSTE]*INDEX(TablaSeleccionSupervisores[],ROW(TablaSeleccionSupervisores[[#This Row],[ORDEN]])-1,_xlfn.XMATCH(TablaSupervisores[REFERENCIA],TablaSeleccionSupervisores[#Headers])))</f>
        <v>26474.05</v>
      </c>
      <c r="AC302" cm="1">
        <f t="array" ref="AC302">SUM(INDEX(TablaSeleccionSupervisores[],ROW(TablaSeleccionSupervisores[[#This Row],[ORDEN]])-1,_xlfn.XMATCH(TablaSupervisores[REFERENCIA],TablaSeleccionSupervisores[#Headers])))</f>
        <v>7</v>
      </c>
      <c r="AD302" t="str" cm="1">
        <f t="array" ref="AD302">IF(INDEX(TablaSeleccionSupervisores[],ROW(TablaSeleccionSupervisores[[#This Row],[ORDEN]])-1,_xlfn.XMATCH("ADMITIDO ADSLITE",TablaSeleccionSupervisores[#Headers])+1)=0,"Sí admitido","No admitido")</f>
        <v>No admitido</v>
      </c>
      <c r="AE302">
        <v>3</v>
      </c>
      <c r="AF302">
        <v>2</v>
      </c>
      <c r="AG302">
        <v>0</v>
      </c>
      <c r="AH302">
        <v>2</v>
      </c>
    </row>
    <row r="303" spans="22:34" x14ac:dyDescent="0.25">
      <c r="V303">
        <v>302</v>
      </c>
      <c r="W303" cm="1">
        <f t="array" ref="W303">SUM(TablaSupervisores[DISPOSITIVOS TOTAL]*INDEX(TablaSeleccionSupervisores[],ROW(TablaSeleccionSupervisores[[#This Row],[ORDEN]])-1,_xlfn.XMATCH(TablaSupervisores[REFERENCIA],TablaSeleccionSupervisores[#Headers])))</f>
        <v>2708</v>
      </c>
      <c r="X303" cm="1">
        <f t="array" ref="X303">SUM(TablaSupervisores[DISPOSITIVOS BACNET MS/TP JC]*INDEX(TablaSeleccionSupervisores[],ROW(TablaSeleccionSupervisores[[#This Row],[ORDEN]])-1,_xlfn.XMATCH(TablaSupervisores[REFERENCIA],TablaSeleccionSupervisores[#Headers])))</f>
        <v>1008</v>
      </c>
      <c r="Y303" cm="1">
        <f t="array" ref="Y303">SUM(TablaSupervisores[DISPOSITIVOS BACNET MS/TP COMPATIBLES]*INDEX(TablaSeleccionSupervisores[],ROW(TablaSeleccionSupervisores[[#This Row],[ORDEN]])-1,_xlfn.XMATCH(TablaSupervisores[REFERENCIA],TablaSeleccionSupervisores[#Headers])))</f>
        <v>648</v>
      </c>
      <c r="Z303" cm="1">
        <f t="array" ref="Z303">SUM(TablaSupervisores[DISPOSITIVOS BACNET IP]*INDEX(TablaSeleccionSupervisores[],ROW(TablaSeleccionSupervisores[[#This Row],[ORDEN]])-1,_xlfn.XMATCH(TablaSupervisores[REFERENCIA],TablaSeleccionSupervisores[#Headers])))</f>
        <v>2020</v>
      </c>
      <c r="AA303" cm="1">
        <f t="array" ref="AA303">SUM(TablaSupervisores[OBJETOS]*INDEX(TablaSeleccionSupervisores[],ROW(TablaSeleccionSupervisores[[#This Row],[ORDEN]])-1,_xlfn.XMATCH(TablaSupervisores[REFERENCIA],TablaSeleccionSupervisores[#Headers])))</f>
        <v>30000</v>
      </c>
      <c r="AB303" s="28" cm="1">
        <f t="array" ref="AB303">SUM(TablaSupervisores[COSTE]*INDEX(TablaSeleccionSupervisores[],ROW(TablaSeleccionSupervisores[[#This Row],[ORDEN]])-1,_xlfn.XMATCH(TablaSupervisores[REFERENCIA],TablaSeleccionSupervisores[#Headers])))</f>
        <v>32140.68</v>
      </c>
      <c r="AC303" cm="1">
        <f t="array" ref="AC303">SUM(INDEX(TablaSeleccionSupervisores[],ROW(TablaSeleccionSupervisores[[#This Row],[ORDEN]])-1,_xlfn.XMATCH(TablaSupervisores[REFERENCIA],TablaSeleccionSupervisores[#Headers])))</f>
        <v>8</v>
      </c>
      <c r="AD303" t="str" cm="1">
        <f t="array" ref="AD303">IF(INDEX(TablaSeleccionSupervisores[],ROW(TablaSeleccionSupervisores[[#This Row],[ORDEN]])-1,_xlfn.XMATCH("ADMITIDO ADSLITE",TablaSeleccionSupervisores[#Headers])+1)=0,"Sí admitido","No admitido")</f>
        <v>No admitido</v>
      </c>
      <c r="AE303">
        <v>4</v>
      </c>
      <c r="AF303">
        <v>2</v>
      </c>
      <c r="AG303">
        <v>0</v>
      </c>
      <c r="AH303">
        <v>2</v>
      </c>
    </row>
    <row r="304" spans="22:34" x14ac:dyDescent="0.25">
      <c r="V304">
        <v>303</v>
      </c>
      <c r="W304" cm="1">
        <f t="array" ref="W304">SUM(TablaSupervisores[DISPOSITIVOS TOTAL]*INDEX(TablaSeleccionSupervisores[],ROW(TablaSeleccionSupervisores[[#This Row],[ORDEN]])-1,_xlfn.XMATCH(TablaSupervisores[REFERENCIA],TablaSeleccionSupervisores[#Headers])))</f>
        <v>458</v>
      </c>
      <c r="X304" cm="1">
        <f t="array" ref="X304">SUM(TablaSupervisores[DISPOSITIVOS BACNET MS/TP JC]*INDEX(TablaSeleccionSupervisores[],ROW(TablaSeleccionSupervisores[[#This Row],[ORDEN]])-1,_xlfn.XMATCH(TablaSupervisores[REFERENCIA],TablaSeleccionSupervisores[#Headers])))</f>
        <v>308</v>
      </c>
      <c r="Y304" cm="1">
        <f t="array" ref="Y304">SUM(TablaSupervisores[DISPOSITIVOS BACNET MS/TP COMPATIBLES]*INDEX(TablaSeleccionSupervisores[],ROW(TablaSeleccionSupervisores[[#This Row],[ORDEN]])-1,_xlfn.XMATCH(TablaSupervisores[REFERENCIA],TablaSeleccionSupervisores[#Headers])))</f>
        <v>200</v>
      </c>
      <c r="Z304" cm="1">
        <f t="array" ref="Z304">SUM(TablaSupervisores[DISPOSITIVOS BACNET IP]*INDEX(TablaSeleccionSupervisores[],ROW(TablaSeleccionSupervisores[[#This Row],[ORDEN]])-1,_xlfn.XMATCH(TablaSupervisores[REFERENCIA],TablaSeleccionSupervisores[#Headers])))</f>
        <v>620</v>
      </c>
      <c r="AA304" cm="1">
        <f t="array" ref="AA304">SUM(TablaSupervisores[OBJETOS]*INDEX(TablaSeleccionSupervisores[],ROW(TablaSeleccionSupervisores[[#This Row],[ORDEN]])-1,_xlfn.XMATCH(TablaSupervisores[REFERENCIA],TablaSeleccionSupervisores[#Headers])))</f>
        <v>12500</v>
      </c>
      <c r="AB304" s="28" cm="1">
        <f t="array" ref="AB304">SUM(TablaSupervisores[COSTE]*INDEX(TablaSeleccionSupervisores[],ROW(TablaSeleccionSupervisores[[#This Row],[ORDEN]])-1,_xlfn.XMATCH(TablaSupervisores[REFERENCIA],TablaSeleccionSupervisores[#Headers])))</f>
        <v>13462.890000000001</v>
      </c>
      <c r="AC304" cm="1">
        <f t="array" ref="AC304">SUM(INDEX(TablaSeleccionSupervisores[],ROW(TablaSeleccionSupervisores[[#This Row],[ORDEN]])-1,_xlfn.XMATCH(TablaSupervisores[REFERENCIA],TablaSeleccionSupervisores[#Headers])))</f>
        <v>5</v>
      </c>
      <c r="AD304" t="str" cm="1">
        <f t="array" ref="AD304">IF(INDEX(TablaSeleccionSupervisores[],ROW(TablaSeleccionSupervisores[[#This Row],[ORDEN]])-1,_xlfn.XMATCH("ADMITIDO ADSLITE",TablaSeleccionSupervisores[#Headers])+1)=0,"Sí admitido","No admitido")</f>
        <v>Sí admitido</v>
      </c>
      <c r="AE304">
        <v>0</v>
      </c>
      <c r="AF304">
        <v>3</v>
      </c>
      <c r="AG304">
        <v>0</v>
      </c>
      <c r="AH304">
        <v>2</v>
      </c>
    </row>
    <row r="305" spans="22:34" x14ac:dyDescent="0.25">
      <c r="V305">
        <v>304</v>
      </c>
      <c r="W305" cm="1">
        <f t="array" ref="W305">SUM(TablaSupervisores[DISPOSITIVOS TOTAL]*INDEX(TablaSeleccionSupervisores[],ROW(TablaSeleccionSupervisores[[#This Row],[ORDEN]])-1,_xlfn.XMATCH(TablaSupervisores[REFERENCIA],TablaSeleccionSupervisores[#Headers])))</f>
        <v>1058</v>
      </c>
      <c r="X305" cm="1">
        <f t="array" ref="X305">SUM(TablaSupervisores[DISPOSITIVOS BACNET MS/TP JC]*INDEX(TablaSeleccionSupervisores[],ROW(TablaSeleccionSupervisores[[#This Row],[ORDEN]])-1,_xlfn.XMATCH(TablaSupervisores[REFERENCIA],TablaSeleccionSupervisores[#Headers])))</f>
        <v>508</v>
      </c>
      <c r="Y305" cm="1">
        <f t="array" ref="Y305">SUM(TablaSupervisores[DISPOSITIVOS BACNET MS/TP COMPATIBLES]*INDEX(TablaSeleccionSupervisores[],ROW(TablaSeleccionSupervisores[[#This Row],[ORDEN]])-1,_xlfn.XMATCH(TablaSupervisores[REFERENCIA],TablaSeleccionSupervisores[#Headers])))</f>
        <v>328</v>
      </c>
      <c r="Z305" cm="1">
        <f t="array" ref="Z305">SUM(TablaSupervisores[DISPOSITIVOS BACNET IP]*INDEX(TablaSeleccionSupervisores[],ROW(TablaSeleccionSupervisores[[#This Row],[ORDEN]])-1,_xlfn.XMATCH(TablaSupervisores[REFERENCIA],TablaSeleccionSupervisores[#Headers])))</f>
        <v>1020</v>
      </c>
      <c r="AA305" cm="1">
        <f t="array" ref="AA305">SUM(TablaSupervisores[OBJETOS]*INDEX(TablaSeleccionSupervisores[],ROW(TablaSeleccionSupervisores[[#This Row],[ORDEN]])-1,_xlfn.XMATCH(TablaSupervisores[REFERENCIA],TablaSeleccionSupervisores[#Headers])))</f>
        <v>17500</v>
      </c>
      <c r="AB305" s="28" cm="1">
        <f t="array" ref="AB305">SUM(TablaSupervisores[COSTE]*INDEX(TablaSeleccionSupervisores[],ROW(TablaSeleccionSupervisores[[#This Row],[ORDEN]])-1,_xlfn.XMATCH(TablaSupervisores[REFERENCIA],TablaSeleccionSupervisores[#Headers])))</f>
        <v>19129.52</v>
      </c>
      <c r="AC305" cm="1">
        <f t="array" ref="AC305">SUM(INDEX(TablaSeleccionSupervisores[],ROW(TablaSeleccionSupervisores[[#This Row],[ORDEN]])-1,_xlfn.XMATCH(TablaSupervisores[REFERENCIA],TablaSeleccionSupervisores[#Headers])))</f>
        <v>6</v>
      </c>
      <c r="AD305" t="str" cm="1">
        <f t="array" ref="AD305">IF(INDEX(TablaSeleccionSupervisores[],ROW(TablaSeleccionSupervisores[[#This Row],[ORDEN]])-1,_xlfn.XMATCH("ADMITIDO ADSLITE",TablaSeleccionSupervisores[#Headers])+1)=0,"Sí admitido","No admitido")</f>
        <v>No admitido</v>
      </c>
      <c r="AE305">
        <v>1</v>
      </c>
      <c r="AF305">
        <v>3</v>
      </c>
      <c r="AG305">
        <v>0</v>
      </c>
      <c r="AH305">
        <v>2</v>
      </c>
    </row>
    <row r="306" spans="22:34" x14ac:dyDescent="0.25">
      <c r="V306">
        <v>305</v>
      </c>
      <c r="W306" cm="1">
        <f t="array" ref="W306">SUM(TablaSupervisores[DISPOSITIVOS TOTAL]*INDEX(TablaSeleccionSupervisores[],ROW(TablaSeleccionSupervisores[[#This Row],[ORDEN]])-1,_xlfn.XMATCH(TablaSupervisores[REFERENCIA],TablaSeleccionSupervisores[#Headers])))</f>
        <v>1658</v>
      </c>
      <c r="X306" cm="1">
        <f t="array" ref="X306">SUM(TablaSupervisores[DISPOSITIVOS BACNET MS/TP JC]*INDEX(TablaSeleccionSupervisores[],ROW(TablaSeleccionSupervisores[[#This Row],[ORDEN]])-1,_xlfn.XMATCH(TablaSupervisores[REFERENCIA],TablaSeleccionSupervisores[#Headers])))</f>
        <v>708</v>
      </c>
      <c r="Y306" cm="1">
        <f t="array" ref="Y306">SUM(TablaSupervisores[DISPOSITIVOS BACNET MS/TP COMPATIBLES]*INDEX(TablaSeleccionSupervisores[],ROW(TablaSeleccionSupervisores[[#This Row],[ORDEN]])-1,_xlfn.XMATCH(TablaSupervisores[REFERENCIA],TablaSeleccionSupervisores[#Headers])))</f>
        <v>456</v>
      </c>
      <c r="Z306" cm="1">
        <f t="array" ref="Z306">SUM(TablaSupervisores[DISPOSITIVOS BACNET IP]*INDEX(TablaSeleccionSupervisores[],ROW(TablaSeleccionSupervisores[[#This Row],[ORDEN]])-1,_xlfn.XMATCH(TablaSupervisores[REFERENCIA],TablaSeleccionSupervisores[#Headers])))</f>
        <v>1420</v>
      </c>
      <c r="AA306" cm="1">
        <f t="array" ref="AA306">SUM(TablaSupervisores[OBJETOS]*INDEX(TablaSeleccionSupervisores[],ROW(TablaSeleccionSupervisores[[#This Row],[ORDEN]])-1,_xlfn.XMATCH(TablaSupervisores[REFERENCIA],TablaSeleccionSupervisores[#Headers])))</f>
        <v>22500</v>
      </c>
      <c r="AB306" s="28" cm="1">
        <f t="array" ref="AB306">SUM(TablaSupervisores[COSTE]*INDEX(TablaSeleccionSupervisores[],ROW(TablaSeleccionSupervisores[[#This Row],[ORDEN]])-1,_xlfn.XMATCH(TablaSupervisores[REFERENCIA],TablaSeleccionSupervisores[#Headers])))</f>
        <v>24796.15</v>
      </c>
      <c r="AC306" cm="1">
        <f t="array" ref="AC306">SUM(INDEX(TablaSeleccionSupervisores[],ROW(TablaSeleccionSupervisores[[#This Row],[ORDEN]])-1,_xlfn.XMATCH(TablaSupervisores[REFERENCIA],TablaSeleccionSupervisores[#Headers])))</f>
        <v>7</v>
      </c>
      <c r="AD306" t="str" cm="1">
        <f t="array" ref="AD306">IF(INDEX(TablaSeleccionSupervisores[],ROW(TablaSeleccionSupervisores[[#This Row],[ORDEN]])-1,_xlfn.XMATCH("ADMITIDO ADSLITE",TablaSeleccionSupervisores[#Headers])+1)=0,"Sí admitido","No admitido")</f>
        <v>No admitido</v>
      </c>
      <c r="AE306">
        <v>2</v>
      </c>
      <c r="AF306">
        <v>3</v>
      </c>
      <c r="AG306">
        <v>0</v>
      </c>
      <c r="AH306">
        <v>2</v>
      </c>
    </row>
    <row r="307" spans="22:34" x14ac:dyDescent="0.25">
      <c r="V307">
        <v>306</v>
      </c>
      <c r="W307" cm="1">
        <f t="array" ref="W307">SUM(TablaSupervisores[DISPOSITIVOS TOTAL]*INDEX(TablaSeleccionSupervisores[],ROW(TablaSeleccionSupervisores[[#This Row],[ORDEN]])-1,_xlfn.XMATCH(TablaSupervisores[REFERENCIA],TablaSeleccionSupervisores[#Headers])))</f>
        <v>2258</v>
      </c>
      <c r="X307" cm="1">
        <f t="array" ref="X307">SUM(TablaSupervisores[DISPOSITIVOS BACNET MS/TP JC]*INDEX(TablaSeleccionSupervisores[],ROW(TablaSeleccionSupervisores[[#This Row],[ORDEN]])-1,_xlfn.XMATCH(TablaSupervisores[REFERENCIA],TablaSeleccionSupervisores[#Headers])))</f>
        <v>908</v>
      </c>
      <c r="Y307" cm="1">
        <f t="array" ref="Y307">SUM(TablaSupervisores[DISPOSITIVOS BACNET MS/TP COMPATIBLES]*INDEX(TablaSeleccionSupervisores[],ROW(TablaSeleccionSupervisores[[#This Row],[ORDEN]])-1,_xlfn.XMATCH(TablaSupervisores[REFERENCIA],TablaSeleccionSupervisores[#Headers])))</f>
        <v>584</v>
      </c>
      <c r="Z307" cm="1">
        <f t="array" ref="Z307">SUM(TablaSupervisores[DISPOSITIVOS BACNET IP]*INDEX(TablaSeleccionSupervisores[],ROW(TablaSeleccionSupervisores[[#This Row],[ORDEN]])-1,_xlfn.XMATCH(TablaSupervisores[REFERENCIA],TablaSeleccionSupervisores[#Headers])))</f>
        <v>1820</v>
      </c>
      <c r="AA307" cm="1">
        <f t="array" ref="AA307">SUM(TablaSupervisores[OBJETOS]*INDEX(TablaSeleccionSupervisores[],ROW(TablaSeleccionSupervisores[[#This Row],[ORDEN]])-1,_xlfn.XMATCH(TablaSupervisores[REFERENCIA],TablaSeleccionSupervisores[#Headers])))</f>
        <v>27500</v>
      </c>
      <c r="AB307" s="28" cm="1">
        <f t="array" ref="AB307">SUM(TablaSupervisores[COSTE]*INDEX(TablaSeleccionSupervisores[],ROW(TablaSeleccionSupervisores[[#This Row],[ORDEN]])-1,_xlfn.XMATCH(TablaSupervisores[REFERENCIA],TablaSeleccionSupervisores[#Headers])))</f>
        <v>30462.780000000002</v>
      </c>
      <c r="AC307" cm="1">
        <f t="array" ref="AC307">SUM(INDEX(TablaSeleccionSupervisores[],ROW(TablaSeleccionSupervisores[[#This Row],[ORDEN]])-1,_xlfn.XMATCH(TablaSupervisores[REFERENCIA],TablaSeleccionSupervisores[#Headers])))</f>
        <v>8</v>
      </c>
      <c r="AD307" t="str" cm="1">
        <f t="array" ref="AD307">IF(INDEX(TablaSeleccionSupervisores[],ROW(TablaSeleccionSupervisores[[#This Row],[ORDEN]])-1,_xlfn.XMATCH("ADMITIDO ADSLITE",TablaSeleccionSupervisores[#Headers])+1)=0,"Sí admitido","No admitido")</f>
        <v>No admitido</v>
      </c>
      <c r="AE307">
        <v>3</v>
      </c>
      <c r="AF307">
        <v>3</v>
      </c>
      <c r="AG307">
        <v>0</v>
      </c>
      <c r="AH307">
        <v>2</v>
      </c>
    </row>
    <row r="308" spans="22:34" x14ac:dyDescent="0.25">
      <c r="V308">
        <v>307</v>
      </c>
      <c r="W308" cm="1">
        <f t="array" ref="W308">SUM(TablaSupervisores[DISPOSITIVOS TOTAL]*INDEX(TablaSeleccionSupervisores[],ROW(TablaSeleccionSupervisores[[#This Row],[ORDEN]])-1,_xlfn.XMATCH(TablaSupervisores[REFERENCIA],TablaSeleccionSupervisores[#Headers])))</f>
        <v>608</v>
      </c>
      <c r="X308" cm="1">
        <f t="array" ref="X308">SUM(TablaSupervisores[DISPOSITIVOS BACNET MS/TP JC]*INDEX(TablaSeleccionSupervisores[],ROW(TablaSeleccionSupervisores[[#This Row],[ORDEN]])-1,_xlfn.XMATCH(TablaSupervisores[REFERENCIA],TablaSeleccionSupervisores[#Headers])))</f>
        <v>408</v>
      </c>
      <c r="Y308" cm="1">
        <f t="array" ref="Y308">SUM(TablaSupervisores[DISPOSITIVOS BACNET MS/TP COMPATIBLES]*INDEX(TablaSeleccionSupervisores[],ROW(TablaSeleccionSupervisores[[#This Row],[ORDEN]])-1,_xlfn.XMATCH(TablaSupervisores[REFERENCIA],TablaSeleccionSupervisores[#Headers])))</f>
        <v>264</v>
      </c>
      <c r="Z308" cm="1">
        <f t="array" ref="Z308">SUM(TablaSupervisores[DISPOSITIVOS BACNET IP]*INDEX(TablaSeleccionSupervisores[],ROW(TablaSeleccionSupervisores[[#This Row],[ORDEN]])-1,_xlfn.XMATCH(TablaSupervisores[REFERENCIA],TablaSeleccionSupervisores[#Headers])))</f>
        <v>820</v>
      </c>
      <c r="AA308" cm="1">
        <f t="array" ref="AA308">SUM(TablaSupervisores[OBJETOS]*INDEX(TablaSeleccionSupervisores[],ROW(TablaSeleccionSupervisores[[#This Row],[ORDEN]])-1,_xlfn.XMATCH(TablaSupervisores[REFERENCIA],TablaSeleccionSupervisores[#Headers])))</f>
        <v>15000</v>
      </c>
      <c r="AB308" s="28" cm="1">
        <f t="array" ref="AB308">SUM(TablaSupervisores[COSTE]*INDEX(TablaSeleccionSupervisores[],ROW(TablaSeleccionSupervisores[[#This Row],[ORDEN]])-1,_xlfn.XMATCH(TablaSupervisores[REFERENCIA],TablaSeleccionSupervisores[#Headers])))</f>
        <v>17451.62</v>
      </c>
      <c r="AC308" cm="1">
        <f t="array" ref="AC308">SUM(INDEX(TablaSeleccionSupervisores[],ROW(TablaSeleccionSupervisores[[#This Row],[ORDEN]])-1,_xlfn.XMATCH(TablaSupervisores[REFERENCIA],TablaSeleccionSupervisores[#Headers])))</f>
        <v>6</v>
      </c>
      <c r="AD308" t="str" cm="1">
        <f t="array" ref="AD308">IF(INDEX(TablaSeleccionSupervisores[],ROW(TablaSeleccionSupervisores[[#This Row],[ORDEN]])-1,_xlfn.XMATCH("ADMITIDO ADSLITE",TablaSeleccionSupervisores[#Headers])+1)=0,"Sí admitido","No admitido")</f>
        <v>Sí admitido</v>
      </c>
      <c r="AE308">
        <v>0</v>
      </c>
      <c r="AF308">
        <v>4</v>
      </c>
      <c r="AG308">
        <v>0</v>
      </c>
      <c r="AH308">
        <v>2</v>
      </c>
    </row>
    <row r="309" spans="22:34" x14ac:dyDescent="0.25">
      <c r="V309">
        <v>308</v>
      </c>
      <c r="W309" cm="1">
        <f t="array" ref="W309">SUM(TablaSupervisores[DISPOSITIVOS TOTAL]*INDEX(TablaSeleccionSupervisores[],ROW(TablaSeleccionSupervisores[[#This Row],[ORDEN]])-1,_xlfn.XMATCH(TablaSupervisores[REFERENCIA],TablaSeleccionSupervisores[#Headers])))</f>
        <v>1208</v>
      </c>
      <c r="X309" cm="1">
        <f t="array" ref="X309">SUM(TablaSupervisores[DISPOSITIVOS BACNET MS/TP JC]*INDEX(TablaSeleccionSupervisores[],ROW(TablaSeleccionSupervisores[[#This Row],[ORDEN]])-1,_xlfn.XMATCH(TablaSupervisores[REFERENCIA],TablaSeleccionSupervisores[#Headers])))</f>
        <v>608</v>
      </c>
      <c r="Y309" cm="1">
        <f t="array" ref="Y309">SUM(TablaSupervisores[DISPOSITIVOS BACNET MS/TP COMPATIBLES]*INDEX(TablaSeleccionSupervisores[],ROW(TablaSeleccionSupervisores[[#This Row],[ORDEN]])-1,_xlfn.XMATCH(TablaSupervisores[REFERENCIA],TablaSeleccionSupervisores[#Headers])))</f>
        <v>392</v>
      </c>
      <c r="Z309" cm="1">
        <f t="array" ref="Z309">SUM(TablaSupervisores[DISPOSITIVOS BACNET IP]*INDEX(TablaSeleccionSupervisores[],ROW(TablaSeleccionSupervisores[[#This Row],[ORDEN]])-1,_xlfn.XMATCH(TablaSupervisores[REFERENCIA],TablaSeleccionSupervisores[#Headers])))</f>
        <v>1220</v>
      </c>
      <c r="AA309" cm="1">
        <f t="array" ref="AA309">SUM(TablaSupervisores[OBJETOS]*INDEX(TablaSeleccionSupervisores[],ROW(TablaSeleccionSupervisores[[#This Row],[ORDEN]])-1,_xlfn.XMATCH(TablaSupervisores[REFERENCIA],TablaSeleccionSupervisores[#Headers])))</f>
        <v>20000</v>
      </c>
      <c r="AB309" s="28" cm="1">
        <f t="array" ref="AB309">SUM(TablaSupervisores[COSTE]*INDEX(TablaSeleccionSupervisores[],ROW(TablaSeleccionSupervisores[[#This Row],[ORDEN]])-1,_xlfn.XMATCH(TablaSupervisores[REFERENCIA],TablaSeleccionSupervisores[#Headers])))</f>
        <v>23118.25</v>
      </c>
      <c r="AC309" cm="1">
        <f t="array" ref="AC309">SUM(INDEX(TablaSeleccionSupervisores[],ROW(TablaSeleccionSupervisores[[#This Row],[ORDEN]])-1,_xlfn.XMATCH(TablaSupervisores[REFERENCIA],TablaSeleccionSupervisores[#Headers])))</f>
        <v>7</v>
      </c>
      <c r="AD309" t="str" cm="1">
        <f t="array" ref="AD309">IF(INDEX(TablaSeleccionSupervisores[],ROW(TablaSeleccionSupervisores[[#This Row],[ORDEN]])-1,_xlfn.XMATCH("ADMITIDO ADSLITE",TablaSeleccionSupervisores[#Headers])+1)=0,"Sí admitido","No admitido")</f>
        <v>No admitido</v>
      </c>
      <c r="AE309">
        <v>1</v>
      </c>
      <c r="AF309">
        <v>4</v>
      </c>
      <c r="AG309">
        <v>0</v>
      </c>
      <c r="AH309">
        <v>2</v>
      </c>
    </row>
    <row r="310" spans="22:34" x14ac:dyDescent="0.25">
      <c r="V310">
        <v>309</v>
      </c>
      <c r="W310" cm="1">
        <f t="array" ref="W310">SUM(TablaSupervisores[DISPOSITIVOS TOTAL]*INDEX(TablaSeleccionSupervisores[],ROW(TablaSeleccionSupervisores[[#This Row],[ORDEN]])-1,_xlfn.XMATCH(TablaSupervisores[REFERENCIA],TablaSeleccionSupervisores[#Headers])))</f>
        <v>1808</v>
      </c>
      <c r="X310" cm="1">
        <f t="array" ref="X310">SUM(TablaSupervisores[DISPOSITIVOS BACNET MS/TP JC]*INDEX(TablaSeleccionSupervisores[],ROW(TablaSeleccionSupervisores[[#This Row],[ORDEN]])-1,_xlfn.XMATCH(TablaSupervisores[REFERENCIA],TablaSeleccionSupervisores[#Headers])))</f>
        <v>808</v>
      </c>
      <c r="Y310" cm="1">
        <f t="array" ref="Y310">SUM(TablaSupervisores[DISPOSITIVOS BACNET MS/TP COMPATIBLES]*INDEX(TablaSeleccionSupervisores[],ROW(TablaSeleccionSupervisores[[#This Row],[ORDEN]])-1,_xlfn.XMATCH(TablaSupervisores[REFERENCIA],TablaSeleccionSupervisores[#Headers])))</f>
        <v>520</v>
      </c>
      <c r="Z310" cm="1">
        <f t="array" ref="Z310">SUM(TablaSupervisores[DISPOSITIVOS BACNET IP]*INDEX(TablaSeleccionSupervisores[],ROW(TablaSeleccionSupervisores[[#This Row],[ORDEN]])-1,_xlfn.XMATCH(TablaSupervisores[REFERENCIA],TablaSeleccionSupervisores[#Headers])))</f>
        <v>1620</v>
      </c>
      <c r="AA310" cm="1">
        <f t="array" ref="AA310">SUM(TablaSupervisores[OBJETOS]*INDEX(TablaSeleccionSupervisores[],ROW(TablaSeleccionSupervisores[[#This Row],[ORDEN]])-1,_xlfn.XMATCH(TablaSupervisores[REFERENCIA],TablaSeleccionSupervisores[#Headers])))</f>
        <v>25000</v>
      </c>
      <c r="AB310" s="28" cm="1">
        <f t="array" ref="AB310">SUM(TablaSupervisores[COSTE]*INDEX(TablaSeleccionSupervisores[],ROW(TablaSeleccionSupervisores[[#This Row],[ORDEN]])-1,_xlfn.XMATCH(TablaSupervisores[REFERENCIA],TablaSeleccionSupervisores[#Headers])))</f>
        <v>28784.880000000001</v>
      </c>
      <c r="AC310" cm="1">
        <f t="array" ref="AC310">SUM(INDEX(TablaSeleccionSupervisores[],ROW(TablaSeleccionSupervisores[[#This Row],[ORDEN]])-1,_xlfn.XMATCH(TablaSupervisores[REFERENCIA],TablaSeleccionSupervisores[#Headers])))</f>
        <v>8</v>
      </c>
      <c r="AD310" t="str" cm="1">
        <f t="array" ref="AD310">IF(INDEX(TablaSeleccionSupervisores[],ROW(TablaSeleccionSupervisores[[#This Row],[ORDEN]])-1,_xlfn.XMATCH("ADMITIDO ADSLITE",TablaSeleccionSupervisores[#Headers])+1)=0,"Sí admitido","No admitido")</f>
        <v>No admitido</v>
      </c>
      <c r="AE310">
        <v>2</v>
      </c>
      <c r="AF310">
        <v>4</v>
      </c>
      <c r="AG310">
        <v>0</v>
      </c>
      <c r="AH310">
        <v>2</v>
      </c>
    </row>
    <row r="311" spans="22:34" x14ac:dyDescent="0.25">
      <c r="V311">
        <v>310</v>
      </c>
      <c r="W311" cm="1">
        <f t="array" ref="W311">SUM(TablaSupervisores[DISPOSITIVOS TOTAL]*INDEX(TablaSeleccionSupervisores[],ROW(TablaSeleccionSupervisores[[#This Row],[ORDEN]])-1,_xlfn.XMATCH(TablaSupervisores[REFERENCIA],TablaSeleccionSupervisores[#Headers])))</f>
        <v>758</v>
      </c>
      <c r="X311" cm="1">
        <f t="array" ref="X311">SUM(TablaSupervisores[DISPOSITIVOS BACNET MS/TP JC]*INDEX(TablaSeleccionSupervisores[],ROW(TablaSeleccionSupervisores[[#This Row],[ORDEN]])-1,_xlfn.XMATCH(TablaSupervisores[REFERENCIA],TablaSeleccionSupervisores[#Headers])))</f>
        <v>508</v>
      </c>
      <c r="Y311" cm="1">
        <f t="array" ref="Y311">SUM(TablaSupervisores[DISPOSITIVOS BACNET MS/TP COMPATIBLES]*INDEX(TablaSeleccionSupervisores[],ROW(TablaSeleccionSupervisores[[#This Row],[ORDEN]])-1,_xlfn.XMATCH(TablaSupervisores[REFERENCIA],TablaSeleccionSupervisores[#Headers])))</f>
        <v>328</v>
      </c>
      <c r="Z311" cm="1">
        <f t="array" ref="Z311">SUM(TablaSupervisores[DISPOSITIVOS BACNET IP]*INDEX(TablaSeleccionSupervisores[],ROW(TablaSeleccionSupervisores[[#This Row],[ORDEN]])-1,_xlfn.XMATCH(TablaSupervisores[REFERENCIA],TablaSeleccionSupervisores[#Headers])))</f>
        <v>1020</v>
      </c>
      <c r="AA311" cm="1">
        <f t="array" ref="AA311">SUM(TablaSupervisores[OBJETOS]*INDEX(TablaSeleccionSupervisores[],ROW(TablaSeleccionSupervisores[[#This Row],[ORDEN]])-1,_xlfn.XMATCH(TablaSupervisores[REFERENCIA],TablaSeleccionSupervisores[#Headers])))</f>
        <v>17500</v>
      </c>
      <c r="AB311" s="28" cm="1">
        <f t="array" ref="AB311">SUM(TablaSupervisores[COSTE]*INDEX(TablaSeleccionSupervisores[],ROW(TablaSeleccionSupervisores[[#This Row],[ORDEN]])-1,_xlfn.XMATCH(TablaSupervisores[REFERENCIA],TablaSeleccionSupervisores[#Headers])))</f>
        <v>21440.350000000002</v>
      </c>
      <c r="AC311" cm="1">
        <f t="array" ref="AC311">SUM(INDEX(TablaSeleccionSupervisores[],ROW(TablaSeleccionSupervisores[[#This Row],[ORDEN]])-1,_xlfn.XMATCH(TablaSupervisores[REFERENCIA],TablaSeleccionSupervisores[#Headers])))</f>
        <v>7</v>
      </c>
      <c r="AD311" t="str" cm="1">
        <f t="array" ref="AD311">IF(INDEX(TablaSeleccionSupervisores[],ROW(TablaSeleccionSupervisores[[#This Row],[ORDEN]])-1,_xlfn.XMATCH("ADMITIDO ADSLITE",TablaSeleccionSupervisores[#Headers])+1)=0,"Sí admitido","No admitido")</f>
        <v>Sí admitido</v>
      </c>
      <c r="AE311">
        <v>0</v>
      </c>
      <c r="AF311">
        <v>5</v>
      </c>
      <c r="AG311">
        <v>0</v>
      </c>
      <c r="AH311">
        <v>2</v>
      </c>
    </row>
    <row r="312" spans="22:34" x14ac:dyDescent="0.25">
      <c r="V312">
        <v>311</v>
      </c>
      <c r="W312" cm="1">
        <f t="array" ref="W312">SUM(TablaSupervisores[DISPOSITIVOS TOTAL]*INDEX(TablaSeleccionSupervisores[],ROW(TablaSeleccionSupervisores[[#This Row],[ORDEN]])-1,_xlfn.XMATCH(TablaSupervisores[REFERENCIA],TablaSeleccionSupervisores[#Headers])))</f>
        <v>1358</v>
      </c>
      <c r="X312" cm="1">
        <f t="array" ref="X312">SUM(TablaSupervisores[DISPOSITIVOS BACNET MS/TP JC]*INDEX(TablaSeleccionSupervisores[],ROW(TablaSeleccionSupervisores[[#This Row],[ORDEN]])-1,_xlfn.XMATCH(TablaSupervisores[REFERENCIA],TablaSeleccionSupervisores[#Headers])))</f>
        <v>708</v>
      </c>
      <c r="Y312" cm="1">
        <f t="array" ref="Y312">SUM(TablaSupervisores[DISPOSITIVOS BACNET MS/TP COMPATIBLES]*INDEX(TablaSeleccionSupervisores[],ROW(TablaSeleccionSupervisores[[#This Row],[ORDEN]])-1,_xlfn.XMATCH(TablaSupervisores[REFERENCIA],TablaSeleccionSupervisores[#Headers])))</f>
        <v>456</v>
      </c>
      <c r="Z312" cm="1">
        <f t="array" ref="Z312">SUM(TablaSupervisores[DISPOSITIVOS BACNET IP]*INDEX(TablaSeleccionSupervisores[],ROW(TablaSeleccionSupervisores[[#This Row],[ORDEN]])-1,_xlfn.XMATCH(TablaSupervisores[REFERENCIA],TablaSeleccionSupervisores[#Headers])))</f>
        <v>1420</v>
      </c>
      <c r="AA312" cm="1">
        <f t="array" ref="AA312">SUM(TablaSupervisores[OBJETOS]*INDEX(TablaSeleccionSupervisores[],ROW(TablaSeleccionSupervisores[[#This Row],[ORDEN]])-1,_xlfn.XMATCH(TablaSupervisores[REFERENCIA],TablaSeleccionSupervisores[#Headers])))</f>
        <v>22500</v>
      </c>
      <c r="AB312" s="28" cm="1">
        <f t="array" ref="AB312">SUM(TablaSupervisores[COSTE]*INDEX(TablaSeleccionSupervisores[],ROW(TablaSeleccionSupervisores[[#This Row],[ORDEN]])-1,_xlfn.XMATCH(TablaSupervisores[REFERENCIA],TablaSeleccionSupervisores[#Headers])))</f>
        <v>27106.980000000003</v>
      </c>
      <c r="AC312" cm="1">
        <f t="array" ref="AC312">SUM(INDEX(TablaSeleccionSupervisores[],ROW(TablaSeleccionSupervisores[[#This Row],[ORDEN]])-1,_xlfn.XMATCH(TablaSupervisores[REFERENCIA],TablaSeleccionSupervisores[#Headers])))</f>
        <v>8</v>
      </c>
      <c r="AD312" t="str" cm="1">
        <f t="array" ref="AD312">IF(INDEX(TablaSeleccionSupervisores[],ROW(TablaSeleccionSupervisores[[#This Row],[ORDEN]])-1,_xlfn.XMATCH("ADMITIDO ADSLITE",TablaSeleccionSupervisores[#Headers])+1)=0,"Sí admitido","No admitido")</f>
        <v>No admitido</v>
      </c>
      <c r="AE312">
        <v>1</v>
      </c>
      <c r="AF312">
        <v>5</v>
      </c>
      <c r="AG312">
        <v>0</v>
      </c>
      <c r="AH312">
        <v>2</v>
      </c>
    </row>
    <row r="313" spans="22:34" x14ac:dyDescent="0.25">
      <c r="V313">
        <v>312</v>
      </c>
      <c r="W313" cm="1">
        <f t="array" ref="W313">SUM(TablaSupervisores[DISPOSITIVOS TOTAL]*INDEX(TablaSeleccionSupervisores[],ROW(TablaSeleccionSupervisores[[#This Row],[ORDEN]])-1,_xlfn.XMATCH(TablaSupervisores[REFERENCIA],TablaSeleccionSupervisores[#Headers])))</f>
        <v>908</v>
      </c>
      <c r="X313" cm="1">
        <f t="array" ref="X313">SUM(TablaSupervisores[DISPOSITIVOS BACNET MS/TP JC]*INDEX(TablaSeleccionSupervisores[],ROW(TablaSeleccionSupervisores[[#This Row],[ORDEN]])-1,_xlfn.XMATCH(TablaSupervisores[REFERENCIA],TablaSeleccionSupervisores[#Headers])))</f>
        <v>608</v>
      </c>
      <c r="Y313" cm="1">
        <f t="array" ref="Y313">SUM(TablaSupervisores[DISPOSITIVOS BACNET MS/TP COMPATIBLES]*INDEX(TablaSeleccionSupervisores[],ROW(TablaSeleccionSupervisores[[#This Row],[ORDEN]])-1,_xlfn.XMATCH(TablaSupervisores[REFERENCIA],TablaSeleccionSupervisores[#Headers])))</f>
        <v>392</v>
      </c>
      <c r="Z313" cm="1">
        <f t="array" ref="Z313">SUM(TablaSupervisores[DISPOSITIVOS BACNET IP]*INDEX(TablaSeleccionSupervisores[],ROW(TablaSeleccionSupervisores[[#This Row],[ORDEN]])-1,_xlfn.XMATCH(TablaSupervisores[REFERENCIA],TablaSeleccionSupervisores[#Headers])))</f>
        <v>1220</v>
      </c>
      <c r="AA313" cm="1">
        <f t="array" ref="AA313">SUM(TablaSupervisores[OBJETOS]*INDEX(TablaSeleccionSupervisores[],ROW(TablaSeleccionSupervisores[[#This Row],[ORDEN]])-1,_xlfn.XMATCH(TablaSupervisores[REFERENCIA],TablaSeleccionSupervisores[#Headers])))</f>
        <v>20000</v>
      </c>
      <c r="AB313" s="28" cm="1">
        <f t="array" ref="AB313">SUM(TablaSupervisores[COSTE]*INDEX(TablaSeleccionSupervisores[],ROW(TablaSeleccionSupervisores[[#This Row],[ORDEN]])-1,_xlfn.XMATCH(TablaSupervisores[REFERENCIA],TablaSeleccionSupervisores[#Headers])))</f>
        <v>25429.08</v>
      </c>
      <c r="AC313" cm="1">
        <f t="array" ref="AC313">SUM(INDEX(TablaSeleccionSupervisores[],ROW(TablaSeleccionSupervisores[[#This Row],[ORDEN]])-1,_xlfn.XMATCH(TablaSupervisores[REFERENCIA],TablaSeleccionSupervisores[#Headers])))</f>
        <v>8</v>
      </c>
      <c r="AD313" t="str" cm="1">
        <f t="array" ref="AD313">IF(INDEX(TablaSeleccionSupervisores[],ROW(TablaSeleccionSupervisores[[#This Row],[ORDEN]])-1,_xlfn.XMATCH("ADMITIDO ADSLITE",TablaSeleccionSupervisores[#Headers])+1)=0,"Sí admitido","No admitido")</f>
        <v>Sí admitido</v>
      </c>
      <c r="AE313">
        <v>0</v>
      </c>
      <c r="AF313">
        <v>6</v>
      </c>
      <c r="AG313">
        <v>0</v>
      </c>
      <c r="AH313">
        <v>2</v>
      </c>
    </row>
    <row r="314" spans="22:34" x14ac:dyDescent="0.25">
      <c r="V314">
        <v>313</v>
      </c>
      <c r="W314" cm="1">
        <f t="array" ref="W314">SUM(TablaSupervisores[DISPOSITIVOS TOTAL]*INDEX(TablaSeleccionSupervisores[],ROW(TablaSeleccionSupervisores[[#This Row],[ORDEN]])-1,_xlfn.XMATCH(TablaSupervisores[REFERENCIA],TablaSeleccionSupervisores[#Headers])))</f>
        <v>68</v>
      </c>
      <c r="X314" cm="1">
        <f t="array" ref="X314">SUM(TablaSupervisores[DISPOSITIVOS BACNET MS/TP JC]*INDEX(TablaSeleccionSupervisores[],ROW(TablaSeleccionSupervisores[[#This Row],[ORDEN]])-1,_xlfn.XMATCH(TablaSupervisores[REFERENCIA],TablaSeleccionSupervisores[#Headers])))</f>
        <v>58</v>
      </c>
      <c r="Y314" cm="1">
        <f t="array" ref="Y314">SUM(TablaSupervisores[DISPOSITIVOS BACNET MS/TP COMPATIBLES]*INDEX(TablaSeleccionSupervisores[],ROW(TablaSeleccionSupervisores[[#This Row],[ORDEN]])-1,_xlfn.XMATCH(TablaSupervisores[REFERENCIA],TablaSeleccionSupervisores[#Headers])))</f>
        <v>40</v>
      </c>
      <c r="Z314" cm="1">
        <f t="array" ref="Z314">SUM(TablaSupervisores[DISPOSITIVOS BACNET IP]*INDEX(TablaSeleccionSupervisores[],ROW(TablaSeleccionSupervisores[[#This Row],[ORDEN]])-1,_xlfn.XMATCH(TablaSupervisores[REFERENCIA],TablaSeleccionSupervisores[#Headers])))</f>
        <v>120</v>
      </c>
      <c r="AA314" cm="1">
        <f t="array" ref="AA314">SUM(TablaSupervisores[OBJETOS]*INDEX(TablaSeleccionSupervisores[],ROW(TablaSeleccionSupervisores[[#This Row],[ORDEN]])-1,_xlfn.XMATCH(TablaSupervisores[REFERENCIA],TablaSeleccionSupervisores[#Headers])))</f>
        <v>7500</v>
      </c>
      <c r="AB314" s="28" cm="1">
        <f t="array" ref="AB314">SUM(TablaSupervisores[COSTE]*INDEX(TablaSeleccionSupervisores[],ROW(TablaSeleccionSupervisores[[#This Row],[ORDEN]])-1,_xlfn.XMATCH(TablaSupervisores[REFERENCIA],TablaSeleccionSupervisores[#Headers])))</f>
        <v>2920.1800000000003</v>
      </c>
      <c r="AC314" cm="1">
        <f t="array" ref="AC314">SUM(INDEX(TablaSeleccionSupervisores[],ROW(TablaSeleccionSupervisores[[#This Row],[ORDEN]])-1,_xlfn.XMATCH(TablaSupervisores[REFERENCIA],TablaSeleccionSupervisores[#Headers])))</f>
        <v>3</v>
      </c>
      <c r="AD314" t="str" cm="1">
        <f t="array" ref="AD314">IF(INDEX(TablaSeleccionSupervisores[],ROW(TablaSeleccionSupervisores[[#This Row],[ORDEN]])-1,_xlfn.XMATCH("ADMITIDO ADSLITE",TablaSeleccionSupervisores[#Headers])+1)=0,"Sí admitido","No admitido")</f>
        <v>Sí admitido</v>
      </c>
      <c r="AE314">
        <v>0</v>
      </c>
      <c r="AF314">
        <v>0</v>
      </c>
      <c r="AG314">
        <v>1</v>
      </c>
      <c r="AH314">
        <v>2</v>
      </c>
    </row>
    <row r="315" spans="22:34" x14ac:dyDescent="0.25">
      <c r="V315">
        <v>314</v>
      </c>
      <c r="W315" cm="1">
        <f t="array" ref="W315">SUM(TablaSupervisores[DISPOSITIVOS TOTAL]*INDEX(TablaSeleccionSupervisores[],ROW(TablaSeleccionSupervisores[[#This Row],[ORDEN]])-1,_xlfn.XMATCH(TablaSupervisores[REFERENCIA],TablaSeleccionSupervisores[#Headers])))</f>
        <v>668</v>
      </c>
      <c r="X315" cm="1">
        <f t="array" ref="X315">SUM(TablaSupervisores[DISPOSITIVOS BACNET MS/TP JC]*INDEX(TablaSeleccionSupervisores[],ROW(TablaSeleccionSupervisores[[#This Row],[ORDEN]])-1,_xlfn.XMATCH(TablaSupervisores[REFERENCIA],TablaSeleccionSupervisores[#Headers])))</f>
        <v>258</v>
      </c>
      <c r="Y315" cm="1">
        <f t="array" ref="Y315">SUM(TablaSupervisores[DISPOSITIVOS BACNET MS/TP COMPATIBLES]*INDEX(TablaSeleccionSupervisores[],ROW(TablaSeleccionSupervisores[[#This Row],[ORDEN]])-1,_xlfn.XMATCH(TablaSupervisores[REFERENCIA],TablaSeleccionSupervisores[#Headers])))</f>
        <v>168</v>
      </c>
      <c r="Z315" cm="1">
        <f t="array" ref="Z315">SUM(TablaSupervisores[DISPOSITIVOS BACNET IP]*INDEX(TablaSeleccionSupervisores[],ROW(TablaSeleccionSupervisores[[#This Row],[ORDEN]])-1,_xlfn.XMATCH(TablaSupervisores[REFERENCIA],TablaSeleccionSupervisores[#Headers])))</f>
        <v>520</v>
      </c>
      <c r="AA315" cm="1">
        <f t="array" ref="AA315">SUM(TablaSupervisores[OBJETOS]*INDEX(TablaSeleccionSupervisores[],ROW(TablaSeleccionSupervisores[[#This Row],[ORDEN]])-1,_xlfn.XMATCH(TablaSupervisores[REFERENCIA],TablaSeleccionSupervisores[#Headers])))</f>
        <v>12500</v>
      </c>
      <c r="AB315" s="28" cm="1">
        <f t="array" ref="AB315">SUM(TablaSupervisores[COSTE]*INDEX(TablaSeleccionSupervisores[],ROW(TablaSeleccionSupervisores[[#This Row],[ORDEN]])-1,_xlfn.XMATCH(TablaSupervisores[REFERENCIA],TablaSeleccionSupervisores[#Headers])))</f>
        <v>8586.8100000000013</v>
      </c>
      <c r="AC315" cm="1">
        <f t="array" ref="AC315">SUM(INDEX(TablaSeleccionSupervisores[],ROW(TablaSeleccionSupervisores[[#This Row],[ORDEN]])-1,_xlfn.XMATCH(TablaSupervisores[REFERENCIA],TablaSeleccionSupervisores[#Headers])))</f>
        <v>4</v>
      </c>
      <c r="AD315" t="str" cm="1">
        <f t="array" ref="AD315">IF(INDEX(TablaSeleccionSupervisores[],ROW(TablaSeleccionSupervisores[[#This Row],[ORDEN]])-1,_xlfn.XMATCH("ADMITIDO ADSLITE",TablaSeleccionSupervisores[#Headers])+1)=0,"Sí admitido","No admitido")</f>
        <v>No admitido</v>
      </c>
      <c r="AE315">
        <v>1</v>
      </c>
      <c r="AF315">
        <v>0</v>
      </c>
      <c r="AG315">
        <v>1</v>
      </c>
      <c r="AH315">
        <v>2</v>
      </c>
    </row>
    <row r="316" spans="22:34" x14ac:dyDescent="0.25">
      <c r="V316">
        <v>315</v>
      </c>
      <c r="W316" cm="1">
        <f t="array" ref="W316">SUM(TablaSupervisores[DISPOSITIVOS TOTAL]*INDEX(TablaSeleccionSupervisores[],ROW(TablaSeleccionSupervisores[[#This Row],[ORDEN]])-1,_xlfn.XMATCH(TablaSupervisores[REFERENCIA],TablaSeleccionSupervisores[#Headers])))</f>
        <v>1268</v>
      </c>
      <c r="X316" cm="1">
        <f t="array" ref="X316">SUM(TablaSupervisores[DISPOSITIVOS BACNET MS/TP JC]*INDEX(TablaSeleccionSupervisores[],ROW(TablaSeleccionSupervisores[[#This Row],[ORDEN]])-1,_xlfn.XMATCH(TablaSupervisores[REFERENCIA],TablaSeleccionSupervisores[#Headers])))</f>
        <v>458</v>
      </c>
      <c r="Y316" cm="1">
        <f t="array" ref="Y316">SUM(TablaSupervisores[DISPOSITIVOS BACNET MS/TP COMPATIBLES]*INDEX(TablaSeleccionSupervisores[],ROW(TablaSeleccionSupervisores[[#This Row],[ORDEN]])-1,_xlfn.XMATCH(TablaSupervisores[REFERENCIA],TablaSeleccionSupervisores[#Headers])))</f>
        <v>296</v>
      </c>
      <c r="Z316" cm="1">
        <f t="array" ref="Z316">SUM(TablaSupervisores[DISPOSITIVOS BACNET IP]*INDEX(TablaSeleccionSupervisores[],ROW(TablaSeleccionSupervisores[[#This Row],[ORDEN]])-1,_xlfn.XMATCH(TablaSupervisores[REFERENCIA],TablaSeleccionSupervisores[#Headers])))</f>
        <v>920</v>
      </c>
      <c r="AA316" cm="1">
        <f t="array" ref="AA316">SUM(TablaSupervisores[OBJETOS]*INDEX(TablaSeleccionSupervisores[],ROW(TablaSeleccionSupervisores[[#This Row],[ORDEN]])-1,_xlfn.XMATCH(TablaSupervisores[REFERENCIA],TablaSeleccionSupervisores[#Headers])))</f>
        <v>17500</v>
      </c>
      <c r="AB316" s="28" cm="1">
        <f t="array" ref="AB316">SUM(TablaSupervisores[COSTE]*INDEX(TablaSeleccionSupervisores[],ROW(TablaSeleccionSupervisores[[#This Row],[ORDEN]])-1,_xlfn.XMATCH(TablaSupervisores[REFERENCIA],TablaSeleccionSupervisores[#Headers])))</f>
        <v>14253.44</v>
      </c>
      <c r="AC316" cm="1">
        <f t="array" ref="AC316">SUM(INDEX(TablaSeleccionSupervisores[],ROW(TablaSeleccionSupervisores[[#This Row],[ORDEN]])-1,_xlfn.XMATCH(TablaSupervisores[REFERENCIA],TablaSeleccionSupervisores[#Headers])))</f>
        <v>5</v>
      </c>
      <c r="AD316" t="str" cm="1">
        <f t="array" ref="AD316">IF(INDEX(TablaSeleccionSupervisores[],ROW(TablaSeleccionSupervisores[[#This Row],[ORDEN]])-1,_xlfn.XMATCH("ADMITIDO ADSLITE",TablaSeleccionSupervisores[#Headers])+1)=0,"Sí admitido","No admitido")</f>
        <v>No admitido</v>
      </c>
      <c r="AE316">
        <v>2</v>
      </c>
      <c r="AF316">
        <v>0</v>
      </c>
      <c r="AG316">
        <v>1</v>
      </c>
      <c r="AH316">
        <v>2</v>
      </c>
    </row>
    <row r="317" spans="22:34" x14ac:dyDescent="0.25">
      <c r="V317">
        <v>316</v>
      </c>
      <c r="W317" cm="1">
        <f t="array" ref="W317">SUM(TablaSupervisores[DISPOSITIVOS TOTAL]*INDEX(TablaSeleccionSupervisores[],ROW(TablaSeleccionSupervisores[[#This Row],[ORDEN]])-1,_xlfn.XMATCH(TablaSupervisores[REFERENCIA],TablaSeleccionSupervisores[#Headers])))</f>
        <v>1868</v>
      </c>
      <c r="X317" cm="1">
        <f t="array" ref="X317">SUM(TablaSupervisores[DISPOSITIVOS BACNET MS/TP JC]*INDEX(TablaSeleccionSupervisores[],ROW(TablaSeleccionSupervisores[[#This Row],[ORDEN]])-1,_xlfn.XMATCH(TablaSupervisores[REFERENCIA],TablaSeleccionSupervisores[#Headers])))</f>
        <v>658</v>
      </c>
      <c r="Y317" cm="1">
        <f t="array" ref="Y317">SUM(TablaSupervisores[DISPOSITIVOS BACNET MS/TP COMPATIBLES]*INDEX(TablaSeleccionSupervisores[],ROW(TablaSeleccionSupervisores[[#This Row],[ORDEN]])-1,_xlfn.XMATCH(TablaSupervisores[REFERENCIA],TablaSeleccionSupervisores[#Headers])))</f>
        <v>424</v>
      </c>
      <c r="Z317" cm="1">
        <f t="array" ref="Z317">SUM(TablaSupervisores[DISPOSITIVOS BACNET IP]*INDEX(TablaSeleccionSupervisores[],ROW(TablaSeleccionSupervisores[[#This Row],[ORDEN]])-1,_xlfn.XMATCH(TablaSupervisores[REFERENCIA],TablaSeleccionSupervisores[#Headers])))</f>
        <v>1320</v>
      </c>
      <c r="AA317" cm="1">
        <f t="array" ref="AA317">SUM(TablaSupervisores[OBJETOS]*INDEX(TablaSeleccionSupervisores[],ROW(TablaSeleccionSupervisores[[#This Row],[ORDEN]])-1,_xlfn.XMATCH(TablaSupervisores[REFERENCIA],TablaSeleccionSupervisores[#Headers])))</f>
        <v>22500</v>
      </c>
      <c r="AB317" s="28" cm="1">
        <f t="array" ref="AB317">SUM(TablaSupervisores[COSTE]*INDEX(TablaSeleccionSupervisores[],ROW(TablaSeleccionSupervisores[[#This Row],[ORDEN]])-1,_xlfn.XMATCH(TablaSupervisores[REFERENCIA],TablaSeleccionSupervisores[#Headers])))</f>
        <v>19920.07</v>
      </c>
      <c r="AC317" cm="1">
        <f t="array" ref="AC317">SUM(INDEX(TablaSeleccionSupervisores[],ROW(TablaSeleccionSupervisores[[#This Row],[ORDEN]])-1,_xlfn.XMATCH(TablaSupervisores[REFERENCIA],TablaSeleccionSupervisores[#Headers])))</f>
        <v>6</v>
      </c>
      <c r="AD317" t="str" cm="1">
        <f t="array" ref="AD317">IF(INDEX(TablaSeleccionSupervisores[],ROW(TablaSeleccionSupervisores[[#This Row],[ORDEN]])-1,_xlfn.XMATCH("ADMITIDO ADSLITE",TablaSeleccionSupervisores[#Headers])+1)=0,"Sí admitido","No admitido")</f>
        <v>No admitido</v>
      </c>
      <c r="AE317">
        <v>3</v>
      </c>
      <c r="AF317">
        <v>0</v>
      </c>
      <c r="AG317">
        <v>1</v>
      </c>
      <c r="AH317">
        <v>2</v>
      </c>
    </row>
    <row r="318" spans="22:34" x14ac:dyDescent="0.25">
      <c r="V318">
        <v>317</v>
      </c>
      <c r="W318" cm="1">
        <f t="array" ref="W318">SUM(TablaSupervisores[DISPOSITIVOS TOTAL]*INDEX(TablaSeleccionSupervisores[],ROW(TablaSeleccionSupervisores[[#This Row],[ORDEN]])-1,_xlfn.XMATCH(TablaSupervisores[REFERENCIA],TablaSeleccionSupervisores[#Headers])))</f>
        <v>2468</v>
      </c>
      <c r="X318" cm="1">
        <f t="array" ref="X318">SUM(TablaSupervisores[DISPOSITIVOS BACNET MS/TP JC]*INDEX(TablaSeleccionSupervisores[],ROW(TablaSeleccionSupervisores[[#This Row],[ORDEN]])-1,_xlfn.XMATCH(TablaSupervisores[REFERENCIA],TablaSeleccionSupervisores[#Headers])))</f>
        <v>858</v>
      </c>
      <c r="Y318" cm="1">
        <f t="array" ref="Y318">SUM(TablaSupervisores[DISPOSITIVOS BACNET MS/TP COMPATIBLES]*INDEX(TablaSeleccionSupervisores[],ROW(TablaSeleccionSupervisores[[#This Row],[ORDEN]])-1,_xlfn.XMATCH(TablaSupervisores[REFERENCIA],TablaSeleccionSupervisores[#Headers])))</f>
        <v>552</v>
      </c>
      <c r="Z318" cm="1">
        <f t="array" ref="Z318">SUM(TablaSupervisores[DISPOSITIVOS BACNET IP]*INDEX(TablaSeleccionSupervisores[],ROW(TablaSeleccionSupervisores[[#This Row],[ORDEN]])-1,_xlfn.XMATCH(TablaSupervisores[REFERENCIA],TablaSeleccionSupervisores[#Headers])))</f>
        <v>1720</v>
      </c>
      <c r="AA318" cm="1">
        <f t="array" ref="AA318">SUM(TablaSupervisores[OBJETOS]*INDEX(TablaSeleccionSupervisores[],ROW(TablaSeleccionSupervisores[[#This Row],[ORDEN]])-1,_xlfn.XMATCH(TablaSupervisores[REFERENCIA],TablaSeleccionSupervisores[#Headers])))</f>
        <v>27500</v>
      </c>
      <c r="AB318" s="28" cm="1">
        <f t="array" ref="AB318">SUM(TablaSupervisores[COSTE]*INDEX(TablaSeleccionSupervisores[],ROW(TablaSeleccionSupervisores[[#This Row],[ORDEN]])-1,_xlfn.XMATCH(TablaSupervisores[REFERENCIA],TablaSeleccionSupervisores[#Headers])))</f>
        <v>25586.7</v>
      </c>
      <c r="AC318" cm="1">
        <f t="array" ref="AC318">SUM(INDEX(TablaSeleccionSupervisores[],ROW(TablaSeleccionSupervisores[[#This Row],[ORDEN]])-1,_xlfn.XMATCH(TablaSupervisores[REFERENCIA],TablaSeleccionSupervisores[#Headers])))</f>
        <v>7</v>
      </c>
      <c r="AD318" t="str" cm="1">
        <f t="array" ref="AD318">IF(INDEX(TablaSeleccionSupervisores[],ROW(TablaSeleccionSupervisores[[#This Row],[ORDEN]])-1,_xlfn.XMATCH("ADMITIDO ADSLITE",TablaSeleccionSupervisores[#Headers])+1)=0,"Sí admitido","No admitido")</f>
        <v>No admitido</v>
      </c>
      <c r="AE318">
        <v>4</v>
      </c>
      <c r="AF318">
        <v>0</v>
      </c>
      <c r="AG318">
        <v>1</v>
      </c>
      <c r="AH318">
        <v>2</v>
      </c>
    </row>
    <row r="319" spans="22:34" x14ac:dyDescent="0.25">
      <c r="V319">
        <v>318</v>
      </c>
      <c r="W319" cm="1">
        <f t="array" ref="W319">SUM(TablaSupervisores[DISPOSITIVOS TOTAL]*INDEX(TablaSeleccionSupervisores[],ROW(TablaSeleccionSupervisores[[#This Row],[ORDEN]])-1,_xlfn.XMATCH(TablaSupervisores[REFERENCIA],TablaSeleccionSupervisores[#Headers])))</f>
        <v>3068</v>
      </c>
      <c r="X319" cm="1">
        <f t="array" ref="X319">SUM(TablaSupervisores[DISPOSITIVOS BACNET MS/TP JC]*INDEX(TablaSeleccionSupervisores[],ROW(TablaSeleccionSupervisores[[#This Row],[ORDEN]])-1,_xlfn.XMATCH(TablaSupervisores[REFERENCIA],TablaSeleccionSupervisores[#Headers])))</f>
        <v>1058</v>
      </c>
      <c r="Y319" cm="1">
        <f t="array" ref="Y319">SUM(TablaSupervisores[DISPOSITIVOS BACNET MS/TP COMPATIBLES]*INDEX(TablaSeleccionSupervisores[],ROW(TablaSeleccionSupervisores[[#This Row],[ORDEN]])-1,_xlfn.XMATCH(TablaSupervisores[REFERENCIA],TablaSeleccionSupervisores[#Headers])))</f>
        <v>680</v>
      </c>
      <c r="Z319" cm="1">
        <f t="array" ref="Z319">SUM(TablaSupervisores[DISPOSITIVOS BACNET IP]*INDEX(TablaSeleccionSupervisores[],ROW(TablaSeleccionSupervisores[[#This Row],[ORDEN]])-1,_xlfn.XMATCH(TablaSupervisores[REFERENCIA],TablaSeleccionSupervisores[#Headers])))</f>
        <v>2120</v>
      </c>
      <c r="AA319" cm="1">
        <f t="array" ref="AA319">SUM(TablaSupervisores[OBJETOS]*INDEX(TablaSeleccionSupervisores[],ROW(TablaSeleccionSupervisores[[#This Row],[ORDEN]])-1,_xlfn.XMATCH(TablaSupervisores[REFERENCIA],TablaSeleccionSupervisores[#Headers])))</f>
        <v>32500</v>
      </c>
      <c r="AB319" s="28" cm="1">
        <f t="array" ref="AB319">SUM(TablaSupervisores[COSTE]*INDEX(TablaSeleccionSupervisores[],ROW(TablaSeleccionSupervisores[[#This Row],[ORDEN]])-1,_xlfn.XMATCH(TablaSupervisores[REFERENCIA],TablaSeleccionSupervisores[#Headers])))</f>
        <v>31253.33</v>
      </c>
      <c r="AC319" cm="1">
        <f t="array" ref="AC319">SUM(INDEX(TablaSeleccionSupervisores[],ROW(TablaSeleccionSupervisores[[#This Row],[ORDEN]])-1,_xlfn.XMATCH(TablaSupervisores[REFERENCIA],TablaSeleccionSupervisores[#Headers])))</f>
        <v>8</v>
      </c>
      <c r="AD319" t="str" cm="1">
        <f t="array" ref="AD319">IF(INDEX(TablaSeleccionSupervisores[],ROW(TablaSeleccionSupervisores[[#This Row],[ORDEN]])-1,_xlfn.XMATCH("ADMITIDO ADSLITE",TablaSeleccionSupervisores[#Headers])+1)=0,"Sí admitido","No admitido")</f>
        <v>No admitido</v>
      </c>
      <c r="AE319">
        <v>5</v>
      </c>
      <c r="AF319">
        <v>0</v>
      </c>
      <c r="AG319">
        <v>1</v>
      </c>
      <c r="AH319">
        <v>2</v>
      </c>
    </row>
    <row r="320" spans="22:34" x14ac:dyDescent="0.25">
      <c r="V320">
        <v>319</v>
      </c>
      <c r="W320" cm="1">
        <f t="array" ref="W320">SUM(TablaSupervisores[DISPOSITIVOS TOTAL]*INDEX(TablaSeleccionSupervisores[],ROW(TablaSeleccionSupervisores[[#This Row],[ORDEN]])-1,_xlfn.XMATCH(TablaSupervisores[REFERENCIA],TablaSeleccionSupervisores[#Headers])))</f>
        <v>218</v>
      </c>
      <c r="X320" cm="1">
        <f t="array" ref="X320">SUM(TablaSupervisores[DISPOSITIVOS BACNET MS/TP JC]*INDEX(TablaSeleccionSupervisores[],ROW(TablaSeleccionSupervisores[[#This Row],[ORDEN]])-1,_xlfn.XMATCH(TablaSupervisores[REFERENCIA],TablaSeleccionSupervisores[#Headers])))</f>
        <v>158</v>
      </c>
      <c r="Y320" cm="1">
        <f t="array" ref="Y320">SUM(TablaSupervisores[DISPOSITIVOS BACNET MS/TP COMPATIBLES]*INDEX(TablaSeleccionSupervisores[],ROW(TablaSeleccionSupervisores[[#This Row],[ORDEN]])-1,_xlfn.XMATCH(TablaSupervisores[REFERENCIA],TablaSeleccionSupervisores[#Headers])))</f>
        <v>104</v>
      </c>
      <c r="Z320" cm="1">
        <f t="array" ref="Z320">SUM(TablaSupervisores[DISPOSITIVOS BACNET IP]*INDEX(TablaSeleccionSupervisores[],ROW(TablaSeleccionSupervisores[[#This Row],[ORDEN]])-1,_xlfn.XMATCH(TablaSupervisores[REFERENCIA],TablaSeleccionSupervisores[#Headers])))</f>
        <v>320</v>
      </c>
      <c r="AA320" cm="1">
        <f t="array" ref="AA320">SUM(TablaSupervisores[OBJETOS]*INDEX(TablaSeleccionSupervisores[],ROW(TablaSeleccionSupervisores[[#This Row],[ORDEN]])-1,_xlfn.XMATCH(TablaSupervisores[REFERENCIA],TablaSeleccionSupervisores[#Headers])))</f>
        <v>10000</v>
      </c>
      <c r="AB320" s="28" cm="1">
        <f t="array" ref="AB320">SUM(TablaSupervisores[COSTE]*INDEX(TablaSeleccionSupervisores[],ROW(TablaSeleccionSupervisores[[#This Row],[ORDEN]])-1,_xlfn.XMATCH(TablaSupervisores[REFERENCIA],TablaSeleccionSupervisores[#Headers])))</f>
        <v>6908.91</v>
      </c>
      <c r="AC320" cm="1">
        <f t="array" ref="AC320">SUM(INDEX(TablaSeleccionSupervisores[],ROW(TablaSeleccionSupervisores[[#This Row],[ORDEN]])-1,_xlfn.XMATCH(TablaSupervisores[REFERENCIA],TablaSeleccionSupervisores[#Headers])))</f>
        <v>4</v>
      </c>
      <c r="AD320" t="str" cm="1">
        <f t="array" ref="AD320">IF(INDEX(TablaSeleccionSupervisores[],ROW(TablaSeleccionSupervisores[[#This Row],[ORDEN]])-1,_xlfn.XMATCH("ADMITIDO ADSLITE",TablaSeleccionSupervisores[#Headers])+1)=0,"Sí admitido","No admitido")</f>
        <v>Sí admitido</v>
      </c>
      <c r="AE320">
        <v>0</v>
      </c>
      <c r="AF320">
        <v>1</v>
      </c>
      <c r="AG320">
        <v>1</v>
      </c>
      <c r="AH320">
        <v>2</v>
      </c>
    </row>
    <row r="321" spans="22:34" x14ac:dyDescent="0.25">
      <c r="V321">
        <v>320</v>
      </c>
      <c r="W321" cm="1">
        <f t="array" ref="W321">SUM(TablaSupervisores[DISPOSITIVOS TOTAL]*INDEX(TablaSeleccionSupervisores[],ROW(TablaSeleccionSupervisores[[#This Row],[ORDEN]])-1,_xlfn.XMATCH(TablaSupervisores[REFERENCIA],TablaSeleccionSupervisores[#Headers])))</f>
        <v>818</v>
      </c>
      <c r="X321" cm="1">
        <f t="array" ref="X321">SUM(TablaSupervisores[DISPOSITIVOS BACNET MS/TP JC]*INDEX(TablaSeleccionSupervisores[],ROW(TablaSeleccionSupervisores[[#This Row],[ORDEN]])-1,_xlfn.XMATCH(TablaSupervisores[REFERENCIA],TablaSeleccionSupervisores[#Headers])))</f>
        <v>358</v>
      </c>
      <c r="Y321" cm="1">
        <f t="array" ref="Y321">SUM(TablaSupervisores[DISPOSITIVOS BACNET MS/TP COMPATIBLES]*INDEX(TablaSeleccionSupervisores[],ROW(TablaSeleccionSupervisores[[#This Row],[ORDEN]])-1,_xlfn.XMATCH(TablaSupervisores[REFERENCIA],TablaSeleccionSupervisores[#Headers])))</f>
        <v>232</v>
      </c>
      <c r="Z321" cm="1">
        <f t="array" ref="Z321">SUM(TablaSupervisores[DISPOSITIVOS BACNET IP]*INDEX(TablaSeleccionSupervisores[],ROW(TablaSeleccionSupervisores[[#This Row],[ORDEN]])-1,_xlfn.XMATCH(TablaSupervisores[REFERENCIA],TablaSeleccionSupervisores[#Headers])))</f>
        <v>720</v>
      </c>
      <c r="AA321" cm="1">
        <f t="array" ref="AA321">SUM(TablaSupervisores[OBJETOS]*INDEX(TablaSeleccionSupervisores[],ROW(TablaSeleccionSupervisores[[#This Row],[ORDEN]])-1,_xlfn.XMATCH(TablaSupervisores[REFERENCIA],TablaSeleccionSupervisores[#Headers])))</f>
        <v>15000</v>
      </c>
      <c r="AB321" s="28" cm="1">
        <f t="array" ref="AB321">SUM(TablaSupervisores[COSTE]*INDEX(TablaSeleccionSupervisores[],ROW(TablaSeleccionSupervisores[[#This Row],[ORDEN]])-1,_xlfn.XMATCH(TablaSupervisores[REFERENCIA],TablaSeleccionSupervisores[#Headers])))</f>
        <v>12575.54</v>
      </c>
      <c r="AC321" cm="1">
        <f t="array" ref="AC321">SUM(INDEX(TablaSeleccionSupervisores[],ROW(TablaSeleccionSupervisores[[#This Row],[ORDEN]])-1,_xlfn.XMATCH(TablaSupervisores[REFERENCIA],TablaSeleccionSupervisores[#Headers])))</f>
        <v>5</v>
      </c>
      <c r="AD321" t="str" cm="1">
        <f t="array" ref="AD321">IF(INDEX(TablaSeleccionSupervisores[],ROW(TablaSeleccionSupervisores[[#This Row],[ORDEN]])-1,_xlfn.XMATCH("ADMITIDO ADSLITE",TablaSeleccionSupervisores[#Headers])+1)=0,"Sí admitido","No admitido")</f>
        <v>No admitido</v>
      </c>
      <c r="AE321">
        <v>1</v>
      </c>
      <c r="AF321">
        <v>1</v>
      </c>
      <c r="AG321">
        <v>1</v>
      </c>
      <c r="AH321">
        <v>2</v>
      </c>
    </row>
    <row r="322" spans="22:34" x14ac:dyDescent="0.25">
      <c r="V322">
        <v>321</v>
      </c>
      <c r="W322" cm="1">
        <f t="array" ref="W322">SUM(TablaSupervisores[DISPOSITIVOS TOTAL]*INDEX(TablaSeleccionSupervisores[],ROW(TablaSeleccionSupervisores[[#This Row],[ORDEN]])-1,_xlfn.XMATCH(TablaSupervisores[REFERENCIA],TablaSeleccionSupervisores[#Headers])))</f>
        <v>1418</v>
      </c>
      <c r="X322" cm="1">
        <f t="array" ref="X322">SUM(TablaSupervisores[DISPOSITIVOS BACNET MS/TP JC]*INDEX(TablaSeleccionSupervisores[],ROW(TablaSeleccionSupervisores[[#This Row],[ORDEN]])-1,_xlfn.XMATCH(TablaSupervisores[REFERENCIA],TablaSeleccionSupervisores[#Headers])))</f>
        <v>558</v>
      </c>
      <c r="Y322" cm="1">
        <f t="array" ref="Y322">SUM(TablaSupervisores[DISPOSITIVOS BACNET MS/TP COMPATIBLES]*INDEX(TablaSeleccionSupervisores[],ROW(TablaSeleccionSupervisores[[#This Row],[ORDEN]])-1,_xlfn.XMATCH(TablaSupervisores[REFERENCIA],TablaSeleccionSupervisores[#Headers])))</f>
        <v>360</v>
      </c>
      <c r="Z322" cm="1">
        <f t="array" ref="Z322">SUM(TablaSupervisores[DISPOSITIVOS BACNET IP]*INDEX(TablaSeleccionSupervisores[],ROW(TablaSeleccionSupervisores[[#This Row],[ORDEN]])-1,_xlfn.XMATCH(TablaSupervisores[REFERENCIA],TablaSeleccionSupervisores[#Headers])))</f>
        <v>1120</v>
      </c>
      <c r="AA322" cm="1">
        <f t="array" ref="AA322">SUM(TablaSupervisores[OBJETOS]*INDEX(TablaSeleccionSupervisores[],ROW(TablaSeleccionSupervisores[[#This Row],[ORDEN]])-1,_xlfn.XMATCH(TablaSupervisores[REFERENCIA],TablaSeleccionSupervisores[#Headers])))</f>
        <v>20000</v>
      </c>
      <c r="AB322" s="28" cm="1">
        <f t="array" ref="AB322">SUM(TablaSupervisores[COSTE]*INDEX(TablaSeleccionSupervisores[],ROW(TablaSeleccionSupervisores[[#This Row],[ORDEN]])-1,_xlfn.XMATCH(TablaSupervisores[REFERENCIA],TablaSeleccionSupervisores[#Headers])))</f>
        <v>18242.170000000002</v>
      </c>
      <c r="AC322" cm="1">
        <f t="array" ref="AC322">SUM(INDEX(TablaSeleccionSupervisores[],ROW(TablaSeleccionSupervisores[[#This Row],[ORDEN]])-1,_xlfn.XMATCH(TablaSupervisores[REFERENCIA],TablaSeleccionSupervisores[#Headers])))</f>
        <v>6</v>
      </c>
      <c r="AD322" t="str" cm="1">
        <f t="array" ref="AD322">IF(INDEX(TablaSeleccionSupervisores[],ROW(TablaSeleccionSupervisores[[#This Row],[ORDEN]])-1,_xlfn.XMATCH("ADMITIDO ADSLITE",TablaSeleccionSupervisores[#Headers])+1)=0,"Sí admitido","No admitido")</f>
        <v>No admitido</v>
      </c>
      <c r="AE322">
        <v>2</v>
      </c>
      <c r="AF322">
        <v>1</v>
      </c>
      <c r="AG322">
        <v>1</v>
      </c>
      <c r="AH322">
        <v>2</v>
      </c>
    </row>
    <row r="323" spans="22:34" x14ac:dyDescent="0.25">
      <c r="V323">
        <v>322</v>
      </c>
      <c r="W323" cm="1">
        <f t="array" ref="W323">SUM(TablaSupervisores[DISPOSITIVOS TOTAL]*INDEX(TablaSeleccionSupervisores[],ROW(TablaSeleccionSupervisores[[#This Row],[ORDEN]])-1,_xlfn.XMATCH(TablaSupervisores[REFERENCIA],TablaSeleccionSupervisores[#Headers])))</f>
        <v>2018</v>
      </c>
      <c r="X323" cm="1">
        <f t="array" ref="X323">SUM(TablaSupervisores[DISPOSITIVOS BACNET MS/TP JC]*INDEX(TablaSeleccionSupervisores[],ROW(TablaSeleccionSupervisores[[#This Row],[ORDEN]])-1,_xlfn.XMATCH(TablaSupervisores[REFERENCIA],TablaSeleccionSupervisores[#Headers])))</f>
        <v>758</v>
      </c>
      <c r="Y323" cm="1">
        <f t="array" ref="Y323">SUM(TablaSupervisores[DISPOSITIVOS BACNET MS/TP COMPATIBLES]*INDEX(TablaSeleccionSupervisores[],ROW(TablaSeleccionSupervisores[[#This Row],[ORDEN]])-1,_xlfn.XMATCH(TablaSupervisores[REFERENCIA],TablaSeleccionSupervisores[#Headers])))</f>
        <v>488</v>
      </c>
      <c r="Z323" cm="1">
        <f t="array" ref="Z323">SUM(TablaSupervisores[DISPOSITIVOS BACNET IP]*INDEX(TablaSeleccionSupervisores[],ROW(TablaSeleccionSupervisores[[#This Row],[ORDEN]])-1,_xlfn.XMATCH(TablaSupervisores[REFERENCIA],TablaSeleccionSupervisores[#Headers])))</f>
        <v>1520</v>
      </c>
      <c r="AA323" cm="1">
        <f t="array" ref="AA323">SUM(TablaSupervisores[OBJETOS]*INDEX(TablaSeleccionSupervisores[],ROW(TablaSeleccionSupervisores[[#This Row],[ORDEN]])-1,_xlfn.XMATCH(TablaSupervisores[REFERENCIA],TablaSeleccionSupervisores[#Headers])))</f>
        <v>25000</v>
      </c>
      <c r="AB323" s="28" cm="1">
        <f t="array" ref="AB323">SUM(TablaSupervisores[COSTE]*INDEX(TablaSeleccionSupervisores[],ROW(TablaSeleccionSupervisores[[#This Row],[ORDEN]])-1,_xlfn.XMATCH(TablaSupervisores[REFERENCIA],TablaSeleccionSupervisores[#Headers])))</f>
        <v>23908.799999999999</v>
      </c>
      <c r="AC323" cm="1">
        <f t="array" ref="AC323">SUM(INDEX(TablaSeleccionSupervisores[],ROW(TablaSeleccionSupervisores[[#This Row],[ORDEN]])-1,_xlfn.XMATCH(TablaSupervisores[REFERENCIA],TablaSeleccionSupervisores[#Headers])))</f>
        <v>7</v>
      </c>
      <c r="AD323" t="str" cm="1">
        <f t="array" ref="AD323">IF(INDEX(TablaSeleccionSupervisores[],ROW(TablaSeleccionSupervisores[[#This Row],[ORDEN]])-1,_xlfn.XMATCH("ADMITIDO ADSLITE",TablaSeleccionSupervisores[#Headers])+1)=0,"Sí admitido","No admitido")</f>
        <v>No admitido</v>
      </c>
      <c r="AE323">
        <v>3</v>
      </c>
      <c r="AF323">
        <v>1</v>
      </c>
      <c r="AG323">
        <v>1</v>
      </c>
      <c r="AH323">
        <v>2</v>
      </c>
    </row>
    <row r="324" spans="22:34" x14ac:dyDescent="0.25">
      <c r="V324">
        <v>323</v>
      </c>
      <c r="W324" cm="1">
        <f t="array" ref="W324">SUM(TablaSupervisores[DISPOSITIVOS TOTAL]*INDEX(TablaSeleccionSupervisores[],ROW(TablaSeleccionSupervisores[[#This Row],[ORDEN]])-1,_xlfn.XMATCH(TablaSupervisores[REFERENCIA],TablaSeleccionSupervisores[#Headers])))</f>
        <v>2618</v>
      </c>
      <c r="X324" cm="1">
        <f t="array" ref="X324">SUM(TablaSupervisores[DISPOSITIVOS BACNET MS/TP JC]*INDEX(TablaSeleccionSupervisores[],ROW(TablaSeleccionSupervisores[[#This Row],[ORDEN]])-1,_xlfn.XMATCH(TablaSupervisores[REFERENCIA],TablaSeleccionSupervisores[#Headers])))</f>
        <v>958</v>
      </c>
      <c r="Y324" cm="1">
        <f t="array" ref="Y324">SUM(TablaSupervisores[DISPOSITIVOS BACNET MS/TP COMPATIBLES]*INDEX(TablaSeleccionSupervisores[],ROW(TablaSeleccionSupervisores[[#This Row],[ORDEN]])-1,_xlfn.XMATCH(TablaSupervisores[REFERENCIA],TablaSeleccionSupervisores[#Headers])))</f>
        <v>616</v>
      </c>
      <c r="Z324" cm="1">
        <f t="array" ref="Z324">SUM(TablaSupervisores[DISPOSITIVOS BACNET IP]*INDEX(TablaSeleccionSupervisores[],ROW(TablaSeleccionSupervisores[[#This Row],[ORDEN]])-1,_xlfn.XMATCH(TablaSupervisores[REFERENCIA],TablaSeleccionSupervisores[#Headers])))</f>
        <v>1920</v>
      </c>
      <c r="AA324" cm="1">
        <f t="array" ref="AA324">SUM(TablaSupervisores[OBJETOS]*INDEX(TablaSeleccionSupervisores[],ROW(TablaSeleccionSupervisores[[#This Row],[ORDEN]])-1,_xlfn.XMATCH(TablaSupervisores[REFERENCIA],TablaSeleccionSupervisores[#Headers])))</f>
        <v>30000</v>
      </c>
      <c r="AB324" s="28" cm="1">
        <f t="array" ref="AB324">SUM(TablaSupervisores[COSTE]*INDEX(TablaSeleccionSupervisores[],ROW(TablaSeleccionSupervisores[[#This Row],[ORDEN]])-1,_xlfn.XMATCH(TablaSupervisores[REFERENCIA],TablaSeleccionSupervisores[#Headers])))</f>
        <v>29575.43</v>
      </c>
      <c r="AC324" cm="1">
        <f t="array" ref="AC324">SUM(INDEX(TablaSeleccionSupervisores[],ROW(TablaSeleccionSupervisores[[#This Row],[ORDEN]])-1,_xlfn.XMATCH(TablaSupervisores[REFERENCIA],TablaSeleccionSupervisores[#Headers])))</f>
        <v>8</v>
      </c>
      <c r="AD324" t="str" cm="1">
        <f t="array" ref="AD324">IF(INDEX(TablaSeleccionSupervisores[],ROW(TablaSeleccionSupervisores[[#This Row],[ORDEN]])-1,_xlfn.XMATCH("ADMITIDO ADSLITE",TablaSeleccionSupervisores[#Headers])+1)=0,"Sí admitido","No admitido")</f>
        <v>No admitido</v>
      </c>
      <c r="AE324">
        <v>4</v>
      </c>
      <c r="AF324">
        <v>1</v>
      </c>
      <c r="AG324">
        <v>1</v>
      </c>
      <c r="AH324">
        <v>2</v>
      </c>
    </row>
    <row r="325" spans="22:34" x14ac:dyDescent="0.25">
      <c r="V325">
        <v>324</v>
      </c>
      <c r="W325" cm="1">
        <f t="array" ref="W325">SUM(TablaSupervisores[DISPOSITIVOS TOTAL]*INDEX(TablaSeleccionSupervisores[],ROW(TablaSeleccionSupervisores[[#This Row],[ORDEN]])-1,_xlfn.XMATCH(TablaSupervisores[REFERENCIA],TablaSeleccionSupervisores[#Headers])))</f>
        <v>368</v>
      </c>
      <c r="X325" cm="1">
        <f t="array" ref="X325">SUM(TablaSupervisores[DISPOSITIVOS BACNET MS/TP JC]*INDEX(TablaSeleccionSupervisores[],ROW(TablaSeleccionSupervisores[[#This Row],[ORDEN]])-1,_xlfn.XMATCH(TablaSupervisores[REFERENCIA],TablaSeleccionSupervisores[#Headers])))</f>
        <v>258</v>
      </c>
      <c r="Y325" cm="1">
        <f t="array" ref="Y325">SUM(TablaSupervisores[DISPOSITIVOS BACNET MS/TP COMPATIBLES]*INDEX(TablaSeleccionSupervisores[],ROW(TablaSeleccionSupervisores[[#This Row],[ORDEN]])-1,_xlfn.XMATCH(TablaSupervisores[REFERENCIA],TablaSeleccionSupervisores[#Headers])))</f>
        <v>168</v>
      </c>
      <c r="Z325" cm="1">
        <f t="array" ref="Z325">SUM(TablaSupervisores[DISPOSITIVOS BACNET IP]*INDEX(TablaSeleccionSupervisores[],ROW(TablaSeleccionSupervisores[[#This Row],[ORDEN]])-1,_xlfn.XMATCH(TablaSupervisores[REFERENCIA],TablaSeleccionSupervisores[#Headers])))</f>
        <v>520</v>
      </c>
      <c r="AA325" cm="1">
        <f t="array" ref="AA325">SUM(TablaSupervisores[OBJETOS]*INDEX(TablaSeleccionSupervisores[],ROW(TablaSeleccionSupervisores[[#This Row],[ORDEN]])-1,_xlfn.XMATCH(TablaSupervisores[REFERENCIA],TablaSeleccionSupervisores[#Headers])))</f>
        <v>12500</v>
      </c>
      <c r="AB325" s="28" cm="1">
        <f t="array" ref="AB325">SUM(TablaSupervisores[COSTE]*INDEX(TablaSeleccionSupervisores[],ROW(TablaSeleccionSupervisores[[#This Row],[ORDEN]])-1,_xlfn.XMATCH(TablaSupervisores[REFERENCIA],TablaSeleccionSupervisores[#Headers])))</f>
        <v>10897.640000000001</v>
      </c>
      <c r="AC325" cm="1">
        <f t="array" ref="AC325">SUM(INDEX(TablaSeleccionSupervisores[],ROW(TablaSeleccionSupervisores[[#This Row],[ORDEN]])-1,_xlfn.XMATCH(TablaSupervisores[REFERENCIA],TablaSeleccionSupervisores[#Headers])))</f>
        <v>5</v>
      </c>
      <c r="AD325" t="str" cm="1">
        <f t="array" ref="AD325">IF(INDEX(TablaSeleccionSupervisores[],ROW(TablaSeleccionSupervisores[[#This Row],[ORDEN]])-1,_xlfn.XMATCH("ADMITIDO ADSLITE",TablaSeleccionSupervisores[#Headers])+1)=0,"Sí admitido","No admitido")</f>
        <v>Sí admitido</v>
      </c>
      <c r="AE325">
        <v>0</v>
      </c>
      <c r="AF325">
        <v>2</v>
      </c>
      <c r="AG325">
        <v>1</v>
      </c>
      <c r="AH325">
        <v>2</v>
      </c>
    </row>
    <row r="326" spans="22:34" x14ac:dyDescent="0.25">
      <c r="V326">
        <v>325</v>
      </c>
      <c r="W326" cm="1">
        <f t="array" ref="W326">SUM(TablaSupervisores[DISPOSITIVOS TOTAL]*INDEX(TablaSeleccionSupervisores[],ROW(TablaSeleccionSupervisores[[#This Row],[ORDEN]])-1,_xlfn.XMATCH(TablaSupervisores[REFERENCIA],TablaSeleccionSupervisores[#Headers])))</f>
        <v>968</v>
      </c>
      <c r="X326" cm="1">
        <f t="array" ref="X326">SUM(TablaSupervisores[DISPOSITIVOS BACNET MS/TP JC]*INDEX(TablaSeleccionSupervisores[],ROW(TablaSeleccionSupervisores[[#This Row],[ORDEN]])-1,_xlfn.XMATCH(TablaSupervisores[REFERENCIA],TablaSeleccionSupervisores[#Headers])))</f>
        <v>458</v>
      </c>
      <c r="Y326" cm="1">
        <f t="array" ref="Y326">SUM(TablaSupervisores[DISPOSITIVOS BACNET MS/TP COMPATIBLES]*INDEX(TablaSeleccionSupervisores[],ROW(TablaSeleccionSupervisores[[#This Row],[ORDEN]])-1,_xlfn.XMATCH(TablaSupervisores[REFERENCIA],TablaSeleccionSupervisores[#Headers])))</f>
        <v>296</v>
      </c>
      <c r="Z326" cm="1">
        <f t="array" ref="Z326">SUM(TablaSupervisores[DISPOSITIVOS BACNET IP]*INDEX(TablaSeleccionSupervisores[],ROW(TablaSeleccionSupervisores[[#This Row],[ORDEN]])-1,_xlfn.XMATCH(TablaSupervisores[REFERENCIA],TablaSeleccionSupervisores[#Headers])))</f>
        <v>920</v>
      </c>
      <c r="AA326" cm="1">
        <f t="array" ref="AA326">SUM(TablaSupervisores[OBJETOS]*INDEX(TablaSeleccionSupervisores[],ROW(TablaSeleccionSupervisores[[#This Row],[ORDEN]])-1,_xlfn.XMATCH(TablaSupervisores[REFERENCIA],TablaSeleccionSupervisores[#Headers])))</f>
        <v>17500</v>
      </c>
      <c r="AB326" s="28" cm="1">
        <f t="array" ref="AB326">SUM(TablaSupervisores[COSTE]*INDEX(TablaSeleccionSupervisores[],ROW(TablaSeleccionSupervisores[[#This Row],[ORDEN]])-1,_xlfn.XMATCH(TablaSupervisores[REFERENCIA],TablaSeleccionSupervisores[#Headers])))</f>
        <v>16564.27</v>
      </c>
      <c r="AC326" cm="1">
        <f t="array" ref="AC326">SUM(INDEX(TablaSeleccionSupervisores[],ROW(TablaSeleccionSupervisores[[#This Row],[ORDEN]])-1,_xlfn.XMATCH(TablaSupervisores[REFERENCIA],TablaSeleccionSupervisores[#Headers])))</f>
        <v>6</v>
      </c>
      <c r="AD326" t="str" cm="1">
        <f t="array" ref="AD326">IF(INDEX(TablaSeleccionSupervisores[],ROW(TablaSeleccionSupervisores[[#This Row],[ORDEN]])-1,_xlfn.XMATCH("ADMITIDO ADSLITE",TablaSeleccionSupervisores[#Headers])+1)=0,"Sí admitido","No admitido")</f>
        <v>No admitido</v>
      </c>
      <c r="AE326">
        <v>1</v>
      </c>
      <c r="AF326">
        <v>2</v>
      </c>
      <c r="AG326">
        <v>1</v>
      </c>
      <c r="AH326">
        <v>2</v>
      </c>
    </row>
    <row r="327" spans="22:34" x14ac:dyDescent="0.25">
      <c r="V327">
        <v>326</v>
      </c>
      <c r="W327" cm="1">
        <f t="array" ref="W327">SUM(TablaSupervisores[DISPOSITIVOS TOTAL]*INDEX(TablaSeleccionSupervisores[],ROW(TablaSeleccionSupervisores[[#This Row],[ORDEN]])-1,_xlfn.XMATCH(TablaSupervisores[REFERENCIA],TablaSeleccionSupervisores[#Headers])))</f>
        <v>1568</v>
      </c>
      <c r="X327" cm="1">
        <f t="array" ref="X327">SUM(TablaSupervisores[DISPOSITIVOS BACNET MS/TP JC]*INDEX(TablaSeleccionSupervisores[],ROW(TablaSeleccionSupervisores[[#This Row],[ORDEN]])-1,_xlfn.XMATCH(TablaSupervisores[REFERENCIA],TablaSeleccionSupervisores[#Headers])))</f>
        <v>658</v>
      </c>
      <c r="Y327" cm="1">
        <f t="array" ref="Y327">SUM(TablaSupervisores[DISPOSITIVOS BACNET MS/TP COMPATIBLES]*INDEX(TablaSeleccionSupervisores[],ROW(TablaSeleccionSupervisores[[#This Row],[ORDEN]])-1,_xlfn.XMATCH(TablaSupervisores[REFERENCIA],TablaSeleccionSupervisores[#Headers])))</f>
        <v>424</v>
      </c>
      <c r="Z327" cm="1">
        <f t="array" ref="Z327">SUM(TablaSupervisores[DISPOSITIVOS BACNET IP]*INDEX(TablaSeleccionSupervisores[],ROW(TablaSeleccionSupervisores[[#This Row],[ORDEN]])-1,_xlfn.XMATCH(TablaSupervisores[REFERENCIA],TablaSeleccionSupervisores[#Headers])))</f>
        <v>1320</v>
      </c>
      <c r="AA327" cm="1">
        <f t="array" ref="AA327">SUM(TablaSupervisores[OBJETOS]*INDEX(TablaSeleccionSupervisores[],ROW(TablaSeleccionSupervisores[[#This Row],[ORDEN]])-1,_xlfn.XMATCH(TablaSupervisores[REFERENCIA],TablaSeleccionSupervisores[#Headers])))</f>
        <v>22500</v>
      </c>
      <c r="AB327" s="28" cm="1">
        <f t="array" ref="AB327">SUM(TablaSupervisores[COSTE]*INDEX(TablaSeleccionSupervisores[],ROW(TablaSeleccionSupervisores[[#This Row],[ORDEN]])-1,_xlfn.XMATCH(TablaSupervisores[REFERENCIA],TablaSeleccionSupervisores[#Headers])))</f>
        <v>22230.9</v>
      </c>
      <c r="AC327" cm="1">
        <f t="array" ref="AC327">SUM(INDEX(TablaSeleccionSupervisores[],ROW(TablaSeleccionSupervisores[[#This Row],[ORDEN]])-1,_xlfn.XMATCH(TablaSupervisores[REFERENCIA],TablaSeleccionSupervisores[#Headers])))</f>
        <v>7</v>
      </c>
      <c r="AD327" t="str" cm="1">
        <f t="array" ref="AD327">IF(INDEX(TablaSeleccionSupervisores[],ROW(TablaSeleccionSupervisores[[#This Row],[ORDEN]])-1,_xlfn.XMATCH("ADMITIDO ADSLITE",TablaSeleccionSupervisores[#Headers])+1)=0,"Sí admitido","No admitido")</f>
        <v>No admitido</v>
      </c>
      <c r="AE327">
        <v>2</v>
      </c>
      <c r="AF327">
        <v>2</v>
      </c>
      <c r="AG327">
        <v>1</v>
      </c>
      <c r="AH327">
        <v>2</v>
      </c>
    </row>
    <row r="328" spans="22:34" x14ac:dyDescent="0.25">
      <c r="V328">
        <v>327</v>
      </c>
      <c r="W328" cm="1">
        <f t="array" ref="W328">SUM(TablaSupervisores[DISPOSITIVOS TOTAL]*INDEX(TablaSeleccionSupervisores[],ROW(TablaSeleccionSupervisores[[#This Row],[ORDEN]])-1,_xlfn.XMATCH(TablaSupervisores[REFERENCIA],TablaSeleccionSupervisores[#Headers])))</f>
        <v>2168</v>
      </c>
      <c r="X328" cm="1">
        <f t="array" ref="X328">SUM(TablaSupervisores[DISPOSITIVOS BACNET MS/TP JC]*INDEX(TablaSeleccionSupervisores[],ROW(TablaSeleccionSupervisores[[#This Row],[ORDEN]])-1,_xlfn.XMATCH(TablaSupervisores[REFERENCIA],TablaSeleccionSupervisores[#Headers])))</f>
        <v>858</v>
      </c>
      <c r="Y328" cm="1">
        <f t="array" ref="Y328">SUM(TablaSupervisores[DISPOSITIVOS BACNET MS/TP COMPATIBLES]*INDEX(TablaSeleccionSupervisores[],ROW(TablaSeleccionSupervisores[[#This Row],[ORDEN]])-1,_xlfn.XMATCH(TablaSupervisores[REFERENCIA],TablaSeleccionSupervisores[#Headers])))</f>
        <v>552</v>
      </c>
      <c r="Z328" cm="1">
        <f t="array" ref="Z328">SUM(TablaSupervisores[DISPOSITIVOS BACNET IP]*INDEX(TablaSeleccionSupervisores[],ROW(TablaSeleccionSupervisores[[#This Row],[ORDEN]])-1,_xlfn.XMATCH(TablaSupervisores[REFERENCIA],TablaSeleccionSupervisores[#Headers])))</f>
        <v>1720</v>
      </c>
      <c r="AA328" cm="1">
        <f t="array" ref="AA328">SUM(TablaSupervisores[OBJETOS]*INDEX(TablaSeleccionSupervisores[],ROW(TablaSeleccionSupervisores[[#This Row],[ORDEN]])-1,_xlfn.XMATCH(TablaSupervisores[REFERENCIA],TablaSeleccionSupervisores[#Headers])))</f>
        <v>27500</v>
      </c>
      <c r="AB328" s="28" cm="1">
        <f t="array" ref="AB328">SUM(TablaSupervisores[COSTE]*INDEX(TablaSeleccionSupervisores[],ROW(TablaSeleccionSupervisores[[#This Row],[ORDEN]])-1,_xlfn.XMATCH(TablaSupervisores[REFERENCIA],TablaSeleccionSupervisores[#Headers])))</f>
        <v>27897.53</v>
      </c>
      <c r="AC328" cm="1">
        <f t="array" ref="AC328">SUM(INDEX(TablaSeleccionSupervisores[],ROW(TablaSeleccionSupervisores[[#This Row],[ORDEN]])-1,_xlfn.XMATCH(TablaSupervisores[REFERENCIA],TablaSeleccionSupervisores[#Headers])))</f>
        <v>8</v>
      </c>
      <c r="AD328" t="str" cm="1">
        <f t="array" ref="AD328">IF(INDEX(TablaSeleccionSupervisores[],ROW(TablaSeleccionSupervisores[[#This Row],[ORDEN]])-1,_xlfn.XMATCH("ADMITIDO ADSLITE",TablaSeleccionSupervisores[#Headers])+1)=0,"Sí admitido","No admitido")</f>
        <v>No admitido</v>
      </c>
      <c r="AE328">
        <v>3</v>
      </c>
      <c r="AF328">
        <v>2</v>
      </c>
      <c r="AG328">
        <v>1</v>
      </c>
      <c r="AH328">
        <v>2</v>
      </c>
    </row>
    <row r="329" spans="22:34" x14ac:dyDescent="0.25">
      <c r="V329">
        <v>328</v>
      </c>
      <c r="W329" cm="1">
        <f t="array" ref="W329">SUM(TablaSupervisores[DISPOSITIVOS TOTAL]*INDEX(TablaSeleccionSupervisores[],ROW(TablaSeleccionSupervisores[[#This Row],[ORDEN]])-1,_xlfn.XMATCH(TablaSupervisores[REFERENCIA],TablaSeleccionSupervisores[#Headers])))</f>
        <v>518</v>
      </c>
      <c r="X329" cm="1">
        <f t="array" ref="X329">SUM(TablaSupervisores[DISPOSITIVOS BACNET MS/TP JC]*INDEX(TablaSeleccionSupervisores[],ROW(TablaSeleccionSupervisores[[#This Row],[ORDEN]])-1,_xlfn.XMATCH(TablaSupervisores[REFERENCIA],TablaSeleccionSupervisores[#Headers])))</f>
        <v>358</v>
      </c>
      <c r="Y329" cm="1">
        <f t="array" ref="Y329">SUM(TablaSupervisores[DISPOSITIVOS BACNET MS/TP COMPATIBLES]*INDEX(TablaSeleccionSupervisores[],ROW(TablaSeleccionSupervisores[[#This Row],[ORDEN]])-1,_xlfn.XMATCH(TablaSupervisores[REFERENCIA],TablaSeleccionSupervisores[#Headers])))</f>
        <v>232</v>
      </c>
      <c r="Z329" cm="1">
        <f t="array" ref="Z329">SUM(TablaSupervisores[DISPOSITIVOS BACNET IP]*INDEX(TablaSeleccionSupervisores[],ROW(TablaSeleccionSupervisores[[#This Row],[ORDEN]])-1,_xlfn.XMATCH(TablaSupervisores[REFERENCIA],TablaSeleccionSupervisores[#Headers])))</f>
        <v>720</v>
      </c>
      <c r="AA329" cm="1">
        <f t="array" ref="AA329">SUM(TablaSupervisores[OBJETOS]*INDEX(TablaSeleccionSupervisores[],ROW(TablaSeleccionSupervisores[[#This Row],[ORDEN]])-1,_xlfn.XMATCH(TablaSupervisores[REFERENCIA],TablaSeleccionSupervisores[#Headers])))</f>
        <v>15000</v>
      </c>
      <c r="AB329" s="28" cm="1">
        <f t="array" ref="AB329">SUM(TablaSupervisores[COSTE]*INDEX(TablaSeleccionSupervisores[],ROW(TablaSeleccionSupervisores[[#This Row],[ORDEN]])-1,_xlfn.XMATCH(TablaSupervisores[REFERENCIA],TablaSeleccionSupervisores[#Headers])))</f>
        <v>14886.37</v>
      </c>
      <c r="AC329" cm="1">
        <f t="array" ref="AC329">SUM(INDEX(TablaSeleccionSupervisores[],ROW(TablaSeleccionSupervisores[[#This Row],[ORDEN]])-1,_xlfn.XMATCH(TablaSupervisores[REFERENCIA],TablaSeleccionSupervisores[#Headers])))</f>
        <v>6</v>
      </c>
      <c r="AD329" t="str" cm="1">
        <f t="array" ref="AD329">IF(INDEX(TablaSeleccionSupervisores[],ROW(TablaSeleccionSupervisores[[#This Row],[ORDEN]])-1,_xlfn.XMATCH("ADMITIDO ADSLITE",TablaSeleccionSupervisores[#Headers])+1)=0,"Sí admitido","No admitido")</f>
        <v>Sí admitido</v>
      </c>
      <c r="AE329">
        <v>0</v>
      </c>
      <c r="AF329">
        <v>3</v>
      </c>
      <c r="AG329">
        <v>1</v>
      </c>
      <c r="AH329">
        <v>2</v>
      </c>
    </row>
    <row r="330" spans="22:34" x14ac:dyDescent="0.25">
      <c r="V330">
        <v>329</v>
      </c>
      <c r="W330" cm="1">
        <f t="array" ref="W330">SUM(TablaSupervisores[DISPOSITIVOS TOTAL]*INDEX(TablaSeleccionSupervisores[],ROW(TablaSeleccionSupervisores[[#This Row],[ORDEN]])-1,_xlfn.XMATCH(TablaSupervisores[REFERENCIA],TablaSeleccionSupervisores[#Headers])))</f>
        <v>1118</v>
      </c>
      <c r="X330" cm="1">
        <f t="array" ref="X330">SUM(TablaSupervisores[DISPOSITIVOS BACNET MS/TP JC]*INDEX(TablaSeleccionSupervisores[],ROW(TablaSeleccionSupervisores[[#This Row],[ORDEN]])-1,_xlfn.XMATCH(TablaSupervisores[REFERENCIA],TablaSeleccionSupervisores[#Headers])))</f>
        <v>558</v>
      </c>
      <c r="Y330" cm="1">
        <f t="array" ref="Y330">SUM(TablaSupervisores[DISPOSITIVOS BACNET MS/TP COMPATIBLES]*INDEX(TablaSeleccionSupervisores[],ROW(TablaSeleccionSupervisores[[#This Row],[ORDEN]])-1,_xlfn.XMATCH(TablaSupervisores[REFERENCIA],TablaSeleccionSupervisores[#Headers])))</f>
        <v>360</v>
      </c>
      <c r="Z330" cm="1">
        <f t="array" ref="Z330">SUM(TablaSupervisores[DISPOSITIVOS BACNET IP]*INDEX(TablaSeleccionSupervisores[],ROW(TablaSeleccionSupervisores[[#This Row],[ORDEN]])-1,_xlfn.XMATCH(TablaSupervisores[REFERENCIA],TablaSeleccionSupervisores[#Headers])))</f>
        <v>1120</v>
      </c>
      <c r="AA330" cm="1">
        <f t="array" ref="AA330">SUM(TablaSupervisores[OBJETOS]*INDEX(TablaSeleccionSupervisores[],ROW(TablaSeleccionSupervisores[[#This Row],[ORDEN]])-1,_xlfn.XMATCH(TablaSupervisores[REFERENCIA],TablaSeleccionSupervisores[#Headers])))</f>
        <v>20000</v>
      </c>
      <c r="AB330" s="28" cm="1">
        <f t="array" ref="AB330">SUM(TablaSupervisores[COSTE]*INDEX(TablaSeleccionSupervisores[],ROW(TablaSeleccionSupervisores[[#This Row],[ORDEN]])-1,_xlfn.XMATCH(TablaSupervisores[REFERENCIA],TablaSeleccionSupervisores[#Headers])))</f>
        <v>20553</v>
      </c>
      <c r="AC330" cm="1">
        <f t="array" ref="AC330">SUM(INDEX(TablaSeleccionSupervisores[],ROW(TablaSeleccionSupervisores[[#This Row],[ORDEN]])-1,_xlfn.XMATCH(TablaSupervisores[REFERENCIA],TablaSeleccionSupervisores[#Headers])))</f>
        <v>7</v>
      </c>
      <c r="AD330" t="str" cm="1">
        <f t="array" ref="AD330">IF(INDEX(TablaSeleccionSupervisores[],ROW(TablaSeleccionSupervisores[[#This Row],[ORDEN]])-1,_xlfn.XMATCH("ADMITIDO ADSLITE",TablaSeleccionSupervisores[#Headers])+1)=0,"Sí admitido","No admitido")</f>
        <v>No admitido</v>
      </c>
      <c r="AE330">
        <v>1</v>
      </c>
      <c r="AF330">
        <v>3</v>
      </c>
      <c r="AG330">
        <v>1</v>
      </c>
      <c r="AH330">
        <v>2</v>
      </c>
    </row>
    <row r="331" spans="22:34" x14ac:dyDescent="0.25">
      <c r="V331">
        <v>330</v>
      </c>
      <c r="W331" cm="1">
        <f t="array" ref="W331">SUM(TablaSupervisores[DISPOSITIVOS TOTAL]*INDEX(TablaSeleccionSupervisores[],ROW(TablaSeleccionSupervisores[[#This Row],[ORDEN]])-1,_xlfn.XMATCH(TablaSupervisores[REFERENCIA],TablaSeleccionSupervisores[#Headers])))</f>
        <v>1718</v>
      </c>
      <c r="X331" cm="1">
        <f t="array" ref="X331">SUM(TablaSupervisores[DISPOSITIVOS BACNET MS/TP JC]*INDEX(TablaSeleccionSupervisores[],ROW(TablaSeleccionSupervisores[[#This Row],[ORDEN]])-1,_xlfn.XMATCH(TablaSupervisores[REFERENCIA],TablaSeleccionSupervisores[#Headers])))</f>
        <v>758</v>
      </c>
      <c r="Y331" cm="1">
        <f t="array" ref="Y331">SUM(TablaSupervisores[DISPOSITIVOS BACNET MS/TP COMPATIBLES]*INDEX(TablaSeleccionSupervisores[],ROW(TablaSeleccionSupervisores[[#This Row],[ORDEN]])-1,_xlfn.XMATCH(TablaSupervisores[REFERENCIA],TablaSeleccionSupervisores[#Headers])))</f>
        <v>488</v>
      </c>
      <c r="Z331" cm="1">
        <f t="array" ref="Z331">SUM(TablaSupervisores[DISPOSITIVOS BACNET IP]*INDEX(TablaSeleccionSupervisores[],ROW(TablaSeleccionSupervisores[[#This Row],[ORDEN]])-1,_xlfn.XMATCH(TablaSupervisores[REFERENCIA],TablaSeleccionSupervisores[#Headers])))</f>
        <v>1520</v>
      </c>
      <c r="AA331" cm="1">
        <f t="array" ref="AA331">SUM(TablaSupervisores[OBJETOS]*INDEX(TablaSeleccionSupervisores[],ROW(TablaSeleccionSupervisores[[#This Row],[ORDEN]])-1,_xlfn.XMATCH(TablaSupervisores[REFERENCIA],TablaSeleccionSupervisores[#Headers])))</f>
        <v>25000</v>
      </c>
      <c r="AB331" s="28" cm="1">
        <f t="array" ref="AB331">SUM(TablaSupervisores[COSTE]*INDEX(TablaSeleccionSupervisores[],ROW(TablaSeleccionSupervisores[[#This Row],[ORDEN]])-1,_xlfn.XMATCH(TablaSupervisores[REFERENCIA],TablaSeleccionSupervisores[#Headers])))</f>
        <v>26219.63</v>
      </c>
      <c r="AC331" cm="1">
        <f t="array" ref="AC331">SUM(INDEX(TablaSeleccionSupervisores[],ROW(TablaSeleccionSupervisores[[#This Row],[ORDEN]])-1,_xlfn.XMATCH(TablaSupervisores[REFERENCIA],TablaSeleccionSupervisores[#Headers])))</f>
        <v>8</v>
      </c>
      <c r="AD331" t="str" cm="1">
        <f t="array" ref="AD331">IF(INDEX(TablaSeleccionSupervisores[],ROW(TablaSeleccionSupervisores[[#This Row],[ORDEN]])-1,_xlfn.XMATCH("ADMITIDO ADSLITE",TablaSeleccionSupervisores[#Headers])+1)=0,"Sí admitido","No admitido")</f>
        <v>No admitido</v>
      </c>
      <c r="AE331">
        <v>2</v>
      </c>
      <c r="AF331">
        <v>3</v>
      </c>
      <c r="AG331">
        <v>1</v>
      </c>
      <c r="AH331">
        <v>2</v>
      </c>
    </row>
    <row r="332" spans="22:34" x14ac:dyDescent="0.25">
      <c r="V332">
        <v>331</v>
      </c>
      <c r="W332" cm="1">
        <f t="array" ref="W332">SUM(TablaSupervisores[DISPOSITIVOS TOTAL]*INDEX(TablaSeleccionSupervisores[],ROW(TablaSeleccionSupervisores[[#This Row],[ORDEN]])-1,_xlfn.XMATCH(TablaSupervisores[REFERENCIA],TablaSeleccionSupervisores[#Headers])))</f>
        <v>668</v>
      </c>
      <c r="X332" cm="1">
        <f t="array" ref="X332">SUM(TablaSupervisores[DISPOSITIVOS BACNET MS/TP JC]*INDEX(TablaSeleccionSupervisores[],ROW(TablaSeleccionSupervisores[[#This Row],[ORDEN]])-1,_xlfn.XMATCH(TablaSupervisores[REFERENCIA],TablaSeleccionSupervisores[#Headers])))</f>
        <v>458</v>
      </c>
      <c r="Y332" cm="1">
        <f t="array" ref="Y332">SUM(TablaSupervisores[DISPOSITIVOS BACNET MS/TP COMPATIBLES]*INDEX(TablaSeleccionSupervisores[],ROW(TablaSeleccionSupervisores[[#This Row],[ORDEN]])-1,_xlfn.XMATCH(TablaSupervisores[REFERENCIA],TablaSeleccionSupervisores[#Headers])))</f>
        <v>296</v>
      </c>
      <c r="Z332" cm="1">
        <f t="array" ref="Z332">SUM(TablaSupervisores[DISPOSITIVOS BACNET IP]*INDEX(TablaSeleccionSupervisores[],ROW(TablaSeleccionSupervisores[[#This Row],[ORDEN]])-1,_xlfn.XMATCH(TablaSupervisores[REFERENCIA],TablaSeleccionSupervisores[#Headers])))</f>
        <v>920</v>
      </c>
      <c r="AA332" cm="1">
        <f t="array" ref="AA332">SUM(TablaSupervisores[OBJETOS]*INDEX(TablaSeleccionSupervisores[],ROW(TablaSeleccionSupervisores[[#This Row],[ORDEN]])-1,_xlfn.XMATCH(TablaSupervisores[REFERENCIA],TablaSeleccionSupervisores[#Headers])))</f>
        <v>17500</v>
      </c>
      <c r="AB332" s="28" cm="1">
        <f t="array" ref="AB332">SUM(TablaSupervisores[COSTE]*INDEX(TablaSeleccionSupervisores[],ROW(TablaSeleccionSupervisores[[#This Row],[ORDEN]])-1,_xlfn.XMATCH(TablaSupervisores[REFERENCIA],TablaSeleccionSupervisores[#Headers])))</f>
        <v>18875.100000000002</v>
      </c>
      <c r="AC332" cm="1">
        <f t="array" ref="AC332">SUM(INDEX(TablaSeleccionSupervisores[],ROW(TablaSeleccionSupervisores[[#This Row],[ORDEN]])-1,_xlfn.XMATCH(TablaSupervisores[REFERENCIA],TablaSeleccionSupervisores[#Headers])))</f>
        <v>7</v>
      </c>
      <c r="AD332" t="str" cm="1">
        <f t="array" ref="AD332">IF(INDEX(TablaSeleccionSupervisores[],ROW(TablaSeleccionSupervisores[[#This Row],[ORDEN]])-1,_xlfn.XMATCH("ADMITIDO ADSLITE",TablaSeleccionSupervisores[#Headers])+1)=0,"Sí admitido","No admitido")</f>
        <v>Sí admitido</v>
      </c>
      <c r="AE332">
        <v>0</v>
      </c>
      <c r="AF332">
        <v>4</v>
      </c>
      <c r="AG332">
        <v>1</v>
      </c>
      <c r="AH332">
        <v>2</v>
      </c>
    </row>
    <row r="333" spans="22:34" x14ac:dyDescent="0.25">
      <c r="V333">
        <v>332</v>
      </c>
      <c r="W333" cm="1">
        <f t="array" ref="W333">SUM(TablaSupervisores[DISPOSITIVOS TOTAL]*INDEX(TablaSeleccionSupervisores[],ROW(TablaSeleccionSupervisores[[#This Row],[ORDEN]])-1,_xlfn.XMATCH(TablaSupervisores[REFERENCIA],TablaSeleccionSupervisores[#Headers])))</f>
        <v>1268</v>
      </c>
      <c r="X333" cm="1">
        <f t="array" ref="X333">SUM(TablaSupervisores[DISPOSITIVOS BACNET MS/TP JC]*INDEX(TablaSeleccionSupervisores[],ROW(TablaSeleccionSupervisores[[#This Row],[ORDEN]])-1,_xlfn.XMATCH(TablaSupervisores[REFERENCIA],TablaSeleccionSupervisores[#Headers])))</f>
        <v>658</v>
      </c>
      <c r="Y333" cm="1">
        <f t="array" ref="Y333">SUM(TablaSupervisores[DISPOSITIVOS BACNET MS/TP COMPATIBLES]*INDEX(TablaSeleccionSupervisores[],ROW(TablaSeleccionSupervisores[[#This Row],[ORDEN]])-1,_xlfn.XMATCH(TablaSupervisores[REFERENCIA],TablaSeleccionSupervisores[#Headers])))</f>
        <v>424</v>
      </c>
      <c r="Z333" cm="1">
        <f t="array" ref="Z333">SUM(TablaSupervisores[DISPOSITIVOS BACNET IP]*INDEX(TablaSeleccionSupervisores[],ROW(TablaSeleccionSupervisores[[#This Row],[ORDEN]])-1,_xlfn.XMATCH(TablaSupervisores[REFERENCIA],TablaSeleccionSupervisores[#Headers])))</f>
        <v>1320</v>
      </c>
      <c r="AA333" cm="1">
        <f t="array" ref="AA333">SUM(TablaSupervisores[OBJETOS]*INDEX(TablaSeleccionSupervisores[],ROW(TablaSeleccionSupervisores[[#This Row],[ORDEN]])-1,_xlfn.XMATCH(TablaSupervisores[REFERENCIA],TablaSeleccionSupervisores[#Headers])))</f>
        <v>22500</v>
      </c>
      <c r="AB333" s="28" cm="1">
        <f t="array" ref="AB333">SUM(TablaSupervisores[COSTE]*INDEX(TablaSeleccionSupervisores[],ROW(TablaSeleccionSupervisores[[#This Row],[ORDEN]])-1,_xlfn.XMATCH(TablaSupervisores[REFERENCIA],TablaSeleccionSupervisores[#Headers])))</f>
        <v>24541.73</v>
      </c>
      <c r="AC333" cm="1">
        <f t="array" ref="AC333">SUM(INDEX(TablaSeleccionSupervisores[],ROW(TablaSeleccionSupervisores[[#This Row],[ORDEN]])-1,_xlfn.XMATCH(TablaSupervisores[REFERENCIA],TablaSeleccionSupervisores[#Headers])))</f>
        <v>8</v>
      </c>
      <c r="AD333" t="str" cm="1">
        <f t="array" ref="AD333">IF(INDEX(TablaSeleccionSupervisores[],ROW(TablaSeleccionSupervisores[[#This Row],[ORDEN]])-1,_xlfn.XMATCH("ADMITIDO ADSLITE",TablaSeleccionSupervisores[#Headers])+1)=0,"Sí admitido","No admitido")</f>
        <v>No admitido</v>
      </c>
      <c r="AE333">
        <v>1</v>
      </c>
      <c r="AF333">
        <v>4</v>
      </c>
      <c r="AG333">
        <v>1</v>
      </c>
      <c r="AH333">
        <v>2</v>
      </c>
    </row>
    <row r="334" spans="22:34" x14ac:dyDescent="0.25">
      <c r="V334">
        <v>333</v>
      </c>
      <c r="W334" cm="1">
        <f t="array" ref="W334">SUM(TablaSupervisores[DISPOSITIVOS TOTAL]*INDEX(TablaSeleccionSupervisores[],ROW(TablaSeleccionSupervisores[[#This Row],[ORDEN]])-1,_xlfn.XMATCH(TablaSupervisores[REFERENCIA],TablaSeleccionSupervisores[#Headers])))</f>
        <v>818</v>
      </c>
      <c r="X334" cm="1">
        <f t="array" ref="X334">SUM(TablaSupervisores[DISPOSITIVOS BACNET MS/TP JC]*INDEX(TablaSeleccionSupervisores[],ROW(TablaSeleccionSupervisores[[#This Row],[ORDEN]])-1,_xlfn.XMATCH(TablaSupervisores[REFERENCIA],TablaSeleccionSupervisores[#Headers])))</f>
        <v>558</v>
      </c>
      <c r="Y334" cm="1">
        <f t="array" ref="Y334">SUM(TablaSupervisores[DISPOSITIVOS BACNET MS/TP COMPATIBLES]*INDEX(TablaSeleccionSupervisores[],ROW(TablaSeleccionSupervisores[[#This Row],[ORDEN]])-1,_xlfn.XMATCH(TablaSupervisores[REFERENCIA],TablaSeleccionSupervisores[#Headers])))</f>
        <v>360</v>
      </c>
      <c r="Z334" cm="1">
        <f t="array" ref="Z334">SUM(TablaSupervisores[DISPOSITIVOS BACNET IP]*INDEX(TablaSeleccionSupervisores[],ROW(TablaSeleccionSupervisores[[#This Row],[ORDEN]])-1,_xlfn.XMATCH(TablaSupervisores[REFERENCIA],TablaSeleccionSupervisores[#Headers])))</f>
        <v>1120</v>
      </c>
      <c r="AA334" cm="1">
        <f t="array" ref="AA334">SUM(TablaSupervisores[OBJETOS]*INDEX(TablaSeleccionSupervisores[],ROW(TablaSeleccionSupervisores[[#This Row],[ORDEN]])-1,_xlfn.XMATCH(TablaSupervisores[REFERENCIA],TablaSeleccionSupervisores[#Headers])))</f>
        <v>20000</v>
      </c>
      <c r="AB334" s="28" cm="1">
        <f t="array" ref="AB334">SUM(TablaSupervisores[COSTE]*INDEX(TablaSeleccionSupervisores[],ROW(TablaSeleccionSupervisores[[#This Row],[ORDEN]])-1,_xlfn.XMATCH(TablaSupervisores[REFERENCIA],TablaSeleccionSupervisores[#Headers])))</f>
        <v>22863.83</v>
      </c>
      <c r="AC334" cm="1">
        <f t="array" ref="AC334">SUM(INDEX(TablaSeleccionSupervisores[],ROW(TablaSeleccionSupervisores[[#This Row],[ORDEN]])-1,_xlfn.XMATCH(TablaSupervisores[REFERENCIA],TablaSeleccionSupervisores[#Headers])))</f>
        <v>8</v>
      </c>
      <c r="AD334" t="str" cm="1">
        <f t="array" ref="AD334">IF(INDEX(TablaSeleccionSupervisores[],ROW(TablaSeleccionSupervisores[[#This Row],[ORDEN]])-1,_xlfn.XMATCH("ADMITIDO ADSLITE",TablaSeleccionSupervisores[#Headers])+1)=0,"Sí admitido","No admitido")</f>
        <v>Sí admitido</v>
      </c>
      <c r="AE334">
        <v>0</v>
      </c>
      <c r="AF334">
        <v>5</v>
      </c>
      <c r="AG334">
        <v>1</v>
      </c>
      <c r="AH334">
        <v>2</v>
      </c>
    </row>
    <row r="335" spans="22:34" x14ac:dyDescent="0.25">
      <c r="V335">
        <v>334</v>
      </c>
      <c r="W335" cm="1">
        <f t="array" ref="W335">SUM(TablaSupervisores[DISPOSITIVOS TOTAL]*INDEX(TablaSeleccionSupervisores[],ROW(TablaSeleccionSupervisores[[#This Row],[ORDEN]])-1,_xlfn.XMATCH(TablaSupervisores[REFERENCIA],TablaSeleccionSupervisores[#Headers])))</f>
        <v>128</v>
      </c>
      <c r="X335" cm="1">
        <f t="array" ref="X335">SUM(TablaSupervisores[DISPOSITIVOS BACNET MS/TP JC]*INDEX(TablaSeleccionSupervisores[],ROW(TablaSeleccionSupervisores[[#This Row],[ORDEN]])-1,_xlfn.XMATCH(TablaSupervisores[REFERENCIA],TablaSeleccionSupervisores[#Headers])))</f>
        <v>108</v>
      </c>
      <c r="Y335" cm="1">
        <f t="array" ref="Y335">SUM(TablaSupervisores[DISPOSITIVOS BACNET MS/TP COMPATIBLES]*INDEX(TablaSeleccionSupervisores[],ROW(TablaSeleccionSupervisores[[#This Row],[ORDEN]])-1,_xlfn.XMATCH(TablaSupervisores[REFERENCIA],TablaSeleccionSupervisores[#Headers])))</f>
        <v>72</v>
      </c>
      <c r="Z335" cm="1">
        <f t="array" ref="Z335">SUM(TablaSupervisores[DISPOSITIVOS BACNET IP]*INDEX(TablaSeleccionSupervisores[],ROW(TablaSeleccionSupervisores[[#This Row],[ORDEN]])-1,_xlfn.XMATCH(TablaSupervisores[REFERENCIA],TablaSeleccionSupervisores[#Headers])))</f>
        <v>220</v>
      </c>
      <c r="AA335" cm="1">
        <f t="array" ref="AA335">SUM(TablaSupervisores[OBJETOS]*INDEX(TablaSeleccionSupervisores[],ROW(TablaSeleccionSupervisores[[#This Row],[ORDEN]])-1,_xlfn.XMATCH(TablaSupervisores[REFERENCIA],TablaSeleccionSupervisores[#Headers])))</f>
        <v>10000</v>
      </c>
      <c r="AB335" s="28" cm="1">
        <f t="array" ref="AB335">SUM(TablaSupervisores[COSTE]*INDEX(TablaSeleccionSupervisores[],ROW(TablaSeleccionSupervisores[[#This Row],[ORDEN]])-1,_xlfn.XMATCH(TablaSupervisores[REFERENCIA],TablaSeleccionSupervisores[#Headers])))</f>
        <v>4343.66</v>
      </c>
      <c r="AC335" cm="1">
        <f t="array" ref="AC335">SUM(INDEX(TablaSeleccionSupervisores[],ROW(TablaSeleccionSupervisores[[#This Row],[ORDEN]])-1,_xlfn.XMATCH(TablaSupervisores[REFERENCIA],TablaSeleccionSupervisores[#Headers])))</f>
        <v>4</v>
      </c>
      <c r="AD335" t="str" cm="1">
        <f t="array" ref="AD335">IF(INDEX(TablaSeleccionSupervisores[],ROW(TablaSeleccionSupervisores[[#This Row],[ORDEN]])-1,_xlfn.XMATCH("ADMITIDO ADSLITE",TablaSeleccionSupervisores[#Headers])+1)=0,"Sí admitido","No admitido")</f>
        <v>Sí admitido</v>
      </c>
      <c r="AE335">
        <v>0</v>
      </c>
      <c r="AF335">
        <v>0</v>
      </c>
      <c r="AG335">
        <v>2</v>
      </c>
      <c r="AH335">
        <v>2</v>
      </c>
    </row>
    <row r="336" spans="22:34" x14ac:dyDescent="0.25">
      <c r="V336">
        <v>335</v>
      </c>
      <c r="W336" cm="1">
        <f t="array" ref="W336">SUM(TablaSupervisores[DISPOSITIVOS TOTAL]*INDEX(TablaSeleccionSupervisores[],ROW(TablaSeleccionSupervisores[[#This Row],[ORDEN]])-1,_xlfn.XMATCH(TablaSupervisores[REFERENCIA],TablaSeleccionSupervisores[#Headers])))</f>
        <v>728</v>
      </c>
      <c r="X336" cm="1">
        <f t="array" ref="X336">SUM(TablaSupervisores[DISPOSITIVOS BACNET MS/TP JC]*INDEX(TablaSeleccionSupervisores[],ROW(TablaSeleccionSupervisores[[#This Row],[ORDEN]])-1,_xlfn.XMATCH(TablaSupervisores[REFERENCIA],TablaSeleccionSupervisores[#Headers])))</f>
        <v>308</v>
      </c>
      <c r="Y336" cm="1">
        <f t="array" ref="Y336">SUM(TablaSupervisores[DISPOSITIVOS BACNET MS/TP COMPATIBLES]*INDEX(TablaSeleccionSupervisores[],ROW(TablaSeleccionSupervisores[[#This Row],[ORDEN]])-1,_xlfn.XMATCH(TablaSupervisores[REFERENCIA],TablaSeleccionSupervisores[#Headers])))</f>
        <v>200</v>
      </c>
      <c r="Z336" cm="1">
        <f t="array" ref="Z336">SUM(TablaSupervisores[DISPOSITIVOS BACNET IP]*INDEX(TablaSeleccionSupervisores[],ROW(TablaSeleccionSupervisores[[#This Row],[ORDEN]])-1,_xlfn.XMATCH(TablaSupervisores[REFERENCIA],TablaSeleccionSupervisores[#Headers])))</f>
        <v>620</v>
      </c>
      <c r="AA336" cm="1">
        <f t="array" ref="AA336">SUM(TablaSupervisores[OBJETOS]*INDEX(TablaSeleccionSupervisores[],ROW(TablaSeleccionSupervisores[[#This Row],[ORDEN]])-1,_xlfn.XMATCH(TablaSupervisores[REFERENCIA],TablaSeleccionSupervisores[#Headers])))</f>
        <v>15000</v>
      </c>
      <c r="AB336" s="28" cm="1">
        <f t="array" ref="AB336">SUM(TablaSupervisores[COSTE]*INDEX(TablaSeleccionSupervisores[],ROW(TablaSeleccionSupervisores[[#This Row],[ORDEN]])-1,_xlfn.XMATCH(TablaSupervisores[REFERENCIA],TablaSeleccionSupervisores[#Headers])))</f>
        <v>10010.290000000001</v>
      </c>
      <c r="AC336" cm="1">
        <f t="array" ref="AC336">SUM(INDEX(TablaSeleccionSupervisores[],ROW(TablaSeleccionSupervisores[[#This Row],[ORDEN]])-1,_xlfn.XMATCH(TablaSupervisores[REFERENCIA],TablaSeleccionSupervisores[#Headers])))</f>
        <v>5</v>
      </c>
      <c r="AD336" t="str" cm="1">
        <f t="array" ref="AD336">IF(INDEX(TablaSeleccionSupervisores[],ROW(TablaSeleccionSupervisores[[#This Row],[ORDEN]])-1,_xlfn.XMATCH("ADMITIDO ADSLITE",TablaSeleccionSupervisores[#Headers])+1)=0,"Sí admitido","No admitido")</f>
        <v>No admitido</v>
      </c>
      <c r="AE336">
        <v>1</v>
      </c>
      <c r="AF336">
        <v>0</v>
      </c>
      <c r="AG336">
        <v>2</v>
      </c>
      <c r="AH336">
        <v>2</v>
      </c>
    </row>
    <row r="337" spans="22:34" x14ac:dyDescent="0.25">
      <c r="V337">
        <v>336</v>
      </c>
      <c r="W337" cm="1">
        <f t="array" ref="W337">SUM(TablaSupervisores[DISPOSITIVOS TOTAL]*INDEX(TablaSeleccionSupervisores[],ROW(TablaSeleccionSupervisores[[#This Row],[ORDEN]])-1,_xlfn.XMATCH(TablaSupervisores[REFERENCIA],TablaSeleccionSupervisores[#Headers])))</f>
        <v>1328</v>
      </c>
      <c r="X337" cm="1">
        <f t="array" ref="X337">SUM(TablaSupervisores[DISPOSITIVOS BACNET MS/TP JC]*INDEX(TablaSeleccionSupervisores[],ROW(TablaSeleccionSupervisores[[#This Row],[ORDEN]])-1,_xlfn.XMATCH(TablaSupervisores[REFERENCIA],TablaSeleccionSupervisores[#Headers])))</f>
        <v>508</v>
      </c>
      <c r="Y337" cm="1">
        <f t="array" ref="Y337">SUM(TablaSupervisores[DISPOSITIVOS BACNET MS/TP COMPATIBLES]*INDEX(TablaSeleccionSupervisores[],ROW(TablaSeleccionSupervisores[[#This Row],[ORDEN]])-1,_xlfn.XMATCH(TablaSupervisores[REFERENCIA],TablaSeleccionSupervisores[#Headers])))</f>
        <v>328</v>
      </c>
      <c r="Z337" cm="1">
        <f t="array" ref="Z337">SUM(TablaSupervisores[DISPOSITIVOS BACNET IP]*INDEX(TablaSeleccionSupervisores[],ROW(TablaSeleccionSupervisores[[#This Row],[ORDEN]])-1,_xlfn.XMATCH(TablaSupervisores[REFERENCIA],TablaSeleccionSupervisores[#Headers])))</f>
        <v>1020</v>
      </c>
      <c r="AA337" cm="1">
        <f t="array" ref="AA337">SUM(TablaSupervisores[OBJETOS]*INDEX(TablaSeleccionSupervisores[],ROW(TablaSeleccionSupervisores[[#This Row],[ORDEN]])-1,_xlfn.XMATCH(TablaSupervisores[REFERENCIA],TablaSeleccionSupervisores[#Headers])))</f>
        <v>20000</v>
      </c>
      <c r="AB337" s="28" cm="1">
        <f t="array" ref="AB337">SUM(TablaSupervisores[COSTE]*INDEX(TablaSeleccionSupervisores[],ROW(TablaSeleccionSupervisores[[#This Row],[ORDEN]])-1,_xlfn.XMATCH(TablaSupervisores[REFERENCIA],TablaSeleccionSupervisores[#Headers])))</f>
        <v>15676.920000000002</v>
      </c>
      <c r="AC337" cm="1">
        <f t="array" ref="AC337">SUM(INDEX(TablaSeleccionSupervisores[],ROW(TablaSeleccionSupervisores[[#This Row],[ORDEN]])-1,_xlfn.XMATCH(TablaSupervisores[REFERENCIA],TablaSeleccionSupervisores[#Headers])))</f>
        <v>6</v>
      </c>
      <c r="AD337" t="str" cm="1">
        <f t="array" ref="AD337">IF(INDEX(TablaSeleccionSupervisores[],ROW(TablaSeleccionSupervisores[[#This Row],[ORDEN]])-1,_xlfn.XMATCH("ADMITIDO ADSLITE",TablaSeleccionSupervisores[#Headers])+1)=0,"Sí admitido","No admitido")</f>
        <v>No admitido</v>
      </c>
      <c r="AE337">
        <v>2</v>
      </c>
      <c r="AF337">
        <v>0</v>
      </c>
      <c r="AG337">
        <v>2</v>
      </c>
      <c r="AH337">
        <v>2</v>
      </c>
    </row>
    <row r="338" spans="22:34" x14ac:dyDescent="0.25">
      <c r="V338">
        <v>337</v>
      </c>
      <c r="W338" cm="1">
        <f t="array" ref="W338">SUM(TablaSupervisores[DISPOSITIVOS TOTAL]*INDEX(TablaSeleccionSupervisores[],ROW(TablaSeleccionSupervisores[[#This Row],[ORDEN]])-1,_xlfn.XMATCH(TablaSupervisores[REFERENCIA],TablaSeleccionSupervisores[#Headers])))</f>
        <v>1928</v>
      </c>
      <c r="X338" cm="1">
        <f t="array" ref="X338">SUM(TablaSupervisores[DISPOSITIVOS BACNET MS/TP JC]*INDEX(TablaSeleccionSupervisores[],ROW(TablaSeleccionSupervisores[[#This Row],[ORDEN]])-1,_xlfn.XMATCH(TablaSupervisores[REFERENCIA],TablaSeleccionSupervisores[#Headers])))</f>
        <v>708</v>
      </c>
      <c r="Y338" cm="1">
        <f t="array" ref="Y338">SUM(TablaSupervisores[DISPOSITIVOS BACNET MS/TP COMPATIBLES]*INDEX(TablaSeleccionSupervisores[],ROW(TablaSeleccionSupervisores[[#This Row],[ORDEN]])-1,_xlfn.XMATCH(TablaSupervisores[REFERENCIA],TablaSeleccionSupervisores[#Headers])))</f>
        <v>456</v>
      </c>
      <c r="Z338" cm="1">
        <f t="array" ref="Z338">SUM(TablaSupervisores[DISPOSITIVOS BACNET IP]*INDEX(TablaSeleccionSupervisores[],ROW(TablaSeleccionSupervisores[[#This Row],[ORDEN]])-1,_xlfn.XMATCH(TablaSupervisores[REFERENCIA],TablaSeleccionSupervisores[#Headers])))</f>
        <v>1420</v>
      </c>
      <c r="AA338" cm="1">
        <f t="array" ref="AA338">SUM(TablaSupervisores[OBJETOS]*INDEX(TablaSeleccionSupervisores[],ROW(TablaSeleccionSupervisores[[#This Row],[ORDEN]])-1,_xlfn.XMATCH(TablaSupervisores[REFERENCIA],TablaSeleccionSupervisores[#Headers])))</f>
        <v>25000</v>
      </c>
      <c r="AB338" s="28" cm="1">
        <f t="array" ref="AB338">SUM(TablaSupervisores[COSTE]*INDEX(TablaSeleccionSupervisores[],ROW(TablaSeleccionSupervisores[[#This Row],[ORDEN]])-1,_xlfn.XMATCH(TablaSupervisores[REFERENCIA],TablaSeleccionSupervisores[#Headers])))</f>
        <v>21343.55</v>
      </c>
      <c r="AC338" cm="1">
        <f t="array" ref="AC338">SUM(INDEX(TablaSeleccionSupervisores[],ROW(TablaSeleccionSupervisores[[#This Row],[ORDEN]])-1,_xlfn.XMATCH(TablaSupervisores[REFERENCIA],TablaSeleccionSupervisores[#Headers])))</f>
        <v>7</v>
      </c>
      <c r="AD338" t="str" cm="1">
        <f t="array" ref="AD338">IF(INDEX(TablaSeleccionSupervisores[],ROW(TablaSeleccionSupervisores[[#This Row],[ORDEN]])-1,_xlfn.XMATCH("ADMITIDO ADSLITE",TablaSeleccionSupervisores[#Headers])+1)=0,"Sí admitido","No admitido")</f>
        <v>No admitido</v>
      </c>
      <c r="AE338">
        <v>3</v>
      </c>
      <c r="AF338">
        <v>0</v>
      </c>
      <c r="AG338">
        <v>2</v>
      </c>
      <c r="AH338">
        <v>2</v>
      </c>
    </row>
    <row r="339" spans="22:34" x14ac:dyDescent="0.25">
      <c r="V339">
        <v>338</v>
      </c>
      <c r="W339" cm="1">
        <f t="array" ref="W339">SUM(TablaSupervisores[DISPOSITIVOS TOTAL]*INDEX(TablaSeleccionSupervisores[],ROW(TablaSeleccionSupervisores[[#This Row],[ORDEN]])-1,_xlfn.XMATCH(TablaSupervisores[REFERENCIA],TablaSeleccionSupervisores[#Headers])))</f>
        <v>2528</v>
      </c>
      <c r="X339" cm="1">
        <f t="array" ref="X339">SUM(TablaSupervisores[DISPOSITIVOS BACNET MS/TP JC]*INDEX(TablaSeleccionSupervisores[],ROW(TablaSeleccionSupervisores[[#This Row],[ORDEN]])-1,_xlfn.XMATCH(TablaSupervisores[REFERENCIA],TablaSeleccionSupervisores[#Headers])))</f>
        <v>908</v>
      </c>
      <c r="Y339" cm="1">
        <f t="array" ref="Y339">SUM(TablaSupervisores[DISPOSITIVOS BACNET MS/TP COMPATIBLES]*INDEX(TablaSeleccionSupervisores[],ROW(TablaSeleccionSupervisores[[#This Row],[ORDEN]])-1,_xlfn.XMATCH(TablaSupervisores[REFERENCIA],TablaSeleccionSupervisores[#Headers])))</f>
        <v>584</v>
      </c>
      <c r="Z339" cm="1">
        <f t="array" ref="Z339">SUM(TablaSupervisores[DISPOSITIVOS BACNET IP]*INDEX(TablaSeleccionSupervisores[],ROW(TablaSeleccionSupervisores[[#This Row],[ORDEN]])-1,_xlfn.XMATCH(TablaSupervisores[REFERENCIA],TablaSeleccionSupervisores[#Headers])))</f>
        <v>1820</v>
      </c>
      <c r="AA339" cm="1">
        <f t="array" ref="AA339">SUM(TablaSupervisores[OBJETOS]*INDEX(TablaSeleccionSupervisores[],ROW(TablaSeleccionSupervisores[[#This Row],[ORDEN]])-1,_xlfn.XMATCH(TablaSupervisores[REFERENCIA],TablaSeleccionSupervisores[#Headers])))</f>
        <v>30000</v>
      </c>
      <c r="AB339" s="28" cm="1">
        <f t="array" ref="AB339">SUM(TablaSupervisores[COSTE]*INDEX(TablaSeleccionSupervisores[],ROW(TablaSeleccionSupervisores[[#This Row],[ORDEN]])-1,_xlfn.XMATCH(TablaSupervisores[REFERENCIA],TablaSeleccionSupervisores[#Headers])))</f>
        <v>27010.18</v>
      </c>
      <c r="AC339" cm="1">
        <f t="array" ref="AC339">SUM(INDEX(TablaSeleccionSupervisores[],ROW(TablaSeleccionSupervisores[[#This Row],[ORDEN]])-1,_xlfn.XMATCH(TablaSupervisores[REFERENCIA],TablaSeleccionSupervisores[#Headers])))</f>
        <v>8</v>
      </c>
      <c r="AD339" t="str" cm="1">
        <f t="array" ref="AD339">IF(INDEX(TablaSeleccionSupervisores[],ROW(TablaSeleccionSupervisores[[#This Row],[ORDEN]])-1,_xlfn.XMATCH("ADMITIDO ADSLITE",TablaSeleccionSupervisores[#Headers])+1)=0,"Sí admitido","No admitido")</f>
        <v>No admitido</v>
      </c>
      <c r="AE339">
        <v>4</v>
      </c>
      <c r="AF339">
        <v>0</v>
      </c>
      <c r="AG339">
        <v>2</v>
      </c>
      <c r="AH339">
        <v>2</v>
      </c>
    </row>
    <row r="340" spans="22:34" x14ac:dyDescent="0.25">
      <c r="V340">
        <v>339</v>
      </c>
      <c r="W340" cm="1">
        <f t="array" ref="W340">SUM(TablaSupervisores[DISPOSITIVOS TOTAL]*INDEX(TablaSeleccionSupervisores[],ROW(TablaSeleccionSupervisores[[#This Row],[ORDEN]])-1,_xlfn.XMATCH(TablaSupervisores[REFERENCIA],TablaSeleccionSupervisores[#Headers])))</f>
        <v>278</v>
      </c>
      <c r="X340" cm="1">
        <f t="array" ref="X340">SUM(TablaSupervisores[DISPOSITIVOS BACNET MS/TP JC]*INDEX(TablaSeleccionSupervisores[],ROW(TablaSeleccionSupervisores[[#This Row],[ORDEN]])-1,_xlfn.XMATCH(TablaSupervisores[REFERENCIA],TablaSeleccionSupervisores[#Headers])))</f>
        <v>208</v>
      </c>
      <c r="Y340" cm="1">
        <f t="array" ref="Y340">SUM(TablaSupervisores[DISPOSITIVOS BACNET MS/TP COMPATIBLES]*INDEX(TablaSeleccionSupervisores[],ROW(TablaSeleccionSupervisores[[#This Row],[ORDEN]])-1,_xlfn.XMATCH(TablaSupervisores[REFERENCIA],TablaSeleccionSupervisores[#Headers])))</f>
        <v>136</v>
      </c>
      <c r="Z340" cm="1">
        <f t="array" ref="Z340">SUM(TablaSupervisores[DISPOSITIVOS BACNET IP]*INDEX(TablaSeleccionSupervisores[],ROW(TablaSeleccionSupervisores[[#This Row],[ORDEN]])-1,_xlfn.XMATCH(TablaSupervisores[REFERENCIA],TablaSeleccionSupervisores[#Headers])))</f>
        <v>420</v>
      </c>
      <c r="AA340" cm="1">
        <f t="array" ref="AA340">SUM(TablaSupervisores[OBJETOS]*INDEX(TablaSeleccionSupervisores[],ROW(TablaSeleccionSupervisores[[#This Row],[ORDEN]])-1,_xlfn.XMATCH(TablaSupervisores[REFERENCIA],TablaSeleccionSupervisores[#Headers])))</f>
        <v>12500</v>
      </c>
      <c r="AB340" s="28" cm="1">
        <f t="array" ref="AB340">SUM(TablaSupervisores[COSTE]*INDEX(TablaSeleccionSupervisores[],ROW(TablaSeleccionSupervisores[[#This Row],[ORDEN]])-1,_xlfn.XMATCH(TablaSupervisores[REFERENCIA],TablaSeleccionSupervisores[#Headers])))</f>
        <v>8332.3900000000012</v>
      </c>
      <c r="AC340" cm="1">
        <f t="array" ref="AC340">SUM(INDEX(TablaSeleccionSupervisores[],ROW(TablaSeleccionSupervisores[[#This Row],[ORDEN]])-1,_xlfn.XMATCH(TablaSupervisores[REFERENCIA],TablaSeleccionSupervisores[#Headers])))</f>
        <v>5</v>
      </c>
      <c r="AD340" t="str" cm="1">
        <f t="array" ref="AD340">IF(INDEX(TablaSeleccionSupervisores[],ROW(TablaSeleccionSupervisores[[#This Row],[ORDEN]])-1,_xlfn.XMATCH("ADMITIDO ADSLITE",TablaSeleccionSupervisores[#Headers])+1)=0,"Sí admitido","No admitido")</f>
        <v>Sí admitido</v>
      </c>
      <c r="AE340">
        <v>0</v>
      </c>
      <c r="AF340">
        <v>1</v>
      </c>
      <c r="AG340">
        <v>2</v>
      </c>
      <c r="AH340">
        <v>2</v>
      </c>
    </row>
    <row r="341" spans="22:34" x14ac:dyDescent="0.25">
      <c r="V341">
        <v>340</v>
      </c>
      <c r="W341" cm="1">
        <f t="array" ref="W341">SUM(TablaSupervisores[DISPOSITIVOS TOTAL]*INDEX(TablaSeleccionSupervisores[],ROW(TablaSeleccionSupervisores[[#This Row],[ORDEN]])-1,_xlfn.XMATCH(TablaSupervisores[REFERENCIA],TablaSeleccionSupervisores[#Headers])))</f>
        <v>878</v>
      </c>
      <c r="X341" cm="1">
        <f t="array" ref="X341">SUM(TablaSupervisores[DISPOSITIVOS BACNET MS/TP JC]*INDEX(TablaSeleccionSupervisores[],ROW(TablaSeleccionSupervisores[[#This Row],[ORDEN]])-1,_xlfn.XMATCH(TablaSupervisores[REFERENCIA],TablaSeleccionSupervisores[#Headers])))</f>
        <v>408</v>
      </c>
      <c r="Y341" cm="1">
        <f t="array" ref="Y341">SUM(TablaSupervisores[DISPOSITIVOS BACNET MS/TP COMPATIBLES]*INDEX(TablaSeleccionSupervisores[],ROW(TablaSeleccionSupervisores[[#This Row],[ORDEN]])-1,_xlfn.XMATCH(TablaSupervisores[REFERENCIA],TablaSeleccionSupervisores[#Headers])))</f>
        <v>264</v>
      </c>
      <c r="Z341" cm="1">
        <f t="array" ref="Z341">SUM(TablaSupervisores[DISPOSITIVOS BACNET IP]*INDEX(TablaSeleccionSupervisores[],ROW(TablaSeleccionSupervisores[[#This Row],[ORDEN]])-1,_xlfn.XMATCH(TablaSupervisores[REFERENCIA],TablaSeleccionSupervisores[#Headers])))</f>
        <v>820</v>
      </c>
      <c r="AA341" cm="1">
        <f t="array" ref="AA341">SUM(TablaSupervisores[OBJETOS]*INDEX(TablaSeleccionSupervisores[],ROW(TablaSeleccionSupervisores[[#This Row],[ORDEN]])-1,_xlfn.XMATCH(TablaSupervisores[REFERENCIA],TablaSeleccionSupervisores[#Headers])))</f>
        <v>17500</v>
      </c>
      <c r="AB341" s="28" cm="1">
        <f t="array" ref="AB341">SUM(TablaSupervisores[COSTE]*INDEX(TablaSeleccionSupervisores[],ROW(TablaSeleccionSupervisores[[#This Row],[ORDEN]])-1,_xlfn.XMATCH(TablaSupervisores[REFERENCIA],TablaSeleccionSupervisores[#Headers])))</f>
        <v>13999.02</v>
      </c>
      <c r="AC341" cm="1">
        <f t="array" ref="AC341">SUM(INDEX(TablaSeleccionSupervisores[],ROW(TablaSeleccionSupervisores[[#This Row],[ORDEN]])-1,_xlfn.XMATCH(TablaSupervisores[REFERENCIA],TablaSeleccionSupervisores[#Headers])))</f>
        <v>6</v>
      </c>
      <c r="AD341" t="str" cm="1">
        <f t="array" ref="AD341">IF(INDEX(TablaSeleccionSupervisores[],ROW(TablaSeleccionSupervisores[[#This Row],[ORDEN]])-1,_xlfn.XMATCH("ADMITIDO ADSLITE",TablaSeleccionSupervisores[#Headers])+1)=0,"Sí admitido","No admitido")</f>
        <v>No admitido</v>
      </c>
      <c r="AE341">
        <v>1</v>
      </c>
      <c r="AF341">
        <v>1</v>
      </c>
      <c r="AG341">
        <v>2</v>
      </c>
      <c r="AH341">
        <v>2</v>
      </c>
    </row>
    <row r="342" spans="22:34" x14ac:dyDescent="0.25">
      <c r="V342">
        <v>341</v>
      </c>
      <c r="W342" cm="1">
        <f t="array" ref="W342">SUM(TablaSupervisores[DISPOSITIVOS TOTAL]*INDEX(TablaSeleccionSupervisores[],ROW(TablaSeleccionSupervisores[[#This Row],[ORDEN]])-1,_xlfn.XMATCH(TablaSupervisores[REFERENCIA],TablaSeleccionSupervisores[#Headers])))</f>
        <v>1478</v>
      </c>
      <c r="X342" cm="1">
        <f t="array" ref="X342">SUM(TablaSupervisores[DISPOSITIVOS BACNET MS/TP JC]*INDEX(TablaSeleccionSupervisores[],ROW(TablaSeleccionSupervisores[[#This Row],[ORDEN]])-1,_xlfn.XMATCH(TablaSupervisores[REFERENCIA],TablaSeleccionSupervisores[#Headers])))</f>
        <v>608</v>
      </c>
      <c r="Y342" cm="1">
        <f t="array" ref="Y342">SUM(TablaSupervisores[DISPOSITIVOS BACNET MS/TP COMPATIBLES]*INDEX(TablaSeleccionSupervisores[],ROW(TablaSeleccionSupervisores[[#This Row],[ORDEN]])-1,_xlfn.XMATCH(TablaSupervisores[REFERENCIA],TablaSeleccionSupervisores[#Headers])))</f>
        <v>392</v>
      </c>
      <c r="Z342" cm="1">
        <f t="array" ref="Z342">SUM(TablaSupervisores[DISPOSITIVOS BACNET IP]*INDEX(TablaSeleccionSupervisores[],ROW(TablaSeleccionSupervisores[[#This Row],[ORDEN]])-1,_xlfn.XMATCH(TablaSupervisores[REFERENCIA],TablaSeleccionSupervisores[#Headers])))</f>
        <v>1220</v>
      </c>
      <c r="AA342" cm="1">
        <f t="array" ref="AA342">SUM(TablaSupervisores[OBJETOS]*INDEX(TablaSeleccionSupervisores[],ROW(TablaSeleccionSupervisores[[#This Row],[ORDEN]])-1,_xlfn.XMATCH(TablaSupervisores[REFERENCIA],TablaSeleccionSupervisores[#Headers])))</f>
        <v>22500</v>
      </c>
      <c r="AB342" s="28" cm="1">
        <f t="array" ref="AB342">SUM(TablaSupervisores[COSTE]*INDEX(TablaSeleccionSupervisores[],ROW(TablaSeleccionSupervisores[[#This Row],[ORDEN]])-1,_xlfn.XMATCH(TablaSupervisores[REFERENCIA],TablaSeleccionSupervisores[#Headers])))</f>
        <v>19665.650000000001</v>
      </c>
      <c r="AC342" cm="1">
        <f t="array" ref="AC342">SUM(INDEX(TablaSeleccionSupervisores[],ROW(TablaSeleccionSupervisores[[#This Row],[ORDEN]])-1,_xlfn.XMATCH(TablaSupervisores[REFERENCIA],TablaSeleccionSupervisores[#Headers])))</f>
        <v>7</v>
      </c>
      <c r="AD342" t="str" cm="1">
        <f t="array" ref="AD342">IF(INDEX(TablaSeleccionSupervisores[],ROW(TablaSeleccionSupervisores[[#This Row],[ORDEN]])-1,_xlfn.XMATCH("ADMITIDO ADSLITE",TablaSeleccionSupervisores[#Headers])+1)=0,"Sí admitido","No admitido")</f>
        <v>No admitido</v>
      </c>
      <c r="AE342">
        <v>2</v>
      </c>
      <c r="AF342">
        <v>1</v>
      </c>
      <c r="AG342">
        <v>2</v>
      </c>
      <c r="AH342">
        <v>2</v>
      </c>
    </row>
    <row r="343" spans="22:34" x14ac:dyDescent="0.25">
      <c r="V343">
        <v>342</v>
      </c>
      <c r="W343" cm="1">
        <f t="array" ref="W343">SUM(TablaSupervisores[DISPOSITIVOS TOTAL]*INDEX(TablaSeleccionSupervisores[],ROW(TablaSeleccionSupervisores[[#This Row],[ORDEN]])-1,_xlfn.XMATCH(TablaSupervisores[REFERENCIA],TablaSeleccionSupervisores[#Headers])))</f>
        <v>2078</v>
      </c>
      <c r="X343" cm="1">
        <f t="array" ref="X343">SUM(TablaSupervisores[DISPOSITIVOS BACNET MS/TP JC]*INDEX(TablaSeleccionSupervisores[],ROW(TablaSeleccionSupervisores[[#This Row],[ORDEN]])-1,_xlfn.XMATCH(TablaSupervisores[REFERENCIA],TablaSeleccionSupervisores[#Headers])))</f>
        <v>808</v>
      </c>
      <c r="Y343" cm="1">
        <f t="array" ref="Y343">SUM(TablaSupervisores[DISPOSITIVOS BACNET MS/TP COMPATIBLES]*INDEX(TablaSeleccionSupervisores[],ROW(TablaSeleccionSupervisores[[#This Row],[ORDEN]])-1,_xlfn.XMATCH(TablaSupervisores[REFERENCIA],TablaSeleccionSupervisores[#Headers])))</f>
        <v>520</v>
      </c>
      <c r="Z343" cm="1">
        <f t="array" ref="Z343">SUM(TablaSupervisores[DISPOSITIVOS BACNET IP]*INDEX(TablaSeleccionSupervisores[],ROW(TablaSeleccionSupervisores[[#This Row],[ORDEN]])-1,_xlfn.XMATCH(TablaSupervisores[REFERENCIA],TablaSeleccionSupervisores[#Headers])))</f>
        <v>1620</v>
      </c>
      <c r="AA343" cm="1">
        <f t="array" ref="AA343">SUM(TablaSupervisores[OBJETOS]*INDEX(TablaSeleccionSupervisores[],ROW(TablaSeleccionSupervisores[[#This Row],[ORDEN]])-1,_xlfn.XMATCH(TablaSupervisores[REFERENCIA],TablaSeleccionSupervisores[#Headers])))</f>
        <v>27500</v>
      </c>
      <c r="AB343" s="28" cm="1">
        <f t="array" ref="AB343">SUM(TablaSupervisores[COSTE]*INDEX(TablaSeleccionSupervisores[],ROW(TablaSeleccionSupervisores[[#This Row],[ORDEN]])-1,_xlfn.XMATCH(TablaSupervisores[REFERENCIA],TablaSeleccionSupervisores[#Headers])))</f>
        <v>25332.28</v>
      </c>
      <c r="AC343" cm="1">
        <f t="array" ref="AC343">SUM(INDEX(TablaSeleccionSupervisores[],ROW(TablaSeleccionSupervisores[[#This Row],[ORDEN]])-1,_xlfn.XMATCH(TablaSupervisores[REFERENCIA],TablaSeleccionSupervisores[#Headers])))</f>
        <v>8</v>
      </c>
      <c r="AD343" t="str" cm="1">
        <f t="array" ref="AD343">IF(INDEX(TablaSeleccionSupervisores[],ROW(TablaSeleccionSupervisores[[#This Row],[ORDEN]])-1,_xlfn.XMATCH("ADMITIDO ADSLITE",TablaSeleccionSupervisores[#Headers])+1)=0,"Sí admitido","No admitido")</f>
        <v>No admitido</v>
      </c>
      <c r="AE343">
        <v>3</v>
      </c>
      <c r="AF343">
        <v>1</v>
      </c>
      <c r="AG343">
        <v>2</v>
      </c>
      <c r="AH343">
        <v>2</v>
      </c>
    </row>
    <row r="344" spans="22:34" x14ac:dyDescent="0.25">
      <c r="V344">
        <v>343</v>
      </c>
      <c r="W344" cm="1">
        <f t="array" ref="W344">SUM(TablaSupervisores[DISPOSITIVOS TOTAL]*INDEX(TablaSeleccionSupervisores[],ROW(TablaSeleccionSupervisores[[#This Row],[ORDEN]])-1,_xlfn.XMATCH(TablaSupervisores[REFERENCIA],TablaSeleccionSupervisores[#Headers])))</f>
        <v>428</v>
      </c>
      <c r="X344" cm="1">
        <f t="array" ref="X344">SUM(TablaSupervisores[DISPOSITIVOS BACNET MS/TP JC]*INDEX(TablaSeleccionSupervisores[],ROW(TablaSeleccionSupervisores[[#This Row],[ORDEN]])-1,_xlfn.XMATCH(TablaSupervisores[REFERENCIA],TablaSeleccionSupervisores[#Headers])))</f>
        <v>308</v>
      </c>
      <c r="Y344" cm="1">
        <f t="array" ref="Y344">SUM(TablaSupervisores[DISPOSITIVOS BACNET MS/TP COMPATIBLES]*INDEX(TablaSeleccionSupervisores[],ROW(TablaSeleccionSupervisores[[#This Row],[ORDEN]])-1,_xlfn.XMATCH(TablaSupervisores[REFERENCIA],TablaSeleccionSupervisores[#Headers])))</f>
        <v>200</v>
      </c>
      <c r="Z344" cm="1">
        <f t="array" ref="Z344">SUM(TablaSupervisores[DISPOSITIVOS BACNET IP]*INDEX(TablaSeleccionSupervisores[],ROW(TablaSeleccionSupervisores[[#This Row],[ORDEN]])-1,_xlfn.XMATCH(TablaSupervisores[REFERENCIA],TablaSeleccionSupervisores[#Headers])))</f>
        <v>620</v>
      </c>
      <c r="AA344" cm="1">
        <f t="array" ref="AA344">SUM(TablaSupervisores[OBJETOS]*INDEX(TablaSeleccionSupervisores[],ROW(TablaSeleccionSupervisores[[#This Row],[ORDEN]])-1,_xlfn.XMATCH(TablaSupervisores[REFERENCIA],TablaSeleccionSupervisores[#Headers])))</f>
        <v>15000</v>
      </c>
      <c r="AB344" s="28" cm="1">
        <f t="array" ref="AB344">SUM(TablaSupervisores[COSTE]*INDEX(TablaSeleccionSupervisores[],ROW(TablaSeleccionSupervisores[[#This Row],[ORDEN]])-1,_xlfn.XMATCH(TablaSupervisores[REFERENCIA],TablaSeleccionSupervisores[#Headers])))</f>
        <v>12321.12</v>
      </c>
      <c r="AC344" cm="1">
        <f t="array" ref="AC344">SUM(INDEX(TablaSeleccionSupervisores[],ROW(TablaSeleccionSupervisores[[#This Row],[ORDEN]])-1,_xlfn.XMATCH(TablaSupervisores[REFERENCIA],TablaSeleccionSupervisores[#Headers])))</f>
        <v>6</v>
      </c>
      <c r="AD344" t="str" cm="1">
        <f t="array" ref="AD344">IF(INDEX(TablaSeleccionSupervisores[],ROW(TablaSeleccionSupervisores[[#This Row],[ORDEN]])-1,_xlfn.XMATCH("ADMITIDO ADSLITE",TablaSeleccionSupervisores[#Headers])+1)=0,"Sí admitido","No admitido")</f>
        <v>Sí admitido</v>
      </c>
      <c r="AE344">
        <v>0</v>
      </c>
      <c r="AF344">
        <v>2</v>
      </c>
      <c r="AG344">
        <v>2</v>
      </c>
      <c r="AH344">
        <v>2</v>
      </c>
    </row>
    <row r="345" spans="22:34" x14ac:dyDescent="0.25">
      <c r="V345">
        <v>344</v>
      </c>
      <c r="W345" cm="1">
        <f t="array" ref="W345">SUM(TablaSupervisores[DISPOSITIVOS TOTAL]*INDEX(TablaSeleccionSupervisores[],ROW(TablaSeleccionSupervisores[[#This Row],[ORDEN]])-1,_xlfn.XMATCH(TablaSupervisores[REFERENCIA],TablaSeleccionSupervisores[#Headers])))</f>
        <v>1028</v>
      </c>
      <c r="X345" cm="1">
        <f t="array" ref="X345">SUM(TablaSupervisores[DISPOSITIVOS BACNET MS/TP JC]*INDEX(TablaSeleccionSupervisores[],ROW(TablaSeleccionSupervisores[[#This Row],[ORDEN]])-1,_xlfn.XMATCH(TablaSupervisores[REFERENCIA],TablaSeleccionSupervisores[#Headers])))</f>
        <v>508</v>
      </c>
      <c r="Y345" cm="1">
        <f t="array" ref="Y345">SUM(TablaSupervisores[DISPOSITIVOS BACNET MS/TP COMPATIBLES]*INDEX(TablaSeleccionSupervisores[],ROW(TablaSeleccionSupervisores[[#This Row],[ORDEN]])-1,_xlfn.XMATCH(TablaSupervisores[REFERENCIA],TablaSeleccionSupervisores[#Headers])))</f>
        <v>328</v>
      </c>
      <c r="Z345" cm="1">
        <f t="array" ref="Z345">SUM(TablaSupervisores[DISPOSITIVOS BACNET IP]*INDEX(TablaSeleccionSupervisores[],ROW(TablaSeleccionSupervisores[[#This Row],[ORDEN]])-1,_xlfn.XMATCH(TablaSupervisores[REFERENCIA],TablaSeleccionSupervisores[#Headers])))</f>
        <v>1020</v>
      </c>
      <c r="AA345" cm="1">
        <f t="array" ref="AA345">SUM(TablaSupervisores[OBJETOS]*INDEX(TablaSeleccionSupervisores[],ROW(TablaSeleccionSupervisores[[#This Row],[ORDEN]])-1,_xlfn.XMATCH(TablaSupervisores[REFERENCIA],TablaSeleccionSupervisores[#Headers])))</f>
        <v>20000</v>
      </c>
      <c r="AB345" s="28" cm="1">
        <f t="array" ref="AB345">SUM(TablaSupervisores[COSTE]*INDEX(TablaSeleccionSupervisores[],ROW(TablaSeleccionSupervisores[[#This Row],[ORDEN]])-1,_xlfn.XMATCH(TablaSupervisores[REFERENCIA],TablaSeleccionSupervisores[#Headers])))</f>
        <v>17987.75</v>
      </c>
      <c r="AC345" cm="1">
        <f t="array" ref="AC345">SUM(INDEX(TablaSeleccionSupervisores[],ROW(TablaSeleccionSupervisores[[#This Row],[ORDEN]])-1,_xlfn.XMATCH(TablaSupervisores[REFERENCIA],TablaSeleccionSupervisores[#Headers])))</f>
        <v>7</v>
      </c>
      <c r="AD345" t="str" cm="1">
        <f t="array" ref="AD345">IF(INDEX(TablaSeleccionSupervisores[],ROW(TablaSeleccionSupervisores[[#This Row],[ORDEN]])-1,_xlfn.XMATCH("ADMITIDO ADSLITE",TablaSeleccionSupervisores[#Headers])+1)=0,"Sí admitido","No admitido")</f>
        <v>No admitido</v>
      </c>
      <c r="AE345">
        <v>1</v>
      </c>
      <c r="AF345">
        <v>2</v>
      </c>
      <c r="AG345">
        <v>2</v>
      </c>
      <c r="AH345">
        <v>2</v>
      </c>
    </row>
    <row r="346" spans="22:34" x14ac:dyDescent="0.25">
      <c r="V346">
        <v>345</v>
      </c>
      <c r="W346" cm="1">
        <f t="array" ref="W346">SUM(TablaSupervisores[DISPOSITIVOS TOTAL]*INDEX(TablaSeleccionSupervisores[],ROW(TablaSeleccionSupervisores[[#This Row],[ORDEN]])-1,_xlfn.XMATCH(TablaSupervisores[REFERENCIA],TablaSeleccionSupervisores[#Headers])))</f>
        <v>1628</v>
      </c>
      <c r="X346" cm="1">
        <f t="array" ref="X346">SUM(TablaSupervisores[DISPOSITIVOS BACNET MS/TP JC]*INDEX(TablaSeleccionSupervisores[],ROW(TablaSeleccionSupervisores[[#This Row],[ORDEN]])-1,_xlfn.XMATCH(TablaSupervisores[REFERENCIA],TablaSeleccionSupervisores[#Headers])))</f>
        <v>708</v>
      </c>
      <c r="Y346" cm="1">
        <f t="array" ref="Y346">SUM(TablaSupervisores[DISPOSITIVOS BACNET MS/TP COMPATIBLES]*INDEX(TablaSeleccionSupervisores[],ROW(TablaSeleccionSupervisores[[#This Row],[ORDEN]])-1,_xlfn.XMATCH(TablaSupervisores[REFERENCIA],TablaSeleccionSupervisores[#Headers])))</f>
        <v>456</v>
      </c>
      <c r="Z346" cm="1">
        <f t="array" ref="Z346">SUM(TablaSupervisores[DISPOSITIVOS BACNET IP]*INDEX(TablaSeleccionSupervisores[],ROW(TablaSeleccionSupervisores[[#This Row],[ORDEN]])-1,_xlfn.XMATCH(TablaSupervisores[REFERENCIA],TablaSeleccionSupervisores[#Headers])))</f>
        <v>1420</v>
      </c>
      <c r="AA346" cm="1">
        <f t="array" ref="AA346">SUM(TablaSupervisores[OBJETOS]*INDEX(TablaSeleccionSupervisores[],ROW(TablaSeleccionSupervisores[[#This Row],[ORDEN]])-1,_xlfn.XMATCH(TablaSupervisores[REFERENCIA],TablaSeleccionSupervisores[#Headers])))</f>
        <v>25000</v>
      </c>
      <c r="AB346" s="28" cm="1">
        <f t="array" ref="AB346">SUM(TablaSupervisores[COSTE]*INDEX(TablaSeleccionSupervisores[],ROW(TablaSeleccionSupervisores[[#This Row],[ORDEN]])-1,_xlfn.XMATCH(TablaSupervisores[REFERENCIA],TablaSeleccionSupervisores[#Headers])))</f>
        <v>23654.38</v>
      </c>
      <c r="AC346" cm="1">
        <f t="array" ref="AC346">SUM(INDEX(TablaSeleccionSupervisores[],ROW(TablaSeleccionSupervisores[[#This Row],[ORDEN]])-1,_xlfn.XMATCH(TablaSupervisores[REFERENCIA],TablaSeleccionSupervisores[#Headers])))</f>
        <v>8</v>
      </c>
      <c r="AD346" t="str" cm="1">
        <f t="array" ref="AD346">IF(INDEX(TablaSeleccionSupervisores[],ROW(TablaSeleccionSupervisores[[#This Row],[ORDEN]])-1,_xlfn.XMATCH("ADMITIDO ADSLITE",TablaSeleccionSupervisores[#Headers])+1)=0,"Sí admitido","No admitido")</f>
        <v>No admitido</v>
      </c>
      <c r="AE346">
        <v>2</v>
      </c>
      <c r="AF346">
        <v>2</v>
      </c>
      <c r="AG346">
        <v>2</v>
      </c>
      <c r="AH346">
        <v>2</v>
      </c>
    </row>
    <row r="347" spans="22:34" x14ac:dyDescent="0.25">
      <c r="V347">
        <v>346</v>
      </c>
      <c r="W347" cm="1">
        <f t="array" ref="W347">SUM(TablaSupervisores[DISPOSITIVOS TOTAL]*INDEX(TablaSeleccionSupervisores[],ROW(TablaSeleccionSupervisores[[#This Row],[ORDEN]])-1,_xlfn.XMATCH(TablaSupervisores[REFERENCIA],TablaSeleccionSupervisores[#Headers])))</f>
        <v>578</v>
      </c>
      <c r="X347" cm="1">
        <f t="array" ref="X347">SUM(TablaSupervisores[DISPOSITIVOS BACNET MS/TP JC]*INDEX(TablaSeleccionSupervisores[],ROW(TablaSeleccionSupervisores[[#This Row],[ORDEN]])-1,_xlfn.XMATCH(TablaSupervisores[REFERENCIA],TablaSeleccionSupervisores[#Headers])))</f>
        <v>408</v>
      </c>
      <c r="Y347" cm="1">
        <f t="array" ref="Y347">SUM(TablaSupervisores[DISPOSITIVOS BACNET MS/TP COMPATIBLES]*INDEX(TablaSeleccionSupervisores[],ROW(TablaSeleccionSupervisores[[#This Row],[ORDEN]])-1,_xlfn.XMATCH(TablaSupervisores[REFERENCIA],TablaSeleccionSupervisores[#Headers])))</f>
        <v>264</v>
      </c>
      <c r="Z347" cm="1">
        <f t="array" ref="Z347">SUM(TablaSupervisores[DISPOSITIVOS BACNET IP]*INDEX(TablaSeleccionSupervisores[],ROW(TablaSeleccionSupervisores[[#This Row],[ORDEN]])-1,_xlfn.XMATCH(TablaSupervisores[REFERENCIA],TablaSeleccionSupervisores[#Headers])))</f>
        <v>820</v>
      </c>
      <c r="AA347" cm="1">
        <f t="array" ref="AA347">SUM(TablaSupervisores[OBJETOS]*INDEX(TablaSeleccionSupervisores[],ROW(TablaSeleccionSupervisores[[#This Row],[ORDEN]])-1,_xlfn.XMATCH(TablaSupervisores[REFERENCIA],TablaSeleccionSupervisores[#Headers])))</f>
        <v>17500</v>
      </c>
      <c r="AB347" s="28" cm="1">
        <f t="array" ref="AB347">SUM(TablaSupervisores[COSTE]*INDEX(TablaSeleccionSupervisores[],ROW(TablaSeleccionSupervisores[[#This Row],[ORDEN]])-1,_xlfn.XMATCH(TablaSupervisores[REFERENCIA],TablaSeleccionSupervisores[#Headers])))</f>
        <v>16309.850000000002</v>
      </c>
      <c r="AC347" cm="1">
        <f t="array" ref="AC347">SUM(INDEX(TablaSeleccionSupervisores[],ROW(TablaSeleccionSupervisores[[#This Row],[ORDEN]])-1,_xlfn.XMATCH(TablaSupervisores[REFERENCIA],TablaSeleccionSupervisores[#Headers])))</f>
        <v>7</v>
      </c>
      <c r="AD347" t="str" cm="1">
        <f t="array" ref="AD347">IF(INDEX(TablaSeleccionSupervisores[],ROW(TablaSeleccionSupervisores[[#This Row],[ORDEN]])-1,_xlfn.XMATCH("ADMITIDO ADSLITE",TablaSeleccionSupervisores[#Headers])+1)=0,"Sí admitido","No admitido")</f>
        <v>Sí admitido</v>
      </c>
      <c r="AE347">
        <v>0</v>
      </c>
      <c r="AF347">
        <v>3</v>
      </c>
      <c r="AG347">
        <v>2</v>
      </c>
      <c r="AH347">
        <v>2</v>
      </c>
    </row>
    <row r="348" spans="22:34" x14ac:dyDescent="0.25">
      <c r="V348">
        <v>347</v>
      </c>
      <c r="W348" cm="1">
        <f t="array" ref="W348">SUM(TablaSupervisores[DISPOSITIVOS TOTAL]*INDEX(TablaSeleccionSupervisores[],ROW(TablaSeleccionSupervisores[[#This Row],[ORDEN]])-1,_xlfn.XMATCH(TablaSupervisores[REFERENCIA],TablaSeleccionSupervisores[#Headers])))</f>
        <v>1178</v>
      </c>
      <c r="X348" cm="1">
        <f t="array" ref="X348">SUM(TablaSupervisores[DISPOSITIVOS BACNET MS/TP JC]*INDEX(TablaSeleccionSupervisores[],ROW(TablaSeleccionSupervisores[[#This Row],[ORDEN]])-1,_xlfn.XMATCH(TablaSupervisores[REFERENCIA],TablaSeleccionSupervisores[#Headers])))</f>
        <v>608</v>
      </c>
      <c r="Y348" cm="1">
        <f t="array" ref="Y348">SUM(TablaSupervisores[DISPOSITIVOS BACNET MS/TP COMPATIBLES]*INDEX(TablaSeleccionSupervisores[],ROW(TablaSeleccionSupervisores[[#This Row],[ORDEN]])-1,_xlfn.XMATCH(TablaSupervisores[REFERENCIA],TablaSeleccionSupervisores[#Headers])))</f>
        <v>392</v>
      </c>
      <c r="Z348" cm="1">
        <f t="array" ref="Z348">SUM(TablaSupervisores[DISPOSITIVOS BACNET IP]*INDEX(TablaSeleccionSupervisores[],ROW(TablaSeleccionSupervisores[[#This Row],[ORDEN]])-1,_xlfn.XMATCH(TablaSupervisores[REFERENCIA],TablaSeleccionSupervisores[#Headers])))</f>
        <v>1220</v>
      </c>
      <c r="AA348" cm="1">
        <f t="array" ref="AA348">SUM(TablaSupervisores[OBJETOS]*INDEX(TablaSeleccionSupervisores[],ROW(TablaSeleccionSupervisores[[#This Row],[ORDEN]])-1,_xlfn.XMATCH(TablaSupervisores[REFERENCIA],TablaSeleccionSupervisores[#Headers])))</f>
        <v>22500</v>
      </c>
      <c r="AB348" s="28" cm="1">
        <f t="array" ref="AB348">SUM(TablaSupervisores[COSTE]*INDEX(TablaSeleccionSupervisores[],ROW(TablaSeleccionSupervisores[[#This Row],[ORDEN]])-1,_xlfn.XMATCH(TablaSupervisores[REFERENCIA],TablaSeleccionSupervisores[#Headers])))</f>
        <v>21976.48</v>
      </c>
      <c r="AC348" cm="1">
        <f t="array" ref="AC348">SUM(INDEX(TablaSeleccionSupervisores[],ROW(TablaSeleccionSupervisores[[#This Row],[ORDEN]])-1,_xlfn.XMATCH(TablaSupervisores[REFERENCIA],TablaSeleccionSupervisores[#Headers])))</f>
        <v>8</v>
      </c>
      <c r="AD348" t="str" cm="1">
        <f t="array" ref="AD348">IF(INDEX(TablaSeleccionSupervisores[],ROW(TablaSeleccionSupervisores[[#This Row],[ORDEN]])-1,_xlfn.XMATCH("ADMITIDO ADSLITE",TablaSeleccionSupervisores[#Headers])+1)=0,"Sí admitido","No admitido")</f>
        <v>No admitido</v>
      </c>
      <c r="AE348">
        <v>1</v>
      </c>
      <c r="AF348">
        <v>3</v>
      </c>
      <c r="AG348">
        <v>2</v>
      </c>
      <c r="AH348">
        <v>2</v>
      </c>
    </row>
    <row r="349" spans="22:34" x14ac:dyDescent="0.25">
      <c r="V349">
        <v>348</v>
      </c>
      <c r="W349" cm="1">
        <f t="array" ref="W349">SUM(TablaSupervisores[DISPOSITIVOS TOTAL]*INDEX(TablaSeleccionSupervisores[],ROW(TablaSeleccionSupervisores[[#This Row],[ORDEN]])-1,_xlfn.XMATCH(TablaSupervisores[REFERENCIA],TablaSeleccionSupervisores[#Headers])))</f>
        <v>728</v>
      </c>
      <c r="X349" cm="1">
        <f t="array" ref="X349">SUM(TablaSupervisores[DISPOSITIVOS BACNET MS/TP JC]*INDEX(TablaSeleccionSupervisores[],ROW(TablaSeleccionSupervisores[[#This Row],[ORDEN]])-1,_xlfn.XMATCH(TablaSupervisores[REFERENCIA],TablaSeleccionSupervisores[#Headers])))</f>
        <v>508</v>
      </c>
      <c r="Y349" cm="1">
        <f t="array" ref="Y349">SUM(TablaSupervisores[DISPOSITIVOS BACNET MS/TP COMPATIBLES]*INDEX(TablaSeleccionSupervisores[],ROW(TablaSeleccionSupervisores[[#This Row],[ORDEN]])-1,_xlfn.XMATCH(TablaSupervisores[REFERENCIA],TablaSeleccionSupervisores[#Headers])))</f>
        <v>328</v>
      </c>
      <c r="Z349" cm="1">
        <f t="array" ref="Z349">SUM(TablaSupervisores[DISPOSITIVOS BACNET IP]*INDEX(TablaSeleccionSupervisores[],ROW(TablaSeleccionSupervisores[[#This Row],[ORDEN]])-1,_xlfn.XMATCH(TablaSupervisores[REFERENCIA],TablaSeleccionSupervisores[#Headers])))</f>
        <v>1020</v>
      </c>
      <c r="AA349" cm="1">
        <f t="array" ref="AA349">SUM(TablaSupervisores[OBJETOS]*INDEX(TablaSeleccionSupervisores[],ROW(TablaSeleccionSupervisores[[#This Row],[ORDEN]])-1,_xlfn.XMATCH(TablaSupervisores[REFERENCIA],TablaSeleccionSupervisores[#Headers])))</f>
        <v>20000</v>
      </c>
      <c r="AB349" s="28" cm="1">
        <f t="array" ref="AB349">SUM(TablaSupervisores[COSTE]*INDEX(TablaSeleccionSupervisores[],ROW(TablaSeleccionSupervisores[[#This Row],[ORDEN]])-1,_xlfn.XMATCH(TablaSupervisores[REFERENCIA],TablaSeleccionSupervisores[#Headers])))</f>
        <v>20298.580000000002</v>
      </c>
      <c r="AC349" cm="1">
        <f t="array" ref="AC349">SUM(INDEX(TablaSeleccionSupervisores[],ROW(TablaSeleccionSupervisores[[#This Row],[ORDEN]])-1,_xlfn.XMATCH(TablaSupervisores[REFERENCIA],TablaSeleccionSupervisores[#Headers])))</f>
        <v>8</v>
      </c>
      <c r="AD349" t="str" cm="1">
        <f t="array" ref="AD349">IF(INDEX(TablaSeleccionSupervisores[],ROW(TablaSeleccionSupervisores[[#This Row],[ORDEN]])-1,_xlfn.XMATCH("ADMITIDO ADSLITE",TablaSeleccionSupervisores[#Headers])+1)=0,"Sí admitido","No admitido")</f>
        <v>Sí admitido</v>
      </c>
      <c r="AE349">
        <v>0</v>
      </c>
      <c r="AF349">
        <v>4</v>
      </c>
      <c r="AG349">
        <v>2</v>
      </c>
      <c r="AH349">
        <v>2</v>
      </c>
    </row>
    <row r="350" spans="22:34" x14ac:dyDescent="0.25">
      <c r="V350">
        <v>349</v>
      </c>
      <c r="W350" cm="1">
        <f t="array" ref="W350">SUM(TablaSupervisores[DISPOSITIVOS TOTAL]*INDEX(TablaSeleccionSupervisores[],ROW(TablaSeleccionSupervisores[[#This Row],[ORDEN]])-1,_xlfn.XMATCH(TablaSupervisores[REFERENCIA],TablaSeleccionSupervisores[#Headers])))</f>
        <v>188</v>
      </c>
      <c r="X350" cm="1">
        <f t="array" ref="X350">SUM(TablaSupervisores[DISPOSITIVOS BACNET MS/TP JC]*INDEX(TablaSeleccionSupervisores[],ROW(TablaSeleccionSupervisores[[#This Row],[ORDEN]])-1,_xlfn.XMATCH(TablaSupervisores[REFERENCIA],TablaSeleccionSupervisores[#Headers])))</f>
        <v>158</v>
      </c>
      <c r="Y350" cm="1">
        <f t="array" ref="Y350">SUM(TablaSupervisores[DISPOSITIVOS BACNET MS/TP COMPATIBLES]*INDEX(TablaSeleccionSupervisores[],ROW(TablaSeleccionSupervisores[[#This Row],[ORDEN]])-1,_xlfn.XMATCH(TablaSupervisores[REFERENCIA],TablaSeleccionSupervisores[#Headers])))</f>
        <v>104</v>
      </c>
      <c r="Z350" cm="1">
        <f t="array" ref="Z350">SUM(TablaSupervisores[DISPOSITIVOS BACNET IP]*INDEX(TablaSeleccionSupervisores[],ROW(TablaSeleccionSupervisores[[#This Row],[ORDEN]])-1,_xlfn.XMATCH(TablaSupervisores[REFERENCIA],TablaSeleccionSupervisores[#Headers])))</f>
        <v>320</v>
      </c>
      <c r="AA350" cm="1">
        <f t="array" ref="AA350">SUM(TablaSupervisores[OBJETOS]*INDEX(TablaSeleccionSupervisores[],ROW(TablaSeleccionSupervisores[[#This Row],[ORDEN]])-1,_xlfn.XMATCH(TablaSupervisores[REFERENCIA],TablaSeleccionSupervisores[#Headers])))</f>
        <v>12500</v>
      </c>
      <c r="AB350" s="28" cm="1">
        <f t="array" ref="AB350">SUM(TablaSupervisores[COSTE]*INDEX(TablaSeleccionSupervisores[],ROW(TablaSeleccionSupervisores[[#This Row],[ORDEN]])-1,_xlfn.XMATCH(TablaSupervisores[REFERENCIA],TablaSeleccionSupervisores[#Headers])))</f>
        <v>5767.14</v>
      </c>
      <c r="AC350" cm="1">
        <f t="array" ref="AC350">SUM(INDEX(TablaSeleccionSupervisores[],ROW(TablaSeleccionSupervisores[[#This Row],[ORDEN]])-1,_xlfn.XMATCH(TablaSupervisores[REFERENCIA],TablaSeleccionSupervisores[#Headers])))</f>
        <v>5</v>
      </c>
      <c r="AD350" t="str" cm="1">
        <f t="array" ref="AD350">IF(INDEX(TablaSeleccionSupervisores[],ROW(TablaSeleccionSupervisores[[#This Row],[ORDEN]])-1,_xlfn.XMATCH("ADMITIDO ADSLITE",TablaSeleccionSupervisores[#Headers])+1)=0,"Sí admitido","No admitido")</f>
        <v>Sí admitido</v>
      </c>
      <c r="AE350">
        <v>0</v>
      </c>
      <c r="AF350">
        <v>0</v>
      </c>
      <c r="AG350">
        <v>3</v>
      </c>
      <c r="AH350">
        <v>2</v>
      </c>
    </row>
    <row r="351" spans="22:34" x14ac:dyDescent="0.25">
      <c r="V351">
        <v>350</v>
      </c>
      <c r="W351" cm="1">
        <f t="array" ref="W351">SUM(TablaSupervisores[DISPOSITIVOS TOTAL]*INDEX(TablaSeleccionSupervisores[],ROW(TablaSeleccionSupervisores[[#This Row],[ORDEN]])-1,_xlfn.XMATCH(TablaSupervisores[REFERENCIA],TablaSeleccionSupervisores[#Headers])))</f>
        <v>788</v>
      </c>
      <c r="X351" cm="1">
        <f t="array" ref="X351">SUM(TablaSupervisores[DISPOSITIVOS BACNET MS/TP JC]*INDEX(TablaSeleccionSupervisores[],ROW(TablaSeleccionSupervisores[[#This Row],[ORDEN]])-1,_xlfn.XMATCH(TablaSupervisores[REFERENCIA],TablaSeleccionSupervisores[#Headers])))</f>
        <v>358</v>
      </c>
      <c r="Y351" cm="1">
        <f t="array" ref="Y351">SUM(TablaSupervisores[DISPOSITIVOS BACNET MS/TP COMPATIBLES]*INDEX(TablaSeleccionSupervisores[],ROW(TablaSeleccionSupervisores[[#This Row],[ORDEN]])-1,_xlfn.XMATCH(TablaSupervisores[REFERENCIA],TablaSeleccionSupervisores[#Headers])))</f>
        <v>232</v>
      </c>
      <c r="Z351" cm="1">
        <f t="array" ref="Z351">SUM(TablaSupervisores[DISPOSITIVOS BACNET IP]*INDEX(TablaSeleccionSupervisores[],ROW(TablaSeleccionSupervisores[[#This Row],[ORDEN]])-1,_xlfn.XMATCH(TablaSupervisores[REFERENCIA],TablaSeleccionSupervisores[#Headers])))</f>
        <v>720</v>
      </c>
      <c r="AA351" cm="1">
        <f t="array" ref="AA351">SUM(TablaSupervisores[OBJETOS]*INDEX(TablaSeleccionSupervisores[],ROW(TablaSeleccionSupervisores[[#This Row],[ORDEN]])-1,_xlfn.XMATCH(TablaSupervisores[REFERENCIA],TablaSeleccionSupervisores[#Headers])))</f>
        <v>17500</v>
      </c>
      <c r="AB351" s="28" cm="1">
        <f t="array" ref="AB351">SUM(TablaSupervisores[COSTE]*INDEX(TablaSeleccionSupervisores[],ROW(TablaSeleccionSupervisores[[#This Row],[ORDEN]])-1,_xlfn.XMATCH(TablaSupervisores[REFERENCIA],TablaSeleccionSupervisores[#Headers])))</f>
        <v>11433.77</v>
      </c>
      <c r="AC351" cm="1">
        <f t="array" ref="AC351">SUM(INDEX(TablaSeleccionSupervisores[],ROW(TablaSeleccionSupervisores[[#This Row],[ORDEN]])-1,_xlfn.XMATCH(TablaSupervisores[REFERENCIA],TablaSeleccionSupervisores[#Headers])))</f>
        <v>6</v>
      </c>
      <c r="AD351" t="str" cm="1">
        <f t="array" ref="AD351">IF(INDEX(TablaSeleccionSupervisores[],ROW(TablaSeleccionSupervisores[[#This Row],[ORDEN]])-1,_xlfn.XMATCH("ADMITIDO ADSLITE",TablaSeleccionSupervisores[#Headers])+1)=0,"Sí admitido","No admitido")</f>
        <v>No admitido</v>
      </c>
      <c r="AE351">
        <v>1</v>
      </c>
      <c r="AF351">
        <v>0</v>
      </c>
      <c r="AG351">
        <v>3</v>
      </c>
      <c r="AH351">
        <v>2</v>
      </c>
    </row>
    <row r="352" spans="22:34" x14ac:dyDescent="0.25">
      <c r="V352">
        <v>351</v>
      </c>
      <c r="W352" cm="1">
        <f t="array" ref="W352">SUM(TablaSupervisores[DISPOSITIVOS TOTAL]*INDEX(TablaSeleccionSupervisores[],ROW(TablaSeleccionSupervisores[[#This Row],[ORDEN]])-1,_xlfn.XMATCH(TablaSupervisores[REFERENCIA],TablaSeleccionSupervisores[#Headers])))</f>
        <v>1388</v>
      </c>
      <c r="X352" cm="1">
        <f t="array" ref="X352">SUM(TablaSupervisores[DISPOSITIVOS BACNET MS/TP JC]*INDEX(TablaSeleccionSupervisores[],ROW(TablaSeleccionSupervisores[[#This Row],[ORDEN]])-1,_xlfn.XMATCH(TablaSupervisores[REFERENCIA],TablaSeleccionSupervisores[#Headers])))</f>
        <v>558</v>
      </c>
      <c r="Y352" cm="1">
        <f t="array" ref="Y352">SUM(TablaSupervisores[DISPOSITIVOS BACNET MS/TP COMPATIBLES]*INDEX(TablaSeleccionSupervisores[],ROW(TablaSeleccionSupervisores[[#This Row],[ORDEN]])-1,_xlfn.XMATCH(TablaSupervisores[REFERENCIA],TablaSeleccionSupervisores[#Headers])))</f>
        <v>360</v>
      </c>
      <c r="Z352" cm="1">
        <f t="array" ref="Z352">SUM(TablaSupervisores[DISPOSITIVOS BACNET IP]*INDEX(TablaSeleccionSupervisores[],ROW(TablaSeleccionSupervisores[[#This Row],[ORDEN]])-1,_xlfn.XMATCH(TablaSupervisores[REFERENCIA],TablaSeleccionSupervisores[#Headers])))</f>
        <v>1120</v>
      </c>
      <c r="AA352" cm="1">
        <f t="array" ref="AA352">SUM(TablaSupervisores[OBJETOS]*INDEX(TablaSeleccionSupervisores[],ROW(TablaSeleccionSupervisores[[#This Row],[ORDEN]])-1,_xlfn.XMATCH(TablaSupervisores[REFERENCIA],TablaSeleccionSupervisores[#Headers])))</f>
        <v>22500</v>
      </c>
      <c r="AB352" s="28" cm="1">
        <f t="array" ref="AB352">SUM(TablaSupervisores[COSTE]*INDEX(TablaSeleccionSupervisores[],ROW(TablaSeleccionSupervisores[[#This Row],[ORDEN]])-1,_xlfn.XMATCH(TablaSupervisores[REFERENCIA],TablaSeleccionSupervisores[#Headers])))</f>
        <v>17100.400000000001</v>
      </c>
      <c r="AC352" cm="1">
        <f t="array" ref="AC352">SUM(INDEX(TablaSeleccionSupervisores[],ROW(TablaSeleccionSupervisores[[#This Row],[ORDEN]])-1,_xlfn.XMATCH(TablaSupervisores[REFERENCIA],TablaSeleccionSupervisores[#Headers])))</f>
        <v>7</v>
      </c>
      <c r="AD352" t="str" cm="1">
        <f t="array" ref="AD352">IF(INDEX(TablaSeleccionSupervisores[],ROW(TablaSeleccionSupervisores[[#This Row],[ORDEN]])-1,_xlfn.XMATCH("ADMITIDO ADSLITE",TablaSeleccionSupervisores[#Headers])+1)=0,"Sí admitido","No admitido")</f>
        <v>No admitido</v>
      </c>
      <c r="AE352">
        <v>2</v>
      </c>
      <c r="AF352">
        <v>0</v>
      </c>
      <c r="AG352">
        <v>3</v>
      </c>
      <c r="AH352">
        <v>2</v>
      </c>
    </row>
    <row r="353" spans="22:34" x14ac:dyDescent="0.25">
      <c r="V353">
        <v>352</v>
      </c>
      <c r="W353" cm="1">
        <f t="array" ref="W353">SUM(TablaSupervisores[DISPOSITIVOS TOTAL]*INDEX(TablaSeleccionSupervisores[],ROW(TablaSeleccionSupervisores[[#This Row],[ORDEN]])-1,_xlfn.XMATCH(TablaSupervisores[REFERENCIA],TablaSeleccionSupervisores[#Headers])))</f>
        <v>1988</v>
      </c>
      <c r="X353" cm="1">
        <f t="array" ref="X353">SUM(TablaSupervisores[DISPOSITIVOS BACNET MS/TP JC]*INDEX(TablaSeleccionSupervisores[],ROW(TablaSeleccionSupervisores[[#This Row],[ORDEN]])-1,_xlfn.XMATCH(TablaSupervisores[REFERENCIA],TablaSeleccionSupervisores[#Headers])))</f>
        <v>758</v>
      </c>
      <c r="Y353" cm="1">
        <f t="array" ref="Y353">SUM(TablaSupervisores[DISPOSITIVOS BACNET MS/TP COMPATIBLES]*INDEX(TablaSeleccionSupervisores[],ROW(TablaSeleccionSupervisores[[#This Row],[ORDEN]])-1,_xlfn.XMATCH(TablaSupervisores[REFERENCIA],TablaSeleccionSupervisores[#Headers])))</f>
        <v>488</v>
      </c>
      <c r="Z353" cm="1">
        <f t="array" ref="Z353">SUM(TablaSupervisores[DISPOSITIVOS BACNET IP]*INDEX(TablaSeleccionSupervisores[],ROW(TablaSeleccionSupervisores[[#This Row],[ORDEN]])-1,_xlfn.XMATCH(TablaSupervisores[REFERENCIA],TablaSeleccionSupervisores[#Headers])))</f>
        <v>1520</v>
      </c>
      <c r="AA353" cm="1">
        <f t="array" ref="AA353">SUM(TablaSupervisores[OBJETOS]*INDEX(TablaSeleccionSupervisores[],ROW(TablaSeleccionSupervisores[[#This Row],[ORDEN]])-1,_xlfn.XMATCH(TablaSupervisores[REFERENCIA],TablaSeleccionSupervisores[#Headers])))</f>
        <v>27500</v>
      </c>
      <c r="AB353" s="28" cm="1">
        <f t="array" ref="AB353">SUM(TablaSupervisores[COSTE]*INDEX(TablaSeleccionSupervisores[],ROW(TablaSeleccionSupervisores[[#This Row],[ORDEN]])-1,_xlfn.XMATCH(TablaSupervisores[REFERENCIA],TablaSeleccionSupervisores[#Headers])))</f>
        <v>22767.030000000002</v>
      </c>
      <c r="AC353" cm="1">
        <f t="array" ref="AC353">SUM(INDEX(TablaSeleccionSupervisores[],ROW(TablaSeleccionSupervisores[[#This Row],[ORDEN]])-1,_xlfn.XMATCH(TablaSupervisores[REFERENCIA],TablaSeleccionSupervisores[#Headers])))</f>
        <v>8</v>
      </c>
      <c r="AD353" t="str" cm="1">
        <f t="array" ref="AD353">IF(INDEX(TablaSeleccionSupervisores[],ROW(TablaSeleccionSupervisores[[#This Row],[ORDEN]])-1,_xlfn.XMATCH("ADMITIDO ADSLITE",TablaSeleccionSupervisores[#Headers])+1)=0,"Sí admitido","No admitido")</f>
        <v>No admitido</v>
      </c>
      <c r="AE353">
        <v>3</v>
      </c>
      <c r="AF353">
        <v>0</v>
      </c>
      <c r="AG353">
        <v>3</v>
      </c>
      <c r="AH353">
        <v>2</v>
      </c>
    </row>
    <row r="354" spans="22:34" x14ac:dyDescent="0.25">
      <c r="V354">
        <v>353</v>
      </c>
      <c r="W354" cm="1">
        <f t="array" ref="W354">SUM(TablaSupervisores[DISPOSITIVOS TOTAL]*INDEX(TablaSeleccionSupervisores[],ROW(TablaSeleccionSupervisores[[#This Row],[ORDEN]])-1,_xlfn.XMATCH(TablaSupervisores[REFERENCIA],TablaSeleccionSupervisores[#Headers])))</f>
        <v>338</v>
      </c>
      <c r="X354" cm="1">
        <f t="array" ref="X354">SUM(TablaSupervisores[DISPOSITIVOS BACNET MS/TP JC]*INDEX(TablaSeleccionSupervisores[],ROW(TablaSeleccionSupervisores[[#This Row],[ORDEN]])-1,_xlfn.XMATCH(TablaSupervisores[REFERENCIA],TablaSeleccionSupervisores[#Headers])))</f>
        <v>258</v>
      </c>
      <c r="Y354" cm="1">
        <f t="array" ref="Y354">SUM(TablaSupervisores[DISPOSITIVOS BACNET MS/TP COMPATIBLES]*INDEX(TablaSeleccionSupervisores[],ROW(TablaSeleccionSupervisores[[#This Row],[ORDEN]])-1,_xlfn.XMATCH(TablaSupervisores[REFERENCIA],TablaSeleccionSupervisores[#Headers])))</f>
        <v>168</v>
      </c>
      <c r="Z354" cm="1">
        <f t="array" ref="Z354">SUM(TablaSupervisores[DISPOSITIVOS BACNET IP]*INDEX(TablaSeleccionSupervisores[],ROW(TablaSeleccionSupervisores[[#This Row],[ORDEN]])-1,_xlfn.XMATCH(TablaSupervisores[REFERENCIA],TablaSeleccionSupervisores[#Headers])))</f>
        <v>520</v>
      </c>
      <c r="AA354" cm="1">
        <f t="array" ref="AA354">SUM(TablaSupervisores[OBJETOS]*INDEX(TablaSeleccionSupervisores[],ROW(TablaSeleccionSupervisores[[#This Row],[ORDEN]])-1,_xlfn.XMATCH(TablaSupervisores[REFERENCIA],TablaSeleccionSupervisores[#Headers])))</f>
        <v>15000</v>
      </c>
      <c r="AB354" s="28" cm="1">
        <f t="array" ref="AB354">SUM(TablaSupervisores[COSTE]*INDEX(TablaSeleccionSupervisores[],ROW(TablaSeleccionSupervisores[[#This Row],[ORDEN]])-1,_xlfn.XMATCH(TablaSupervisores[REFERENCIA],TablaSeleccionSupervisores[#Headers])))</f>
        <v>9755.8700000000008</v>
      </c>
      <c r="AC354" cm="1">
        <f t="array" ref="AC354">SUM(INDEX(TablaSeleccionSupervisores[],ROW(TablaSeleccionSupervisores[[#This Row],[ORDEN]])-1,_xlfn.XMATCH(TablaSupervisores[REFERENCIA],TablaSeleccionSupervisores[#Headers])))</f>
        <v>6</v>
      </c>
      <c r="AD354" t="str" cm="1">
        <f t="array" ref="AD354">IF(INDEX(TablaSeleccionSupervisores[],ROW(TablaSeleccionSupervisores[[#This Row],[ORDEN]])-1,_xlfn.XMATCH("ADMITIDO ADSLITE",TablaSeleccionSupervisores[#Headers])+1)=0,"Sí admitido","No admitido")</f>
        <v>Sí admitido</v>
      </c>
      <c r="AE354">
        <v>0</v>
      </c>
      <c r="AF354">
        <v>1</v>
      </c>
      <c r="AG354">
        <v>3</v>
      </c>
      <c r="AH354">
        <v>2</v>
      </c>
    </row>
    <row r="355" spans="22:34" x14ac:dyDescent="0.25">
      <c r="V355">
        <v>354</v>
      </c>
      <c r="W355" cm="1">
        <f t="array" ref="W355">SUM(TablaSupervisores[DISPOSITIVOS TOTAL]*INDEX(TablaSeleccionSupervisores[],ROW(TablaSeleccionSupervisores[[#This Row],[ORDEN]])-1,_xlfn.XMATCH(TablaSupervisores[REFERENCIA],TablaSeleccionSupervisores[#Headers])))</f>
        <v>938</v>
      </c>
      <c r="X355" cm="1">
        <f t="array" ref="X355">SUM(TablaSupervisores[DISPOSITIVOS BACNET MS/TP JC]*INDEX(TablaSeleccionSupervisores[],ROW(TablaSeleccionSupervisores[[#This Row],[ORDEN]])-1,_xlfn.XMATCH(TablaSupervisores[REFERENCIA],TablaSeleccionSupervisores[#Headers])))</f>
        <v>458</v>
      </c>
      <c r="Y355" cm="1">
        <f t="array" ref="Y355">SUM(TablaSupervisores[DISPOSITIVOS BACNET MS/TP COMPATIBLES]*INDEX(TablaSeleccionSupervisores[],ROW(TablaSeleccionSupervisores[[#This Row],[ORDEN]])-1,_xlfn.XMATCH(TablaSupervisores[REFERENCIA],TablaSeleccionSupervisores[#Headers])))</f>
        <v>296</v>
      </c>
      <c r="Z355" cm="1">
        <f t="array" ref="Z355">SUM(TablaSupervisores[DISPOSITIVOS BACNET IP]*INDEX(TablaSeleccionSupervisores[],ROW(TablaSeleccionSupervisores[[#This Row],[ORDEN]])-1,_xlfn.XMATCH(TablaSupervisores[REFERENCIA],TablaSeleccionSupervisores[#Headers])))</f>
        <v>920</v>
      </c>
      <c r="AA355" cm="1">
        <f t="array" ref="AA355">SUM(TablaSupervisores[OBJETOS]*INDEX(TablaSeleccionSupervisores[],ROW(TablaSeleccionSupervisores[[#This Row],[ORDEN]])-1,_xlfn.XMATCH(TablaSupervisores[REFERENCIA],TablaSeleccionSupervisores[#Headers])))</f>
        <v>20000</v>
      </c>
      <c r="AB355" s="28" cm="1">
        <f t="array" ref="AB355">SUM(TablaSupervisores[COSTE]*INDEX(TablaSeleccionSupervisores[],ROW(TablaSeleccionSupervisores[[#This Row],[ORDEN]])-1,_xlfn.XMATCH(TablaSupervisores[REFERENCIA],TablaSeleccionSupervisores[#Headers])))</f>
        <v>15422.500000000002</v>
      </c>
      <c r="AC355" cm="1">
        <f t="array" ref="AC355">SUM(INDEX(TablaSeleccionSupervisores[],ROW(TablaSeleccionSupervisores[[#This Row],[ORDEN]])-1,_xlfn.XMATCH(TablaSupervisores[REFERENCIA],TablaSeleccionSupervisores[#Headers])))</f>
        <v>7</v>
      </c>
      <c r="AD355" t="str" cm="1">
        <f t="array" ref="AD355">IF(INDEX(TablaSeleccionSupervisores[],ROW(TablaSeleccionSupervisores[[#This Row],[ORDEN]])-1,_xlfn.XMATCH("ADMITIDO ADSLITE",TablaSeleccionSupervisores[#Headers])+1)=0,"Sí admitido","No admitido")</f>
        <v>No admitido</v>
      </c>
      <c r="AE355">
        <v>1</v>
      </c>
      <c r="AF355">
        <v>1</v>
      </c>
      <c r="AG355">
        <v>3</v>
      </c>
      <c r="AH355">
        <v>2</v>
      </c>
    </row>
    <row r="356" spans="22:34" x14ac:dyDescent="0.25">
      <c r="V356">
        <v>355</v>
      </c>
      <c r="W356" cm="1">
        <f t="array" ref="W356">SUM(TablaSupervisores[DISPOSITIVOS TOTAL]*INDEX(TablaSeleccionSupervisores[],ROW(TablaSeleccionSupervisores[[#This Row],[ORDEN]])-1,_xlfn.XMATCH(TablaSupervisores[REFERENCIA],TablaSeleccionSupervisores[#Headers])))</f>
        <v>1538</v>
      </c>
      <c r="X356" cm="1">
        <f t="array" ref="X356">SUM(TablaSupervisores[DISPOSITIVOS BACNET MS/TP JC]*INDEX(TablaSeleccionSupervisores[],ROW(TablaSeleccionSupervisores[[#This Row],[ORDEN]])-1,_xlfn.XMATCH(TablaSupervisores[REFERENCIA],TablaSeleccionSupervisores[#Headers])))</f>
        <v>658</v>
      </c>
      <c r="Y356" cm="1">
        <f t="array" ref="Y356">SUM(TablaSupervisores[DISPOSITIVOS BACNET MS/TP COMPATIBLES]*INDEX(TablaSeleccionSupervisores[],ROW(TablaSeleccionSupervisores[[#This Row],[ORDEN]])-1,_xlfn.XMATCH(TablaSupervisores[REFERENCIA],TablaSeleccionSupervisores[#Headers])))</f>
        <v>424</v>
      </c>
      <c r="Z356" cm="1">
        <f t="array" ref="Z356">SUM(TablaSupervisores[DISPOSITIVOS BACNET IP]*INDEX(TablaSeleccionSupervisores[],ROW(TablaSeleccionSupervisores[[#This Row],[ORDEN]])-1,_xlfn.XMATCH(TablaSupervisores[REFERENCIA],TablaSeleccionSupervisores[#Headers])))</f>
        <v>1320</v>
      </c>
      <c r="AA356" cm="1">
        <f t="array" ref="AA356">SUM(TablaSupervisores[OBJETOS]*INDEX(TablaSeleccionSupervisores[],ROW(TablaSeleccionSupervisores[[#This Row],[ORDEN]])-1,_xlfn.XMATCH(TablaSupervisores[REFERENCIA],TablaSeleccionSupervisores[#Headers])))</f>
        <v>25000</v>
      </c>
      <c r="AB356" s="28" cm="1">
        <f t="array" ref="AB356">SUM(TablaSupervisores[COSTE]*INDEX(TablaSeleccionSupervisores[],ROW(TablaSeleccionSupervisores[[#This Row],[ORDEN]])-1,_xlfn.XMATCH(TablaSupervisores[REFERENCIA],TablaSeleccionSupervisores[#Headers])))</f>
        <v>21089.13</v>
      </c>
      <c r="AC356" cm="1">
        <f t="array" ref="AC356">SUM(INDEX(TablaSeleccionSupervisores[],ROW(TablaSeleccionSupervisores[[#This Row],[ORDEN]])-1,_xlfn.XMATCH(TablaSupervisores[REFERENCIA],TablaSeleccionSupervisores[#Headers])))</f>
        <v>8</v>
      </c>
      <c r="AD356" t="str" cm="1">
        <f t="array" ref="AD356">IF(INDEX(TablaSeleccionSupervisores[],ROW(TablaSeleccionSupervisores[[#This Row],[ORDEN]])-1,_xlfn.XMATCH("ADMITIDO ADSLITE",TablaSeleccionSupervisores[#Headers])+1)=0,"Sí admitido","No admitido")</f>
        <v>No admitido</v>
      </c>
      <c r="AE356">
        <v>2</v>
      </c>
      <c r="AF356">
        <v>1</v>
      </c>
      <c r="AG356">
        <v>3</v>
      </c>
      <c r="AH356">
        <v>2</v>
      </c>
    </row>
    <row r="357" spans="22:34" x14ac:dyDescent="0.25">
      <c r="V357">
        <v>356</v>
      </c>
      <c r="W357" cm="1">
        <f t="array" ref="W357">SUM(TablaSupervisores[DISPOSITIVOS TOTAL]*INDEX(TablaSeleccionSupervisores[],ROW(TablaSeleccionSupervisores[[#This Row],[ORDEN]])-1,_xlfn.XMATCH(TablaSupervisores[REFERENCIA],TablaSeleccionSupervisores[#Headers])))</f>
        <v>488</v>
      </c>
      <c r="X357" cm="1">
        <f t="array" ref="X357">SUM(TablaSupervisores[DISPOSITIVOS BACNET MS/TP JC]*INDEX(TablaSeleccionSupervisores[],ROW(TablaSeleccionSupervisores[[#This Row],[ORDEN]])-1,_xlfn.XMATCH(TablaSupervisores[REFERENCIA],TablaSeleccionSupervisores[#Headers])))</f>
        <v>358</v>
      </c>
      <c r="Y357" cm="1">
        <f t="array" ref="Y357">SUM(TablaSupervisores[DISPOSITIVOS BACNET MS/TP COMPATIBLES]*INDEX(TablaSeleccionSupervisores[],ROW(TablaSeleccionSupervisores[[#This Row],[ORDEN]])-1,_xlfn.XMATCH(TablaSupervisores[REFERENCIA],TablaSeleccionSupervisores[#Headers])))</f>
        <v>232</v>
      </c>
      <c r="Z357" cm="1">
        <f t="array" ref="Z357">SUM(TablaSupervisores[DISPOSITIVOS BACNET IP]*INDEX(TablaSeleccionSupervisores[],ROW(TablaSeleccionSupervisores[[#This Row],[ORDEN]])-1,_xlfn.XMATCH(TablaSupervisores[REFERENCIA],TablaSeleccionSupervisores[#Headers])))</f>
        <v>720</v>
      </c>
      <c r="AA357" cm="1">
        <f t="array" ref="AA357">SUM(TablaSupervisores[OBJETOS]*INDEX(TablaSeleccionSupervisores[],ROW(TablaSeleccionSupervisores[[#This Row],[ORDEN]])-1,_xlfn.XMATCH(TablaSupervisores[REFERENCIA],TablaSeleccionSupervisores[#Headers])))</f>
        <v>17500</v>
      </c>
      <c r="AB357" s="28" cm="1">
        <f t="array" ref="AB357">SUM(TablaSupervisores[COSTE]*INDEX(TablaSeleccionSupervisores[],ROW(TablaSeleccionSupervisores[[#This Row],[ORDEN]])-1,_xlfn.XMATCH(TablaSupervisores[REFERENCIA],TablaSeleccionSupervisores[#Headers])))</f>
        <v>13744.600000000002</v>
      </c>
      <c r="AC357" cm="1">
        <f t="array" ref="AC357">SUM(INDEX(TablaSeleccionSupervisores[],ROW(TablaSeleccionSupervisores[[#This Row],[ORDEN]])-1,_xlfn.XMATCH(TablaSupervisores[REFERENCIA],TablaSeleccionSupervisores[#Headers])))</f>
        <v>7</v>
      </c>
      <c r="AD357" t="str" cm="1">
        <f t="array" ref="AD357">IF(INDEX(TablaSeleccionSupervisores[],ROW(TablaSeleccionSupervisores[[#This Row],[ORDEN]])-1,_xlfn.XMATCH("ADMITIDO ADSLITE",TablaSeleccionSupervisores[#Headers])+1)=0,"Sí admitido","No admitido")</f>
        <v>Sí admitido</v>
      </c>
      <c r="AE357">
        <v>0</v>
      </c>
      <c r="AF357">
        <v>2</v>
      </c>
      <c r="AG357">
        <v>3</v>
      </c>
      <c r="AH357">
        <v>2</v>
      </c>
    </row>
    <row r="358" spans="22:34" x14ac:dyDescent="0.25">
      <c r="V358">
        <v>357</v>
      </c>
      <c r="W358" cm="1">
        <f t="array" ref="W358">SUM(TablaSupervisores[DISPOSITIVOS TOTAL]*INDEX(TablaSeleccionSupervisores[],ROW(TablaSeleccionSupervisores[[#This Row],[ORDEN]])-1,_xlfn.XMATCH(TablaSupervisores[REFERENCIA],TablaSeleccionSupervisores[#Headers])))</f>
        <v>1088</v>
      </c>
      <c r="X358" cm="1">
        <f t="array" ref="X358">SUM(TablaSupervisores[DISPOSITIVOS BACNET MS/TP JC]*INDEX(TablaSeleccionSupervisores[],ROW(TablaSeleccionSupervisores[[#This Row],[ORDEN]])-1,_xlfn.XMATCH(TablaSupervisores[REFERENCIA],TablaSeleccionSupervisores[#Headers])))</f>
        <v>558</v>
      </c>
      <c r="Y358" cm="1">
        <f t="array" ref="Y358">SUM(TablaSupervisores[DISPOSITIVOS BACNET MS/TP COMPATIBLES]*INDEX(TablaSeleccionSupervisores[],ROW(TablaSeleccionSupervisores[[#This Row],[ORDEN]])-1,_xlfn.XMATCH(TablaSupervisores[REFERENCIA],TablaSeleccionSupervisores[#Headers])))</f>
        <v>360</v>
      </c>
      <c r="Z358" cm="1">
        <f t="array" ref="Z358">SUM(TablaSupervisores[DISPOSITIVOS BACNET IP]*INDEX(TablaSeleccionSupervisores[],ROW(TablaSeleccionSupervisores[[#This Row],[ORDEN]])-1,_xlfn.XMATCH(TablaSupervisores[REFERENCIA],TablaSeleccionSupervisores[#Headers])))</f>
        <v>1120</v>
      </c>
      <c r="AA358" cm="1">
        <f t="array" ref="AA358">SUM(TablaSupervisores[OBJETOS]*INDEX(TablaSeleccionSupervisores[],ROW(TablaSeleccionSupervisores[[#This Row],[ORDEN]])-1,_xlfn.XMATCH(TablaSupervisores[REFERENCIA],TablaSeleccionSupervisores[#Headers])))</f>
        <v>22500</v>
      </c>
      <c r="AB358" s="28" cm="1">
        <f t="array" ref="AB358">SUM(TablaSupervisores[COSTE]*INDEX(TablaSeleccionSupervisores[],ROW(TablaSeleccionSupervisores[[#This Row],[ORDEN]])-1,_xlfn.XMATCH(TablaSupervisores[REFERENCIA],TablaSeleccionSupervisores[#Headers])))</f>
        <v>19411.23</v>
      </c>
      <c r="AC358" cm="1">
        <f t="array" ref="AC358">SUM(INDEX(TablaSeleccionSupervisores[],ROW(TablaSeleccionSupervisores[[#This Row],[ORDEN]])-1,_xlfn.XMATCH(TablaSupervisores[REFERENCIA],TablaSeleccionSupervisores[#Headers])))</f>
        <v>8</v>
      </c>
      <c r="AD358" t="str" cm="1">
        <f t="array" ref="AD358">IF(INDEX(TablaSeleccionSupervisores[],ROW(TablaSeleccionSupervisores[[#This Row],[ORDEN]])-1,_xlfn.XMATCH("ADMITIDO ADSLITE",TablaSeleccionSupervisores[#Headers])+1)=0,"Sí admitido","No admitido")</f>
        <v>No admitido</v>
      </c>
      <c r="AE358">
        <v>1</v>
      </c>
      <c r="AF358">
        <v>2</v>
      </c>
      <c r="AG358">
        <v>3</v>
      </c>
      <c r="AH358">
        <v>2</v>
      </c>
    </row>
    <row r="359" spans="22:34" x14ac:dyDescent="0.25">
      <c r="V359">
        <v>358</v>
      </c>
      <c r="W359" cm="1">
        <f t="array" ref="W359">SUM(TablaSupervisores[DISPOSITIVOS TOTAL]*INDEX(TablaSeleccionSupervisores[],ROW(TablaSeleccionSupervisores[[#This Row],[ORDEN]])-1,_xlfn.XMATCH(TablaSupervisores[REFERENCIA],TablaSeleccionSupervisores[#Headers])))</f>
        <v>638</v>
      </c>
      <c r="X359" cm="1">
        <f t="array" ref="X359">SUM(TablaSupervisores[DISPOSITIVOS BACNET MS/TP JC]*INDEX(TablaSeleccionSupervisores[],ROW(TablaSeleccionSupervisores[[#This Row],[ORDEN]])-1,_xlfn.XMATCH(TablaSupervisores[REFERENCIA],TablaSeleccionSupervisores[#Headers])))</f>
        <v>458</v>
      </c>
      <c r="Y359" cm="1">
        <f t="array" ref="Y359">SUM(TablaSupervisores[DISPOSITIVOS BACNET MS/TP COMPATIBLES]*INDEX(TablaSeleccionSupervisores[],ROW(TablaSeleccionSupervisores[[#This Row],[ORDEN]])-1,_xlfn.XMATCH(TablaSupervisores[REFERENCIA],TablaSeleccionSupervisores[#Headers])))</f>
        <v>296</v>
      </c>
      <c r="Z359" cm="1">
        <f t="array" ref="Z359">SUM(TablaSupervisores[DISPOSITIVOS BACNET IP]*INDEX(TablaSeleccionSupervisores[],ROW(TablaSeleccionSupervisores[[#This Row],[ORDEN]])-1,_xlfn.XMATCH(TablaSupervisores[REFERENCIA],TablaSeleccionSupervisores[#Headers])))</f>
        <v>920</v>
      </c>
      <c r="AA359" cm="1">
        <f t="array" ref="AA359">SUM(TablaSupervisores[OBJETOS]*INDEX(TablaSeleccionSupervisores[],ROW(TablaSeleccionSupervisores[[#This Row],[ORDEN]])-1,_xlfn.XMATCH(TablaSupervisores[REFERENCIA],TablaSeleccionSupervisores[#Headers])))</f>
        <v>20000</v>
      </c>
      <c r="AB359" s="28" cm="1">
        <f t="array" ref="AB359">SUM(TablaSupervisores[COSTE]*INDEX(TablaSeleccionSupervisores[],ROW(TablaSeleccionSupervisores[[#This Row],[ORDEN]])-1,_xlfn.XMATCH(TablaSupervisores[REFERENCIA],TablaSeleccionSupervisores[#Headers])))</f>
        <v>17733.330000000002</v>
      </c>
      <c r="AC359" cm="1">
        <f t="array" ref="AC359">SUM(INDEX(TablaSeleccionSupervisores[],ROW(TablaSeleccionSupervisores[[#This Row],[ORDEN]])-1,_xlfn.XMATCH(TablaSupervisores[REFERENCIA],TablaSeleccionSupervisores[#Headers])))</f>
        <v>8</v>
      </c>
      <c r="AD359" t="str" cm="1">
        <f t="array" ref="AD359">IF(INDEX(TablaSeleccionSupervisores[],ROW(TablaSeleccionSupervisores[[#This Row],[ORDEN]])-1,_xlfn.XMATCH("ADMITIDO ADSLITE",TablaSeleccionSupervisores[#Headers])+1)=0,"Sí admitido","No admitido")</f>
        <v>Sí admitido</v>
      </c>
      <c r="AE359">
        <v>0</v>
      </c>
      <c r="AF359">
        <v>3</v>
      </c>
      <c r="AG359">
        <v>3</v>
      </c>
      <c r="AH359">
        <v>2</v>
      </c>
    </row>
    <row r="360" spans="22:34" x14ac:dyDescent="0.25">
      <c r="V360">
        <v>359</v>
      </c>
      <c r="W360" cm="1">
        <f t="array" ref="W360">SUM(TablaSupervisores[DISPOSITIVOS TOTAL]*INDEX(TablaSeleccionSupervisores[],ROW(TablaSeleccionSupervisores[[#This Row],[ORDEN]])-1,_xlfn.XMATCH(TablaSupervisores[REFERENCIA],TablaSeleccionSupervisores[#Headers])))</f>
        <v>248</v>
      </c>
      <c r="X360" cm="1">
        <f t="array" ref="X360">SUM(TablaSupervisores[DISPOSITIVOS BACNET MS/TP JC]*INDEX(TablaSeleccionSupervisores[],ROW(TablaSeleccionSupervisores[[#This Row],[ORDEN]])-1,_xlfn.XMATCH(TablaSupervisores[REFERENCIA],TablaSeleccionSupervisores[#Headers])))</f>
        <v>208</v>
      </c>
      <c r="Y360" cm="1">
        <f t="array" ref="Y360">SUM(TablaSupervisores[DISPOSITIVOS BACNET MS/TP COMPATIBLES]*INDEX(TablaSeleccionSupervisores[],ROW(TablaSeleccionSupervisores[[#This Row],[ORDEN]])-1,_xlfn.XMATCH(TablaSupervisores[REFERENCIA],TablaSeleccionSupervisores[#Headers])))</f>
        <v>136</v>
      </c>
      <c r="Z360" cm="1">
        <f t="array" ref="Z360">SUM(TablaSupervisores[DISPOSITIVOS BACNET IP]*INDEX(TablaSeleccionSupervisores[],ROW(TablaSeleccionSupervisores[[#This Row],[ORDEN]])-1,_xlfn.XMATCH(TablaSupervisores[REFERENCIA],TablaSeleccionSupervisores[#Headers])))</f>
        <v>420</v>
      </c>
      <c r="AA360" cm="1">
        <f t="array" ref="AA360">SUM(TablaSupervisores[OBJETOS]*INDEX(TablaSeleccionSupervisores[],ROW(TablaSeleccionSupervisores[[#This Row],[ORDEN]])-1,_xlfn.XMATCH(TablaSupervisores[REFERENCIA],TablaSeleccionSupervisores[#Headers])))</f>
        <v>15000</v>
      </c>
      <c r="AB360" s="28" cm="1">
        <f t="array" ref="AB360">SUM(TablaSupervisores[COSTE]*INDEX(TablaSeleccionSupervisores[],ROW(TablaSeleccionSupervisores[[#This Row],[ORDEN]])-1,_xlfn.XMATCH(TablaSupervisores[REFERENCIA],TablaSeleccionSupervisores[#Headers])))</f>
        <v>7190.62</v>
      </c>
      <c r="AC360" cm="1">
        <f t="array" ref="AC360">SUM(INDEX(TablaSeleccionSupervisores[],ROW(TablaSeleccionSupervisores[[#This Row],[ORDEN]])-1,_xlfn.XMATCH(TablaSupervisores[REFERENCIA],TablaSeleccionSupervisores[#Headers])))</f>
        <v>6</v>
      </c>
      <c r="AD360" t="str" cm="1">
        <f t="array" ref="AD360">IF(INDEX(TablaSeleccionSupervisores[],ROW(TablaSeleccionSupervisores[[#This Row],[ORDEN]])-1,_xlfn.XMATCH("ADMITIDO ADSLITE",TablaSeleccionSupervisores[#Headers])+1)=0,"Sí admitido","No admitido")</f>
        <v>Sí admitido</v>
      </c>
      <c r="AE360">
        <v>0</v>
      </c>
      <c r="AF360">
        <v>0</v>
      </c>
      <c r="AG360">
        <v>4</v>
      </c>
      <c r="AH360">
        <v>2</v>
      </c>
    </row>
    <row r="361" spans="22:34" x14ac:dyDescent="0.25">
      <c r="V361">
        <v>360</v>
      </c>
      <c r="W361" cm="1">
        <f t="array" ref="W361">SUM(TablaSupervisores[DISPOSITIVOS TOTAL]*INDEX(TablaSeleccionSupervisores[],ROW(TablaSeleccionSupervisores[[#This Row],[ORDEN]])-1,_xlfn.XMATCH(TablaSupervisores[REFERENCIA],TablaSeleccionSupervisores[#Headers])))</f>
        <v>848</v>
      </c>
      <c r="X361" cm="1">
        <f t="array" ref="X361">SUM(TablaSupervisores[DISPOSITIVOS BACNET MS/TP JC]*INDEX(TablaSeleccionSupervisores[],ROW(TablaSeleccionSupervisores[[#This Row],[ORDEN]])-1,_xlfn.XMATCH(TablaSupervisores[REFERENCIA],TablaSeleccionSupervisores[#Headers])))</f>
        <v>408</v>
      </c>
      <c r="Y361" cm="1">
        <f t="array" ref="Y361">SUM(TablaSupervisores[DISPOSITIVOS BACNET MS/TP COMPATIBLES]*INDEX(TablaSeleccionSupervisores[],ROW(TablaSeleccionSupervisores[[#This Row],[ORDEN]])-1,_xlfn.XMATCH(TablaSupervisores[REFERENCIA],TablaSeleccionSupervisores[#Headers])))</f>
        <v>264</v>
      </c>
      <c r="Z361" cm="1">
        <f t="array" ref="Z361">SUM(TablaSupervisores[DISPOSITIVOS BACNET IP]*INDEX(TablaSeleccionSupervisores[],ROW(TablaSeleccionSupervisores[[#This Row],[ORDEN]])-1,_xlfn.XMATCH(TablaSupervisores[REFERENCIA],TablaSeleccionSupervisores[#Headers])))</f>
        <v>820</v>
      </c>
      <c r="AA361" cm="1">
        <f t="array" ref="AA361">SUM(TablaSupervisores[OBJETOS]*INDEX(TablaSeleccionSupervisores[],ROW(TablaSeleccionSupervisores[[#This Row],[ORDEN]])-1,_xlfn.XMATCH(TablaSupervisores[REFERENCIA],TablaSeleccionSupervisores[#Headers])))</f>
        <v>20000</v>
      </c>
      <c r="AB361" s="28" cm="1">
        <f t="array" ref="AB361">SUM(TablaSupervisores[COSTE]*INDEX(TablaSeleccionSupervisores[],ROW(TablaSeleccionSupervisores[[#This Row],[ORDEN]])-1,_xlfn.XMATCH(TablaSupervisores[REFERENCIA],TablaSeleccionSupervisores[#Headers])))</f>
        <v>12857.25</v>
      </c>
      <c r="AC361" cm="1">
        <f t="array" ref="AC361">SUM(INDEX(TablaSeleccionSupervisores[],ROW(TablaSeleccionSupervisores[[#This Row],[ORDEN]])-1,_xlfn.XMATCH(TablaSupervisores[REFERENCIA],TablaSeleccionSupervisores[#Headers])))</f>
        <v>7</v>
      </c>
      <c r="AD361" t="str" cm="1">
        <f t="array" ref="AD361">IF(INDEX(TablaSeleccionSupervisores[],ROW(TablaSeleccionSupervisores[[#This Row],[ORDEN]])-1,_xlfn.XMATCH("ADMITIDO ADSLITE",TablaSeleccionSupervisores[#Headers])+1)=0,"Sí admitido","No admitido")</f>
        <v>No admitido</v>
      </c>
      <c r="AE361">
        <v>1</v>
      </c>
      <c r="AF361">
        <v>0</v>
      </c>
      <c r="AG361">
        <v>4</v>
      </c>
      <c r="AH361">
        <v>2</v>
      </c>
    </row>
    <row r="362" spans="22:34" x14ac:dyDescent="0.25">
      <c r="V362">
        <v>361</v>
      </c>
      <c r="W362" cm="1">
        <f t="array" ref="W362">SUM(TablaSupervisores[DISPOSITIVOS TOTAL]*INDEX(TablaSeleccionSupervisores[],ROW(TablaSeleccionSupervisores[[#This Row],[ORDEN]])-1,_xlfn.XMATCH(TablaSupervisores[REFERENCIA],TablaSeleccionSupervisores[#Headers])))</f>
        <v>1448</v>
      </c>
      <c r="X362" cm="1">
        <f t="array" ref="X362">SUM(TablaSupervisores[DISPOSITIVOS BACNET MS/TP JC]*INDEX(TablaSeleccionSupervisores[],ROW(TablaSeleccionSupervisores[[#This Row],[ORDEN]])-1,_xlfn.XMATCH(TablaSupervisores[REFERENCIA],TablaSeleccionSupervisores[#Headers])))</f>
        <v>608</v>
      </c>
      <c r="Y362" cm="1">
        <f t="array" ref="Y362">SUM(TablaSupervisores[DISPOSITIVOS BACNET MS/TP COMPATIBLES]*INDEX(TablaSeleccionSupervisores[],ROW(TablaSeleccionSupervisores[[#This Row],[ORDEN]])-1,_xlfn.XMATCH(TablaSupervisores[REFERENCIA],TablaSeleccionSupervisores[#Headers])))</f>
        <v>392</v>
      </c>
      <c r="Z362" cm="1">
        <f t="array" ref="Z362">SUM(TablaSupervisores[DISPOSITIVOS BACNET IP]*INDEX(TablaSeleccionSupervisores[],ROW(TablaSeleccionSupervisores[[#This Row],[ORDEN]])-1,_xlfn.XMATCH(TablaSupervisores[REFERENCIA],TablaSeleccionSupervisores[#Headers])))</f>
        <v>1220</v>
      </c>
      <c r="AA362" cm="1">
        <f t="array" ref="AA362">SUM(TablaSupervisores[OBJETOS]*INDEX(TablaSeleccionSupervisores[],ROW(TablaSeleccionSupervisores[[#This Row],[ORDEN]])-1,_xlfn.XMATCH(TablaSupervisores[REFERENCIA],TablaSeleccionSupervisores[#Headers])))</f>
        <v>25000</v>
      </c>
      <c r="AB362" s="28" cm="1">
        <f t="array" ref="AB362">SUM(TablaSupervisores[COSTE]*INDEX(TablaSeleccionSupervisores[],ROW(TablaSeleccionSupervisores[[#This Row],[ORDEN]])-1,_xlfn.XMATCH(TablaSupervisores[REFERENCIA],TablaSeleccionSupervisores[#Headers])))</f>
        <v>18523.88</v>
      </c>
      <c r="AC362" cm="1">
        <f t="array" ref="AC362">SUM(INDEX(TablaSeleccionSupervisores[],ROW(TablaSeleccionSupervisores[[#This Row],[ORDEN]])-1,_xlfn.XMATCH(TablaSupervisores[REFERENCIA],TablaSeleccionSupervisores[#Headers])))</f>
        <v>8</v>
      </c>
      <c r="AD362" t="str" cm="1">
        <f t="array" ref="AD362">IF(INDEX(TablaSeleccionSupervisores[],ROW(TablaSeleccionSupervisores[[#This Row],[ORDEN]])-1,_xlfn.XMATCH("ADMITIDO ADSLITE",TablaSeleccionSupervisores[#Headers])+1)=0,"Sí admitido","No admitido")</f>
        <v>No admitido</v>
      </c>
      <c r="AE362">
        <v>2</v>
      </c>
      <c r="AF362">
        <v>0</v>
      </c>
      <c r="AG362">
        <v>4</v>
      </c>
      <c r="AH362">
        <v>2</v>
      </c>
    </row>
    <row r="363" spans="22:34" x14ac:dyDescent="0.25">
      <c r="V363">
        <v>362</v>
      </c>
      <c r="W363" cm="1">
        <f t="array" ref="W363">SUM(TablaSupervisores[DISPOSITIVOS TOTAL]*INDEX(TablaSeleccionSupervisores[],ROW(TablaSeleccionSupervisores[[#This Row],[ORDEN]])-1,_xlfn.XMATCH(TablaSupervisores[REFERENCIA],TablaSeleccionSupervisores[#Headers])))</f>
        <v>398</v>
      </c>
      <c r="X363" cm="1">
        <f t="array" ref="X363">SUM(TablaSupervisores[DISPOSITIVOS BACNET MS/TP JC]*INDEX(TablaSeleccionSupervisores[],ROW(TablaSeleccionSupervisores[[#This Row],[ORDEN]])-1,_xlfn.XMATCH(TablaSupervisores[REFERENCIA],TablaSeleccionSupervisores[#Headers])))</f>
        <v>308</v>
      </c>
      <c r="Y363" cm="1">
        <f t="array" ref="Y363">SUM(TablaSupervisores[DISPOSITIVOS BACNET MS/TP COMPATIBLES]*INDEX(TablaSeleccionSupervisores[],ROW(TablaSeleccionSupervisores[[#This Row],[ORDEN]])-1,_xlfn.XMATCH(TablaSupervisores[REFERENCIA],TablaSeleccionSupervisores[#Headers])))</f>
        <v>200</v>
      </c>
      <c r="Z363" cm="1">
        <f t="array" ref="Z363">SUM(TablaSupervisores[DISPOSITIVOS BACNET IP]*INDEX(TablaSeleccionSupervisores[],ROW(TablaSeleccionSupervisores[[#This Row],[ORDEN]])-1,_xlfn.XMATCH(TablaSupervisores[REFERENCIA],TablaSeleccionSupervisores[#Headers])))</f>
        <v>620</v>
      </c>
      <c r="AA363" cm="1">
        <f t="array" ref="AA363">SUM(TablaSupervisores[OBJETOS]*INDEX(TablaSeleccionSupervisores[],ROW(TablaSeleccionSupervisores[[#This Row],[ORDEN]])-1,_xlfn.XMATCH(TablaSupervisores[REFERENCIA],TablaSeleccionSupervisores[#Headers])))</f>
        <v>17500</v>
      </c>
      <c r="AB363" s="28" cm="1">
        <f t="array" ref="AB363">SUM(TablaSupervisores[COSTE]*INDEX(TablaSeleccionSupervisores[],ROW(TablaSeleccionSupervisores[[#This Row],[ORDEN]])-1,_xlfn.XMATCH(TablaSupervisores[REFERENCIA],TablaSeleccionSupervisores[#Headers])))</f>
        <v>11179.35</v>
      </c>
      <c r="AC363" cm="1">
        <f t="array" ref="AC363">SUM(INDEX(TablaSeleccionSupervisores[],ROW(TablaSeleccionSupervisores[[#This Row],[ORDEN]])-1,_xlfn.XMATCH(TablaSupervisores[REFERENCIA],TablaSeleccionSupervisores[#Headers])))</f>
        <v>7</v>
      </c>
      <c r="AD363" t="str" cm="1">
        <f t="array" ref="AD363">IF(INDEX(TablaSeleccionSupervisores[],ROW(TablaSeleccionSupervisores[[#This Row],[ORDEN]])-1,_xlfn.XMATCH("ADMITIDO ADSLITE",TablaSeleccionSupervisores[#Headers])+1)=0,"Sí admitido","No admitido")</f>
        <v>Sí admitido</v>
      </c>
      <c r="AE363">
        <v>0</v>
      </c>
      <c r="AF363">
        <v>1</v>
      </c>
      <c r="AG363">
        <v>4</v>
      </c>
      <c r="AH363">
        <v>2</v>
      </c>
    </row>
    <row r="364" spans="22:34" x14ac:dyDescent="0.25">
      <c r="V364">
        <v>363</v>
      </c>
      <c r="W364" cm="1">
        <f t="array" ref="W364">SUM(TablaSupervisores[DISPOSITIVOS TOTAL]*INDEX(TablaSeleccionSupervisores[],ROW(TablaSeleccionSupervisores[[#This Row],[ORDEN]])-1,_xlfn.XMATCH(TablaSupervisores[REFERENCIA],TablaSeleccionSupervisores[#Headers])))</f>
        <v>998</v>
      </c>
      <c r="X364" cm="1">
        <f t="array" ref="X364">SUM(TablaSupervisores[DISPOSITIVOS BACNET MS/TP JC]*INDEX(TablaSeleccionSupervisores[],ROW(TablaSeleccionSupervisores[[#This Row],[ORDEN]])-1,_xlfn.XMATCH(TablaSupervisores[REFERENCIA],TablaSeleccionSupervisores[#Headers])))</f>
        <v>508</v>
      </c>
      <c r="Y364" cm="1">
        <f t="array" ref="Y364">SUM(TablaSupervisores[DISPOSITIVOS BACNET MS/TP COMPATIBLES]*INDEX(TablaSeleccionSupervisores[],ROW(TablaSeleccionSupervisores[[#This Row],[ORDEN]])-1,_xlfn.XMATCH(TablaSupervisores[REFERENCIA],TablaSeleccionSupervisores[#Headers])))</f>
        <v>328</v>
      </c>
      <c r="Z364" cm="1">
        <f t="array" ref="Z364">SUM(TablaSupervisores[DISPOSITIVOS BACNET IP]*INDEX(TablaSeleccionSupervisores[],ROW(TablaSeleccionSupervisores[[#This Row],[ORDEN]])-1,_xlfn.XMATCH(TablaSupervisores[REFERENCIA],TablaSeleccionSupervisores[#Headers])))</f>
        <v>1020</v>
      </c>
      <c r="AA364" cm="1">
        <f t="array" ref="AA364">SUM(TablaSupervisores[OBJETOS]*INDEX(TablaSeleccionSupervisores[],ROW(TablaSeleccionSupervisores[[#This Row],[ORDEN]])-1,_xlfn.XMATCH(TablaSupervisores[REFERENCIA],TablaSeleccionSupervisores[#Headers])))</f>
        <v>22500</v>
      </c>
      <c r="AB364" s="28" cm="1">
        <f t="array" ref="AB364">SUM(TablaSupervisores[COSTE]*INDEX(TablaSeleccionSupervisores[],ROW(TablaSeleccionSupervisores[[#This Row],[ORDEN]])-1,_xlfn.XMATCH(TablaSupervisores[REFERENCIA],TablaSeleccionSupervisores[#Headers])))</f>
        <v>16845.98</v>
      </c>
      <c r="AC364" cm="1">
        <f t="array" ref="AC364">SUM(INDEX(TablaSeleccionSupervisores[],ROW(TablaSeleccionSupervisores[[#This Row],[ORDEN]])-1,_xlfn.XMATCH(TablaSupervisores[REFERENCIA],TablaSeleccionSupervisores[#Headers])))</f>
        <v>8</v>
      </c>
      <c r="AD364" t="str" cm="1">
        <f t="array" ref="AD364">IF(INDEX(TablaSeleccionSupervisores[],ROW(TablaSeleccionSupervisores[[#This Row],[ORDEN]])-1,_xlfn.XMATCH("ADMITIDO ADSLITE",TablaSeleccionSupervisores[#Headers])+1)=0,"Sí admitido","No admitido")</f>
        <v>No admitido</v>
      </c>
      <c r="AE364">
        <v>1</v>
      </c>
      <c r="AF364">
        <v>1</v>
      </c>
      <c r="AG364">
        <v>4</v>
      </c>
      <c r="AH364">
        <v>2</v>
      </c>
    </row>
    <row r="365" spans="22:34" x14ac:dyDescent="0.25">
      <c r="V365">
        <v>364</v>
      </c>
      <c r="W365" cm="1">
        <f t="array" ref="W365">SUM(TablaSupervisores[DISPOSITIVOS TOTAL]*INDEX(TablaSeleccionSupervisores[],ROW(TablaSeleccionSupervisores[[#This Row],[ORDEN]])-1,_xlfn.XMATCH(TablaSupervisores[REFERENCIA],TablaSeleccionSupervisores[#Headers])))</f>
        <v>548</v>
      </c>
      <c r="X365" cm="1">
        <f t="array" ref="X365">SUM(TablaSupervisores[DISPOSITIVOS BACNET MS/TP JC]*INDEX(TablaSeleccionSupervisores[],ROW(TablaSeleccionSupervisores[[#This Row],[ORDEN]])-1,_xlfn.XMATCH(TablaSupervisores[REFERENCIA],TablaSeleccionSupervisores[#Headers])))</f>
        <v>408</v>
      </c>
      <c r="Y365" cm="1">
        <f t="array" ref="Y365">SUM(TablaSupervisores[DISPOSITIVOS BACNET MS/TP COMPATIBLES]*INDEX(TablaSeleccionSupervisores[],ROW(TablaSeleccionSupervisores[[#This Row],[ORDEN]])-1,_xlfn.XMATCH(TablaSupervisores[REFERENCIA],TablaSeleccionSupervisores[#Headers])))</f>
        <v>264</v>
      </c>
      <c r="Z365" cm="1">
        <f t="array" ref="Z365">SUM(TablaSupervisores[DISPOSITIVOS BACNET IP]*INDEX(TablaSeleccionSupervisores[],ROW(TablaSeleccionSupervisores[[#This Row],[ORDEN]])-1,_xlfn.XMATCH(TablaSupervisores[REFERENCIA],TablaSeleccionSupervisores[#Headers])))</f>
        <v>820</v>
      </c>
      <c r="AA365" cm="1">
        <f t="array" ref="AA365">SUM(TablaSupervisores[OBJETOS]*INDEX(TablaSeleccionSupervisores[],ROW(TablaSeleccionSupervisores[[#This Row],[ORDEN]])-1,_xlfn.XMATCH(TablaSupervisores[REFERENCIA],TablaSeleccionSupervisores[#Headers])))</f>
        <v>20000</v>
      </c>
      <c r="AB365" s="28" cm="1">
        <f t="array" ref="AB365">SUM(TablaSupervisores[COSTE]*INDEX(TablaSeleccionSupervisores[],ROW(TablaSeleccionSupervisores[[#This Row],[ORDEN]])-1,_xlfn.XMATCH(TablaSupervisores[REFERENCIA],TablaSeleccionSupervisores[#Headers])))</f>
        <v>15168.080000000002</v>
      </c>
      <c r="AC365" cm="1">
        <f t="array" ref="AC365">SUM(INDEX(TablaSeleccionSupervisores[],ROW(TablaSeleccionSupervisores[[#This Row],[ORDEN]])-1,_xlfn.XMATCH(TablaSupervisores[REFERENCIA],TablaSeleccionSupervisores[#Headers])))</f>
        <v>8</v>
      </c>
      <c r="AD365" t="str" cm="1">
        <f t="array" ref="AD365">IF(INDEX(TablaSeleccionSupervisores[],ROW(TablaSeleccionSupervisores[[#This Row],[ORDEN]])-1,_xlfn.XMATCH("ADMITIDO ADSLITE",TablaSeleccionSupervisores[#Headers])+1)=0,"Sí admitido","No admitido")</f>
        <v>Sí admitido</v>
      </c>
      <c r="AE365">
        <v>0</v>
      </c>
      <c r="AF365">
        <v>2</v>
      </c>
      <c r="AG365">
        <v>4</v>
      </c>
      <c r="AH365">
        <v>2</v>
      </c>
    </row>
    <row r="366" spans="22:34" x14ac:dyDescent="0.25">
      <c r="V366">
        <v>365</v>
      </c>
      <c r="W366" cm="1">
        <f t="array" ref="W366">SUM(TablaSupervisores[DISPOSITIVOS TOTAL]*INDEX(TablaSeleccionSupervisores[],ROW(TablaSeleccionSupervisores[[#This Row],[ORDEN]])-1,_xlfn.XMATCH(TablaSupervisores[REFERENCIA],TablaSeleccionSupervisores[#Headers])))</f>
        <v>308</v>
      </c>
      <c r="X366" cm="1">
        <f t="array" ref="X366">SUM(TablaSupervisores[DISPOSITIVOS BACNET MS/TP JC]*INDEX(TablaSeleccionSupervisores[],ROW(TablaSeleccionSupervisores[[#This Row],[ORDEN]])-1,_xlfn.XMATCH(TablaSupervisores[REFERENCIA],TablaSeleccionSupervisores[#Headers])))</f>
        <v>258</v>
      </c>
      <c r="Y366" cm="1">
        <f t="array" ref="Y366">SUM(TablaSupervisores[DISPOSITIVOS BACNET MS/TP COMPATIBLES]*INDEX(TablaSeleccionSupervisores[],ROW(TablaSeleccionSupervisores[[#This Row],[ORDEN]])-1,_xlfn.XMATCH(TablaSupervisores[REFERENCIA],TablaSeleccionSupervisores[#Headers])))</f>
        <v>168</v>
      </c>
      <c r="Z366" cm="1">
        <f t="array" ref="Z366">SUM(TablaSupervisores[DISPOSITIVOS BACNET IP]*INDEX(TablaSeleccionSupervisores[],ROW(TablaSeleccionSupervisores[[#This Row],[ORDEN]])-1,_xlfn.XMATCH(TablaSupervisores[REFERENCIA],TablaSeleccionSupervisores[#Headers])))</f>
        <v>520</v>
      </c>
      <c r="AA366" cm="1">
        <f t="array" ref="AA366">SUM(TablaSupervisores[OBJETOS]*INDEX(TablaSeleccionSupervisores[],ROW(TablaSeleccionSupervisores[[#This Row],[ORDEN]])-1,_xlfn.XMATCH(TablaSupervisores[REFERENCIA],TablaSeleccionSupervisores[#Headers])))</f>
        <v>17500</v>
      </c>
      <c r="AB366" s="28" cm="1">
        <f t="array" ref="AB366">SUM(TablaSupervisores[COSTE]*INDEX(TablaSeleccionSupervisores[],ROW(TablaSeleccionSupervisores[[#This Row],[ORDEN]])-1,_xlfn.XMATCH(TablaSupervisores[REFERENCIA],TablaSeleccionSupervisores[#Headers])))</f>
        <v>8614.1</v>
      </c>
      <c r="AC366" cm="1">
        <f t="array" ref="AC366">SUM(INDEX(TablaSeleccionSupervisores[],ROW(TablaSeleccionSupervisores[[#This Row],[ORDEN]])-1,_xlfn.XMATCH(TablaSupervisores[REFERENCIA],TablaSeleccionSupervisores[#Headers])))</f>
        <v>7</v>
      </c>
      <c r="AD366" t="str" cm="1">
        <f t="array" ref="AD366">IF(INDEX(TablaSeleccionSupervisores[],ROW(TablaSeleccionSupervisores[[#This Row],[ORDEN]])-1,_xlfn.XMATCH("ADMITIDO ADSLITE",TablaSeleccionSupervisores[#Headers])+1)=0,"Sí admitido","No admitido")</f>
        <v>Sí admitido</v>
      </c>
      <c r="AE366">
        <v>0</v>
      </c>
      <c r="AF366">
        <v>0</v>
      </c>
      <c r="AG366">
        <v>5</v>
      </c>
      <c r="AH366">
        <v>2</v>
      </c>
    </row>
    <row r="367" spans="22:34" x14ac:dyDescent="0.25">
      <c r="V367">
        <v>366</v>
      </c>
      <c r="W367" cm="1">
        <f t="array" ref="W367">SUM(TablaSupervisores[DISPOSITIVOS TOTAL]*INDEX(TablaSeleccionSupervisores[],ROW(TablaSeleccionSupervisores[[#This Row],[ORDEN]])-1,_xlfn.XMATCH(TablaSupervisores[REFERENCIA],TablaSeleccionSupervisores[#Headers])))</f>
        <v>908</v>
      </c>
      <c r="X367" cm="1">
        <f t="array" ref="X367">SUM(TablaSupervisores[DISPOSITIVOS BACNET MS/TP JC]*INDEX(TablaSeleccionSupervisores[],ROW(TablaSeleccionSupervisores[[#This Row],[ORDEN]])-1,_xlfn.XMATCH(TablaSupervisores[REFERENCIA],TablaSeleccionSupervisores[#Headers])))</f>
        <v>458</v>
      </c>
      <c r="Y367" cm="1">
        <f t="array" ref="Y367">SUM(TablaSupervisores[DISPOSITIVOS BACNET MS/TP COMPATIBLES]*INDEX(TablaSeleccionSupervisores[],ROW(TablaSeleccionSupervisores[[#This Row],[ORDEN]])-1,_xlfn.XMATCH(TablaSupervisores[REFERENCIA],TablaSeleccionSupervisores[#Headers])))</f>
        <v>296</v>
      </c>
      <c r="Z367" cm="1">
        <f t="array" ref="Z367">SUM(TablaSupervisores[DISPOSITIVOS BACNET IP]*INDEX(TablaSeleccionSupervisores[],ROW(TablaSeleccionSupervisores[[#This Row],[ORDEN]])-1,_xlfn.XMATCH(TablaSupervisores[REFERENCIA],TablaSeleccionSupervisores[#Headers])))</f>
        <v>920</v>
      </c>
      <c r="AA367" cm="1">
        <f t="array" ref="AA367">SUM(TablaSupervisores[OBJETOS]*INDEX(TablaSeleccionSupervisores[],ROW(TablaSeleccionSupervisores[[#This Row],[ORDEN]])-1,_xlfn.XMATCH(TablaSupervisores[REFERENCIA],TablaSeleccionSupervisores[#Headers])))</f>
        <v>22500</v>
      </c>
      <c r="AB367" s="28" cm="1">
        <f t="array" ref="AB367">SUM(TablaSupervisores[COSTE]*INDEX(TablaSeleccionSupervisores[],ROW(TablaSeleccionSupervisores[[#This Row],[ORDEN]])-1,_xlfn.XMATCH(TablaSupervisores[REFERENCIA],TablaSeleccionSupervisores[#Headers])))</f>
        <v>14280.73</v>
      </c>
      <c r="AC367" cm="1">
        <f t="array" ref="AC367">SUM(INDEX(TablaSeleccionSupervisores[],ROW(TablaSeleccionSupervisores[[#This Row],[ORDEN]])-1,_xlfn.XMATCH(TablaSupervisores[REFERENCIA],TablaSeleccionSupervisores[#Headers])))</f>
        <v>8</v>
      </c>
      <c r="AD367" t="str" cm="1">
        <f t="array" ref="AD367">IF(INDEX(TablaSeleccionSupervisores[],ROW(TablaSeleccionSupervisores[[#This Row],[ORDEN]])-1,_xlfn.XMATCH("ADMITIDO ADSLITE",TablaSeleccionSupervisores[#Headers])+1)=0,"Sí admitido","No admitido")</f>
        <v>No admitido</v>
      </c>
      <c r="AE367">
        <v>1</v>
      </c>
      <c r="AF367">
        <v>0</v>
      </c>
      <c r="AG367">
        <v>5</v>
      </c>
      <c r="AH367">
        <v>2</v>
      </c>
    </row>
    <row r="368" spans="22:34" x14ac:dyDescent="0.25">
      <c r="V368">
        <v>367</v>
      </c>
      <c r="W368" cm="1">
        <f t="array" ref="W368">SUM(TablaSupervisores[DISPOSITIVOS TOTAL]*INDEX(TablaSeleccionSupervisores[],ROW(TablaSeleccionSupervisores[[#This Row],[ORDEN]])-1,_xlfn.XMATCH(TablaSupervisores[REFERENCIA],TablaSeleccionSupervisores[#Headers])))</f>
        <v>458</v>
      </c>
      <c r="X368" cm="1">
        <f t="array" ref="X368">SUM(TablaSupervisores[DISPOSITIVOS BACNET MS/TP JC]*INDEX(TablaSeleccionSupervisores[],ROW(TablaSeleccionSupervisores[[#This Row],[ORDEN]])-1,_xlfn.XMATCH(TablaSupervisores[REFERENCIA],TablaSeleccionSupervisores[#Headers])))</f>
        <v>358</v>
      </c>
      <c r="Y368" cm="1">
        <f t="array" ref="Y368">SUM(TablaSupervisores[DISPOSITIVOS BACNET MS/TP COMPATIBLES]*INDEX(TablaSeleccionSupervisores[],ROW(TablaSeleccionSupervisores[[#This Row],[ORDEN]])-1,_xlfn.XMATCH(TablaSupervisores[REFERENCIA],TablaSeleccionSupervisores[#Headers])))</f>
        <v>232</v>
      </c>
      <c r="Z368" cm="1">
        <f t="array" ref="Z368">SUM(TablaSupervisores[DISPOSITIVOS BACNET IP]*INDEX(TablaSeleccionSupervisores[],ROW(TablaSeleccionSupervisores[[#This Row],[ORDEN]])-1,_xlfn.XMATCH(TablaSupervisores[REFERENCIA],TablaSeleccionSupervisores[#Headers])))</f>
        <v>720</v>
      </c>
      <c r="AA368" cm="1">
        <f t="array" ref="AA368">SUM(TablaSupervisores[OBJETOS]*INDEX(TablaSeleccionSupervisores[],ROW(TablaSeleccionSupervisores[[#This Row],[ORDEN]])-1,_xlfn.XMATCH(TablaSupervisores[REFERENCIA],TablaSeleccionSupervisores[#Headers])))</f>
        <v>20000</v>
      </c>
      <c r="AB368" s="28" cm="1">
        <f t="array" ref="AB368">SUM(TablaSupervisores[COSTE]*INDEX(TablaSeleccionSupervisores[],ROW(TablaSeleccionSupervisores[[#This Row],[ORDEN]])-1,_xlfn.XMATCH(TablaSupervisores[REFERENCIA],TablaSeleccionSupervisores[#Headers])))</f>
        <v>12602.83</v>
      </c>
      <c r="AC368" cm="1">
        <f t="array" ref="AC368">SUM(INDEX(TablaSeleccionSupervisores[],ROW(TablaSeleccionSupervisores[[#This Row],[ORDEN]])-1,_xlfn.XMATCH(TablaSupervisores[REFERENCIA],TablaSeleccionSupervisores[#Headers])))</f>
        <v>8</v>
      </c>
      <c r="AD368" t="str" cm="1">
        <f t="array" ref="AD368">IF(INDEX(TablaSeleccionSupervisores[],ROW(TablaSeleccionSupervisores[[#This Row],[ORDEN]])-1,_xlfn.XMATCH("ADMITIDO ADSLITE",TablaSeleccionSupervisores[#Headers])+1)=0,"Sí admitido","No admitido")</f>
        <v>Sí admitido</v>
      </c>
      <c r="AE368">
        <v>0</v>
      </c>
      <c r="AF368">
        <v>1</v>
      </c>
      <c r="AG368">
        <v>5</v>
      </c>
      <c r="AH368">
        <v>2</v>
      </c>
    </row>
    <row r="369" spans="22:34" x14ac:dyDescent="0.25">
      <c r="V369">
        <v>368</v>
      </c>
      <c r="W369" cm="1">
        <f t="array" ref="W369">SUM(TablaSupervisores[DISPOSITIVOS TOTAL]*INDEX(TablaSeleccionSupervisores[],ROW(TablaSeleccionSupervisores[[#This Row],[ORDEN]])-1,_xlfn.XMATCH(TablaSupervisores[REFERENCIA],TablaSeleccionSupervisores[#Headers])))</f>
        <v>368</v>
      </c>
      <c r="X369" cm="1">
        <f t="array" ref="X369">SUM(TablaSupervisores[DISPOSITIVOS BACNET MS/TP JC]*INDEX(TablaSeleccionSupervisores[],ROW(TablaSeleccionSupervisores[[#This Row],[ORDEN]])-1,_xlfn.XMATCH(TablaSupervisores[REFERENCIA],TablaSeleccionSupervisores[#Headers])))</f>
        <v>308</v>
      </c>
      <c r="Y369" cm="1">
        <f t="array" ref="Y369">SUM(TablaSupervisores[DISPOSITIVOS BACNET MS/TP COMPATIBLES]*INDEX(TablaSeleccionSupervisores[],ROW(TablaSeleccionSupervisores[[#This Row],[ORDEN]])-1,_xlfn.XMATCH(TablaSupervisores[REFERENCIA],TablaSeleccionSupervisores[#Headers])))</f>
        <v>200</v>
      </c>
      <c r="Z369" cm="1">
        <f t="array" ref="Z369">SUM(TablaSupervisores[DISPOSITIVOS BACNET IP]*INDEX(TablaSeleccionSupervisores[],ROW(TablaSeleccionSupervisores[[#This Row],[ORDEN]])-1,_xlfn.XMATCH(TablaSupervisores[REFERENCIA],TablaSeleccionSupervisores[#Headers])))</f>
        <v>620</v>
      </c>
      <c r="AA369" cm="1">
        <f t="array" ref="AA369">SUM(TablaSupervisores[OBJETOS]*INDEX(TablaSeleccionSupervisores[],ROW(TablaSeleccionSupervisores[[#This Row],[ORDEN]])-1,_xlfn.XMATCH(TablaSupervisores[REFERENCIA],TablaSeleccionSupervisores[#Headers])))</f>
        <v>20000</v>
      </c>
      <c r="AB369" s="28" cm="1">
        <f t="array" ref="AB369">SUM(TablaSupervisores[COSTE]*INDEX(TablaSeleccionSupervisores[],ROW(TablaSeleccionSupervisores[[#This Row],[ORDEN]])-1,_xlfn.XMATCH(TablaSupervisores[REFERENCIA],TablaSeleccionSupervisores[#Headers])))</f>
        <v>10037.580000000002</v>
      </c>
      <c r="AC369" cm="1">
        <f t="array" ref="AC369">SUM(INDEX(TablaSeleccionSupervisores[],ROW(TablaSeleccionSupervisores[[#This Row],[ORDEN]])-1,_xlfn.XMATCH(TablaSupervisores[REFERENCIA],TablaSeleccionSupervisores[#Headers])))</f>
        <v>8</v>
      </c>
      <c r="AD369" t="str" cm="1">
        <f t="array" ref="AD369">IF(INDEX(TablaSeleccionSupervisores[],ROW(TablaSeleccionSupervisores[[#This Row],[ORDEN]])-1,_xlfn.XMATCH("ADMITIDO ADSLITE",TablaSeleccionSupervisores[#Headers])+1)=0,"Sí admitido","No admitido")</f>
        <v>Sí admitido</v>
      </c>
      <c r="AE369">
        <v>0</v>
      </c>
      <c r="AF369">
        <v>0</v>
      </c>
      <c r="AG369">
        <v>6</v>
      </c>
      <c r="AH369">
        <v>2</v>
      </c>
    </row>
    <row r="370" spans="22:34" x14ac:dyDescent="0.25">
      <c r="V370">
        <v>369</v>
      </c>
      <c r="W370" cm="1">
        <f t="array" ref="W370">SUM(TablaSupervisores[DISPOSITIVOS TOTAL]*INDEX(TablaSeleccionSupervisores[],ROW(TablaSeleccionSupervisores[[#This Row],[ORDEN]])-1,_xlfn.XMATCH(TablaSupervisores[REFERENCIA],TablaSeleccionSupervisores[#Headers])))</f>
        <v>12</v>
      </c>
      <c r="X370" cm="1">
        <f t="array" ref="X370">SUM(TablaSupervisores[DISPOSITIVOS BACNET MS/TP JC]*INDEX(TablaSeleccionSupervisores[],ROW(TablaSeleccionSupervisores[[#This Row],[ORDEN]])-1,_xlfn.XMATCH(TablaSupervisores[REFERENCIA],TablaSeleccionSupervisores[#Headers])))</f>
        <v>12</v>
      </c>
      <c r="Y370" cm="1">
        <f t="array" ref="Y370">SUM(TablaSupervisores[DISPOSITIVOS BACNET MS/TP COMPATIBLES]*INDEX(TablaSeleccionSupervisores[],ROW(TablaSeleccionSupervisores[[#This Row],[ORDEN]])-1,_xlfn.XMATCH(TablaSupervisores[REFERENCIA],TablaSeleccionSupervisores[#Headers])))</f>
        <v>12</v>
      </c>
      <c r="Z370" cm="1">
        <f t="array" ref="Z370">SUM(TablaSupervisores[DISPOSITIVOS BACNET IP]*INDEX(TablaSeleccionSupervisores[],ROW(TablaSeleccionSupervisores[[#This Row],[ORDEN]])-1,_xlfn.XMATCH(TablaSupervisores[REFERENCIA],TablaSeleccionSupervisores[#Headers])))</f>
        <v>30</v>
      </c>
      <c r="AA370" cm="1">
        <f t="array" ref="AA370">SUM(TablaSupervisores[OBJETOS]*INDEX(TablaSeleccionSupervisores[],ROW(TablaSeleccionSupervisores[[#This Row],[ORDEN]])-1,_xlfn.XMATCH(TablaSupervisores[REFERENCIA],TablaSeleccionSupervisores[#Headers])))</f>
        <v>7500</v>
      </c>
      <c r="AB370" s="28" cm="1">
        <f t="array" ref="AB370">SUM(TablaSupervisores[COSTE]*INDEX(TablaSeleccionSupervisores[],ROW(TablaSeleccionSupervisores[[#This Row],[ORDEN]])-1,_xlfn.XMATCH(TablaSupervisores[REFERENCIA],TablaSeleccionSupervisores[#Headers])))</f>
        <v>2245.0500000000002</v>
      </c>
      <c r="AC370" cm="1">
        <f t="array" ref="AC370">SUM(INDEX(TablaSeleccionSupervisores[],ROW(TablaSeleccionSupervisores[[#This Row],[ORDEN]])-1,_xlfn.XMATCH(TablaSupervisores[REFERENCIA],TablaSeleccionSupervisores[#Headers])))</f>
        <v>3</v>
      </c>
      <c r="AD370" t="str" cm="1">
        <f t="array" ref="AD370">IF(INDEX(TablaSeleccionSupervisores[],ROW(TablaSeleccionSupervisores[[#This Row],[ORDEN]])-1,_xlfn.XMATCH("ADMITIDO ADSLITE",TablaSeleccionSupervisores[#Headers])+1)=0,"Sí admitido","No admitido")</f>
        <v>Sí admitido</v>
      </c>
      <c r="AE370">
        <v>0</v>
      </c>
      <c r="AF370">
        <v>0</v>
      </c>
      <c r="AG370">
        <v>0</v>
      </c>
      <c r="AH370">
        <v>3</v>
      </c>
    </row>
    <row r="371" spans="22:34" x14ac:dyDescent="0.25">
      <c r="V371">
        <v>370</v>
      </c>
      <c r="W371" cm="1">
        <f t="array" ref="W371">SUM(TablaSupervisores[DISPOSITIVOS TOTAL]*INDEX(TablaSeleccionSupervisores[],ROW(TablaSeleccionSupervisores[[#This Row],[ORDEN]])-1,_xlfn.XMATCH(TablaSupervisores[REFERENCIA],TablaSeleccionSupervisores[#Headers])))</f>
        <v>612</v>
      </c>
      <c r="X371" cm="1">
        <f t="array" ref="X371">SUM(TablaSupervisores[DISPOSITIVOS BACNET MS/TP JC]*INDEX(TablaSeleccionSupervisores[],ROW(TablaSeleccionSupervisores[[#This Row],[ORDEN]])-1,_xlfn.XMATCH(TablaSupervisores[REFERENCIA],TablaSeleccionSupervisores[#Headers])))</f>
        <v>212</v>
      </c>
      <c r="Y371" cm="1">
        <f t="array" ref="Y371">SUM(TablaSupervisores[DISPOSITIVOS BACNET MS/TP COMPATIBLES]*INDEX(TablaSeleccionSupervisores[],ROW(TablaSeleccionSupervisores[[#This Row],[ORDEN]])-1,_xlfn.XMATCH(TablaSupervisores[REFERENCIA],TablaSeleccionSupervisores[#Headers])))</f>
        <v>140</v>
      </c>
      <c r="Z371" cm="1">
        <f t="array" ref="Z371">SUM(TablaSupervisores[DISPOSITIVOS BACNET IP]*INDEX(TablaSeleccionSupervisores[],ROW(TablaSeleccionSupervisores[[#This Row],[ORDEN]])-1,_xlfn.XMATCH(TablaSupervisores[REFERENCIA],TablaSeleccionSupervisores[#Headers])))</f>
        <v>430</v>
      </c>
      <c r="AA371" cm="1">
        <f t="array" ref="AA371">SUM(TablaSupervisores[OBJETOS]*INDEX(TablaSeleccionSupervisores[],ROW(TablaSeleccionSupervisores[[#This Row],[ORDEN]])-1,_xlfn.XMATCH(TablaSupervisores[REFERENCIA],TablaSeleccionSupervisores[#Headers])))</f>
        <v>12500</v>
      </c>
      <c r="AB371" s="28" cm="1">
        <f t="array" ref="AB371">SUM(TablaSupervisores[COSTE]*INDEX(TablaSeleccionSupervisores[],ROW(TablaSeleccionSupervisores[[#This Row],[ORDEN]])-1,_xlfn.XMATCH(TablaSupervisores[REFERENCIA],TablaSeleccionSupervisores[#Headers])))</f>
        <v>7911.68</v>
      </c>
      <c r="AC371" cm="1">
        <f t="array" ref="AC371">SUM(INDEX(TablaSeleccionSupervisores[],ROW(TablaSeleccionSupervisores[[#This Row],[ORDEN]])-1,_xlfn.XMATCH(TablaSupervisores[REFERENCIA],TablaSeleccionSupervisores[#Headers])))</f>
        <v>4</v>
      </c>
      <c r="AD371" t="str" cm="1">
        <f t="array" ref="AD371">IF(INDEX(TablaSeleccionSupervisores[],ROW(TablaSeleccionSupervisores[[#This Row],[ORDEN]])-1,_xlfn.XMATCH("ADMITIDO ADSLITE",TablaSeleccionSupervisores[#Headers])+1)=0,"Sí admitido","No admitido")</f>
        <v>No admitido</v>
      </c>
      <c r="AE371">
        <v>1</v>
      </c>
      <c r="AF371">
        <v>0</v>
      </c>
      <c r="AG371">
        <v>0</v>
      </c>
      <c r="AH371">
        <v>3</v>
      </c>
    </row>
    <row r="372" spans="22:34" x14ac:dyDescent="0.25">
      <c r="V372">
        <v>371</v>
      </c>
      <c r="W372" cm="1">
        <f t="array" ref="W372">SUM(TablaSupervisores[DISPOSITIVOS TOTAL]*INDEX(TablaSeleccionSupervisores[],ROW(TablaSeleccionSupervisores[[#This Row],[ORDEN]])-1,_xlfn.XMATCH(TablaSupervisores[REFERENCIA],TablaSeleccionSupervisores[#Headers])))</f>
        <v>1212</v>
      </c>
      <c r="X372" cm="1">
        <f t="array" ref="X372">SUM(TablaSupervisores[DISPOSITIVOS BACNET MS/TP JC]*INDEX(TablaSeleccionSupervisores[],ROW(TablaSeleccionSupervisores[[#This Row],[ORDEN]])-1,_xlfn.XMATCH(TablaSupervisores[REFERENCIA],TablaSeleccionSupervisores[#Headers])))</f>
        <v>412</v>
      </c>
      <c r="Y372" cm="1">
        <f t="array" ref="Y372">SUM(TablaSupervisores[DISPOSITIVOS BACNET MS/TP COMPATIBLES]*INDEX(TablaSeleccionSupervisores[],ROW(TablaSeleccionSupervisores[[#This Row],[ORDEN]])-1,_xlfn.XMATCH(TablaSupervisores[REFERENCIA],TablaSeleccionSupervisores[#Headers])))</f>
        <v>268</v>
      </c>
      <c r="Z372" cm="1">
        <f t="array" ref="Z372">SUM(TablaSupervisores[DISPOSITIVOS BACNET IP]*INDEX(TablaSeleccionSupervisores[],ROW(TablaSeleccionSupervisores[[#This Row],[ORDEN]])-1,_xlfn.XMATCH(TablaSupervisores[REFERENCIA],TablaSeleccionSupervisores[#Headers])))</f>
        <v>830</v>
      </c>
      <c r="AA372" cm="1">
        <f t="array" ref="AA372">SUM(TablaSupervisores[OBJETOS]*INDEX(TablaSeleccionSupervisores[],ROW(TablaSeleccionSupervisores[[#This Row],[ORDEN]])-1,_xlfn.XMATCH(TablaSupervisores[REFERENCIA],TablaSeleccionSupervisores[#Headers])))</f>
        <v>17500</v>
      </c>
      <c r="AB372" s="28" cm="1">
        <f t="array" ref="AB372">SUM(TablaSupervisores[COSTE]*INDEX(TablaSeleccionSupervisores[],ROW(TablaSeleccionSupervisores[[#This Row],[ORDEN]])-1,_xlfn.XMATCH(TablaSupervisores[REFERENCIA],TablaSeleccionSupervisores[#Headers])))</f>
        <v>13578.310000000001</v>
      </c>
      <c r="AC372" cm="1">
        <f t="array" ref="AC372">SUM(INDEX(TablaSeleccionSupervisores[],ROW(TablaSeleccionSupervisores[[#This Row],[ORDEN]])-1,_xlfn.XMATCH(TablaSupervisores[REFERENCIA],TablaSeleccionSupervisores[#Headers])))</f>
        <v>5</v>
      </c>
      <c r="AD372" t="str" cm="1">
        <f t="array" ref="AD372">IF(INDEX(TablaSeleccionSupervisores[],ROW(TablaSeleccionSupervisores[[#This Row],[ORDEN]])-1,_xlfn.XMATCH("ADMITIDO ADSLITE",TablaSeleccionSupervisores[#Headers])+1)=0,"Sí admitido","No admitido")</f>
        <v>No admitido</v>
      </c>
      <c r="AE372">
        <v>2</v>
      </c>
      <c r="AF372">
        <v>0</v>
      </c>
      <c r="AG372">
        <v>0</v>
      </c>
      <c r="AH372">
        <v>3</v>
      </c>
    </row>
    <row r="373" spans="22:34" x14ac:dyDescent="0.25">
      <c r="V373">
        <v>372</v>
      </c>
      <c r="W373" cm="1">
        <f t="array" ref="W373">SUM(TablaSupervisores[DISPOSITIVOS TOTAL]*INDEX(TablaSeleccionSupervisores[],ROW(TablaSeleccionSupervisores[[#This Row],[ORDEN]])-1,_xlfn.XMATCH(TablaSupervisores[REFERENCIA],TablaSeleccionSupervisores[#Headers])))</f>
        <v>1812</v>
      </c>
      <c r="X373" cm="1">
        <f t="array" ref="X373">SUM(TablaSupervisores[DISPOSITIVOS BACNET MS/TP JC]*INDEX(TablaSeleccionSupervisores[],ROW(TablaSeleccionSupervisores[[#This Row],[ORDEN]])-1,_xlfn.XMATCH(TablaSupervisores[REFERENCIA],TablaSeleccionSupervisores[#Headers])))</f>
        <v>612</v>
      </c>
      <c r="Y373" cm="1">
        <f t="array" ref="Y373">SUM(TablaSupervisores[DISPOSITIVOS BACNET MS/TP COMPATIBLES]*INDEX(TablaSeleccionSupervisores[],ROW(TablaSeleccionSupervisores[[#This Row],[ORDEN]])-1,_xlfn.XMATCH(TablaSupervisores[REFERENCIA],TablaSeleccionSupervisores[#Headers])))</f>
        <v>396</v>
      </c>
      <c r="Z373" cm="1">
        <f t="array" ref="Z373">SUM(TablaSupervisores[DISPOSITIVOS BACNET IP]*INDEX(TablaSeleccionSupervisores[],ROW(TablaSeleccionSupervisores[[#This Row],[ORDEN]])-1,_xlfn.XMATCH(TablaSupervisores[REFERENCIA],TablaSeleccionSupervisores[#Headers])))</f>
        <v>1230</v>
      </c>
      <c r="AA373" cm="1">
        <f t="array" ref="AA373">SUM(TablaSupervisores[OBJETOS]*INDEX(TablaSeleccionSupervisores[],ROW(TablaSeleccionSupervisores[[#This Row],[ORDEN]])-1,_xlfn.XMATCH(TablaSupervisores[REFERENCIA],TablaSeleccionSupervisores[#Headers])))</f>
        <v>22500</v>
      </c>
      <c r="AB373" s="28" cm="1">
        <f t="array" ref="AB373">SUM(TablaSupervisores[COSTE]*INDEX(TablaSeleccionSupervisores[],ROW(TablaSeleccionSupervisores[[#This Row],[ORDEN]])-1,_xlfn.XMATCH(TablaSupervisores[REFERENCIA],TablaSeleccionSupervisores[#Headers])))</f>
        <v>19244.939999999999</v>
      </c>
      <c r="AC373" cm="1">
        <f t="array" ref="AC373">SUM(INDEX(TablaSeleccionSupervisores[],ROW(TablaSeleccionSupervisores[[#This Row],[ORDEN]])-1,_xlfn.XMATCH(TablaSupervisores[REFERENCIA],TablaSeleccionSupervisores[#Headers])))</f>
        <v>6</v>
      </c>
      <c r="AD373" t="str" cm="1">
        <f t="array" ref="AD373">IF(INDEX(TablaSeleccionSupervisores[],ROW(TablaSeleccionSupervisores[[#This Row],[ORDEN]])-1,_xlfn.XMATCH("ADMITIDO ADSLITE",TablaSeleccionSupervisores[#Headers])+1)=0,"Sí admitido","No admitido")</f>
        <v>No admitido</v>
      </c>
      <c r="AE373">
        <v>3</v>
      </c>
      <c r="AF373">
        <v>0</v>
      </c>
      <c r="AG373">
        <v>0</v>
      </c>
      <c r="AH373">
        <v>3</v>
      </c>
    </row>
    <row r="374" spans="22:34" x14ac:dyDescent="0.25">
      <c r="V374">
        <v>373</v>
      </c>
      <c r="W374" cm="1">
        <f t="array" ref="W374">SUM(TablaSupervisores[DISPOSITIVOS TOTAL]*INDEX(TablaSeleccionSupervisores[],ROW(TablaSeleccionSupervisores[[#This Row],[ORDEN]])-1,_xlfn.XMATCH(TablaSupervisores[REFERENCIA],TablaSeleccionSupervisores[#Headers])))</f>
        <v>2412</v>
      </c>
      <c r="X374" cm="1">
        <f t="array" ref="X374">SUM(TablaSupervisores[DISPOSITIVOS BACNET MS/TP JC]*INDEX(TablaSeleccionSupervisores[],ROW(TablaSeleccionSupervisores[[#This Row],[ORDEN]])-1,_xlfn.XMATCH(TablaSupervisores[REFERENCIA],TablaSeleccionSupervisores[#Headers])))</f>
        <v>812</v>
      </c>
      <c r="Y374" cm="1">
        <f t="array" ref="Y374">SUM(TablaSupervisores[DISPOSITIVOS BACNET MS/TP COMPATIBLES]*INDEX(TablaSeleccionSupervisores[],ROW(TablaSeleccionSupervisores[[#This Row],[ORDEN]])-1,_xlfn.XMATCH(TablaSupervisores[REFERENCIA],TablaSeleccionSupervisores[#Headers])))</f>
        <v>524</v>
      </c>
      <c r="Z374" cm="1">
        <f t="array" ref="Z374">SUM(TablaSupervisores[DISPOSITIVOS BACNET IP]*INDEX(TablaSeleccionSupervisores[],ROW(TablaSeleccionSupervisores[[#This Row],[ORDEN]])-1,_xlfn.XMATCH(TablaSupervisores[REFERENCIA],TablaSeleccionSupervisores[#Headers])))</f>
        <v>1630</v>
      </c>
      <c r="AA374" cm="1">
        <f t="array" ref="AA374">SUM(TablaSupervisores[OBJETOS]*INDEX(TablaSeleccionSupervisores[],ROW(TablaSeleccionSupervisores[[#This Row],[ORDEN]])-1,_xlfn.XMATCH(TablaSupervisores[REFERENCIA],TablaSeleccionSupervisores[#Headers])))</f>
        <v>27500</v>
      </c>
      <c r="AB374" s="28" cm="1">
        <f t="array" ref="AB374">SUM(TablaSupervisores[COSTE]*INDEX(TablaSeleccionSupervisores[],ROW(TablaSeleccionSupervisores[[#This Row],[ORDEN]])-1,_xlfn.XMATCH(TablaSupervisores[REFERENCIA],TablaSeleccionSupervisores[#Headers])))</f>
        <v>24911.57</v>
      </c>
      <c r="AC374" cm="1">
        <f t="array" ref="AC374">SUM(INDEX(TablaSeleccionSupervisores[],ROW(TablaSeleccionSupervisores[[#This Row],[ORDEN]])-1,_xlfn.XMATCH(TablaSupervisores[REFERENCIA],TablaSeleccionSupervisores[#Headers])))</f>
        <v>7</v>
      </c>
      <c r="AD374" t="str" cm="1">
        <f t="array" ref="AD374">IF(INDEX(TablaSeleccionSupervisores[],ROW(TablaSeleccionSupervisores[[#This Row],[ORDEN]])-1,_xlfn.XMATCH("ADMITIDO ADSLITE",TablaSeleccionSupervisores[#Headers])+1)=0,"Sí admitido","No admitido")</f>
        <v>No admitido</v>
      </c>
      <c r="AE374">
        <v>4</v>
      </c>
      <c r="AF374">
        <v>0</v>
      </c>
      <c r="AG374">
        <v>0</v>
      </c>
      <c r="AH374">
        <v>3</v>
      </c>
    </row>
    <row r="375" spans="22:34" x14ac:dyDescent="0.25">
      <c r="V375">
        <v>374</v>
      </c>
      <c r="W375" cm="1">
        <f t="array" ref="W375">SUM(TablaSupervisores[DISPOSITIVOS TOTAL]*INDEX(TablaSeleccionSupervisores[],ROW(TablaSeleccionSupervisores[[#This Row],[ORDEN]])-1,_xlfn.XMATCH(TablaSupervisores[REFERENCIA],TablaSeleccionSupervisores[#Headers])))</f>
        <v>3012</v>
      </c>
      <c r="X375" cm="1">
        <f t="array" ref="X375">SUM(TablaSupervisores[DISPOSITIVOS BACNET MS/TP JC]*INDEX(TablaSeleccionSupervisores[],ROW(TablaSeleccionSupervisores[[#This Row],[ORDEN]])-1,_xlfn.XMATCH(TablaSupervisores[REFERENCIA],TablaSeleccionSupervisores[#Headers])))</f>
        <v>1012</v>
      </c>
      <c r="Y375" cm="1">
        <f t="array" ref="Y375">SUM(TablaSupervisores[DISPOSITIVOS BACNET MS/TP COMPATIBLES]*INDEX(TablaSeleccionSupervisores[],ROW(TablaSeleccionSupervisores[[#This Row],[ORDEN]])-1,_xlfn.XMATCH(TablaSupervisores[REFERENCIA],TablaSeleccionSupervisores[#Headers])))</f>
        <v>652</v>
      </c>
      <c r="Z375" cm="1">
        <f t="array" ref="Z375">SUM(TablaSupervisores[DISPOSITIVOS BACNET IP]*INDEX(TablaSeleccionSupervisores[],ROW(TablaSeleccionSupervisores[[#This Row],[ORDEN]])-1,_xlfn.XMATCH(TablaSupervisores[REFERENCIA],TablaSeleccionSupervisores[#Headers])))</f>
        <v>2030</v>
      </c>
      <c r="AA375" cm="1">
        <f t="array" ref="AA375">SUM(TablaSupervisores[OBJETOS]*INDEX(TablaSeleccionSupervisores[],ROW(TablaSeleccionSupervisores[[#This Row],[ORDEN]])-1,_xlfn.XMATCH(TablaSupervisores[REFERENCIA],TablaSeleccionSupervisores[#Headers])))</f>
        <v>32500</v>
      </c>
      <c r="AB375" s="28" cm="1">
        <f t="array" ref="AB375">SUM(TablaSupervisores[COSTE]*INDEX(TablaSeleccionSupervisores[],ROW(TablaSeleccionSupervisores[[#This Row],[ORDEN]])-1,_xlfn.XMATCH(TablaSupervisores[REFERENCIA],TablaSeleccionSupervisores[#Headers])))</f>
        <v>30578.2</v>
      </c>
      <c r="AC375" cm="1">
        <f t="array" ref="AC375">SUM(INDEX(TablaSeleccionSupervisores[],ROW(TablaSeleccionSupervisores[[#This Row],[ORDEN]])-1,_xlfn.XMATCH(TablaSupervisores[REFERENCIA],TablaSeleccionSupervisores[#Headers])))</f>
        <v>8</v>
      </c>
      <c r="AD375" t="str" cm="1">
        <f t="array" ref="AD375">IF(INDEX(TablaSeleccionSupervisores[],ROW(TablaSeleccionSupervisores[[#This Row],[ORDEN]])-1,_xlfn.XMATCH("ADMITIDO ADSLITE",TablaSeleccionSupervisores[#Headers])+1)=0,"Sí admitido","No admitido")</f>
        <v>No admitido</v>
      </c>
      <c r="AE375">
        <v>5</v>
      </c>
      <c r="AF375">
        <v>0</v>
      </c>
      <c r="AG375">
        <v>0</v>
      </c>
      <c r="AH375">
        <v>3</v>
      </c>
    </row>
    <row r="376" spans="22:34" x14ac:dyDescent="0.25">
      <c r="V376">
        <v>375</v>
      </c>
      <c r="W376" cm="1">
        <f t="array" ref="W376">SUM(TablaSupervisores[DISPOSITIVOS TOTAL]*INDEX(TablaSeleccionSupervisores[],ROW(TablaSeleccionSupervisores[[#This Row],[ORDEN]])-1,_xlfn.XMATCH(TablaSupervisores[REFERENCIA],TablaSeleccionSupervisores[#Headers])))</f>
        <v>162</v>
      </c>
      <c r="X376" cm="1">
        <f t="array" ref="X376">SUM(TablaSupervisores[DISPOSITIVOS BACNET MS/TP JC]*INDEX(TablaSeleccionSupervisores[],ROW(TablaSeleccionSupervisores[[#This Row],[ORDEN]])-1,_xlfn.XMATCH(TablaSupervisores[REFERENCIA],TablaSeleccionSupervisores[#Headers])))</f>
        <v>112</v>
      </c>
      <c r="Y376" cm="1">
        <f t="array" ref="Y376">SUM(TablaSupervisores[DISPOSITIVOS BACNET MS/TP COMPATIBLES]*INDEX(TablaSeleccionSupervisores[],ROW(TablaSeleccionSupervisores[[#This Row],[ORDEN]])-1,_xlfn.XMATCH(TablaSupervisores[REFERENCIA],TablaSeleccionSupervisores[#Headers])))</f>
        <v>76</v>
      </c>
      <c r="Z376" cm="1">
        <f t="array" ref="Z376">SUM(TablaSupervisores[DISPOSITIVOS BACNET IP]*INDEX(TablaSeleccionSupervisores[],ROW(TablaSeleccionSupervisores[[#This Row],[ORDEN]])-1,_xlfn.XMATCH(TablaSupervisores[REFERENCIA],TablaSeleccionSupervisores[#Headers])))</f>
        <v>230</v>
      </c>
      <c r="AA376" cm="1">
        <f t="array" ref="AA376">SUM(TablaSupervisores[OBJETOS]*INDEX(TablaSeleccionSupervisores[],ROW(TablaSeleccionSupervisores[[#This Row],[ORDEN]])-1,_xlfn.XMATCH(TablaSupervisores[REFERENCIA],TablaSeleccionSupervisores[#Headers])))</f>
        <v>10000</v>
      </c>
      <c r="AB376" s="28" cm="1">
        <f t="array" ref="AB376">SUM(TablaSupervisores[COSTE]*INDEX(TablaSeleccionSupervisores[],ROW(TablaSeleccionSupervisores[[#This Row],[ORDEN]])-1,_xlfn.XMATCH(TablaSupervisores[REFERENCIA],TablaSeleccionSupervisores[#Headers])))</f>
        <v>6233.7800000000007</v>
      </c>
      <c r="AC376" cm="1">
        <f t="array" ref="AC376">SUM(INDEX(TablaSeleccionSupervisores[],ROW(TablaSeleccionSupervisores[[#This Row],[ORDEN]])-1,_xlfn.XMATCH(TablaSupervisores[REFERENCIA],TablaSeleccionSupervisores[#Headers])))</f>
        <v>4</v>
      </c>
      <c r="AD376" t="str" cm="1">
        <f t="array" ref="AD376">IF(INDEX(TablaSeleccionSupervisores[],ROW(TablaSeleccionSupervisores[[#This Row],[ORDEN]])-1,_xlfn.XMATCH("ADMITIDO ADSLITE",TablaSeleccionSupervisores[#Headers])+1)=0,"Sí admitido","No admitido")</f>
        <v>Sí admitido</v>
      </c>
      <c r="AE376">
        <v>0</v>
      </c>
      <c r="AF376">
        <v>1</v>
      </c>
      <c r="AG376">
        <v>0</v>
      </c>
      <c r="AH376">
        <v>3</v>
      </c>
    </row>
    <row r="377" spans="22:34" x14ac:dyDescent="0.25">
      <c r="V377">
        <v>376</v>
      </c>
      <c r="W377" cm="1">
        <f t="array" ref="W377">SUM(TablaSupervisores[DISPOSITIVOS TOTAL]*INDEX(TablaSeleccionSupervisores[],ROW(TablaSeleccionSupervisores[[#This Row],[ORDEN]])-1,_xlfn.XMATCH(TablaSupervisores[REFERENCIA],TablaSeleccionSupervisores[#Headers])))</f>
        <v>762</v>
      </c>
      <c r="X377" cm="1">
        <f t="array" ref="X377">SUM(TablaSupervisores[DISPOSITIVOS BACNET MS/TP JC]*INDEX(TablaSeleccionSupervisores[],ROW(TablaSeleccionSupervisores[[#This Row],[ORDEN]])-1,_xlfn.XMATCH(TablaSupervisores[REFERENCIA],TablaSeleccionSupervisores[#Headers])))</f>
        <v>312</v>
      </c>
      <c r="Y377" cm="1">
        <f t="array" ref="Y377">SUM(TablaSupervisores[DISPOSITIVOS BACNET MS/TP COMPATIBLES]*INDEX(TablaSeleccionSupervisores[],ROW(TablaSeleccionSupervisores[[#This Row],[ORDEN]])-1,_xlfn.XMATCH(TablaSupervisores[REFERENCIA],TablaSeleccionSupervisores[#Headers])))</f>
        <v>204</v>
      </c>
      <c r="Z377" cm="1">
        <f t="array" ref="Z377">SUM(TablaSupervisores[DISPOSITIVOS BACNET IP]*INDEX(TablaSeleccionSupervisores[],ROW(TablaSeleccionSupervisores[[#This Row],[ORDEN]])-1,_xlfn.XMATCH(TablaSupervisores[REFERENCIA],TablaSeleccionSupervisores[#Headers])))</f>
        <v>630</v>
      </c>
      <c r="AA377" cm="1">
        <f t="array" ref="AA377">SUM(TablaSupervisores[OBJETOS]*INDEX(TablaSeleccionSupervisores[],ROW(TablaSeleccionSupervisores[[#This Row],[ORDEN]])-1,_xlfn.XMATCH(TablaSupervisores[REFERENCIA],TablaSeleccionSupervisores[#Headers])))</f>
        <v>15000</v>
      </c>
      <c r="AB377" s="28" cm="1">
        <f t="array" ref="AB377">SUM(TablaSupervisores[COSTE]*INDEX(TablaSeleccionSupervisores[],ROW(TablaSeleccionSupervisores[[#This Row],[ORDEN]])-1,_xlfn.XMATCH(TablaSupervisores[REFERENCIA],TablaSeleccionSupervisores[#Headers])))</f>
        <v>11900.41</v>
      </c>
      <c r="AC377" cm="1">
        <f t="array" ref="AC377">SUM(INDEX(TablaSeleccionSupervisores[],ROW(TablaSeleccionSupervisores[[#This Row],[ORDEN]])-1,_xlfn.XMATCH(TablaSupervisores[REFERENCIA],TablaSeleccionSupervisores[#Headers])))</f>
        <v>5</v>
      </c>
      <c r="AD377" t="str" cm="1">
        <f t="array" ref="AD377">IF(INDEX(TablaSeleccionSupervisores[],ROW(TablaSeleccionSupervisores[[#This Row],[ORDEN]])-1,_xlfn.XMATCH("ADMITIDO ADSLITE",TablaSeleccionSupervisores[#Headers])+1)=0,"Sí admitido","No admitido")</f>
        <v>No admitido</v>
      </c>
      <c r="AE377">
        <v>1</v>
      </c>
      <c r="AF377">
        <v>1</v>
      </c>
      <c r="AG377">
        <v>0</v>
      </c>
      <c r="AH377">
        <v>3</v>
      </c>
    </row>
    <row r="378" spans="22:34" x14ac:dyDescent="0.25">
      <c r="V378">
        <v>377</v>
      </c>
      <c r="W378" cm="1">
        <f t="array" ref="W378">SUM(TablaSupervisores[DISPOSITIVOS TOTAL]*INDEX(TablaSeleccionSupervisores[],ROW(TablaSeleccionSupervisores[[#This Row],[ORDEN]])-1,_xlfn.XMATCH(TablaSupervisores[REFERENCIA],TablaSeleccionSupervisores[#Headers])))</f>
        <v>1362</v>
      </c>
      <c r="X378" cm="1">
        <f t="array" ref="X378">SUM(TablaSupervisores[DISPOSITIVOS BACNET MS/TP JC]*INDEX(TablaSeleccionSupervisores[],ROW(TablaSeleccionSupervisores[[#This Row],[ORDEN]])-1,_xlfn.XMATCH(TablaSupervisores[REFERENCIA],TablaSeleccionSupervisores[#Headers])))</f>
        <v>512</v>
      </c>
      <c r="Y378" cm="1">
        <f t="array" ref="Y378">SUM(TablaSupervisores[DISPOSITIVOS BACNET MS/TP COMPATIBLES]*INDEX(TablaSeleccionSupervisores[],ROW(TablaSeleccionSupervisores[[#This Row],[ORDEN]])-1,_xlfn.XMATCH(TablaSupervisores[REFERENCIA],TablaSeleccionSupervisores[#Headers])))</f>
        <v>332</v>
      </c>
      <c r="Z378" cm="1">
        <f t="array" ref="Z378">SUM(TablaSupervisores[DISPOSITIVOS BACNET IP]*INDEX(TablaSeleccionSupervisores[],ROW(TablaSeleccionSupervisores[[#This Row],[ORDEN]])-1,_xlfn.XMATCH(TablaSupervisores[REFERENCIA],TablaSeleccionSupervisores[#Headers])))</f>
        <v>1030</v>
      </c>
      <c r="AA378" cm="1">
        <f t="array" ref="AA378">SUM(TablaSupervisores[OBJETOS]*INDEX(TablaSeleccionSupervisores[],ROW(TablaSeleccionSupervisores[[#This Row],[ORDEN]])-1,_xlfn.XMATCH(TablaSupervisores[REFERENCIA],TablaSeleccionSupervisores[#Headers])))</f>
        <v>20000</v>
      </c>
      <c r="AB378" s="28" cm="1">
        <f t="array" ref="AB378">SUM(TablaSupervisores[COSTE]*INDEX(TablaSeleccionSupervisores[],ROW(TablaSeleccionSupervisores[[#This Row],[ORDEN]])-1,_xlfn.XMATCH(TablaSupervisores[REFERENCIA],TablaSeleccionSupervisores[#Headers])))</f>
        <v>17567.04</v>
      </c>
      <c r="AC378" cm="1">
        <f t="array" ref="AC378">SUM(INDEX(TablaSeleccionSupervisores[],ROW(TablaSeleccionSupervisores[[#This Row],[ORDEN]])-1,_xlfn.XMATCH(TablaSupervisores[REFERENCIA],TablaSeleccionSupervisores[#Headers])))</f>
        <v>6</v>
      </c>
      <c r="AD378" t="str" cm="1">
        <f t="array" ref="AD378">IF(INDEX(TablaSeleccionSupervisores[],ROW(TablaSeleccionSupervisores[[#This Row],[ORDEN]])-1,_xlfn.XMATCH("ADMITIDO ADSLITE",TablaSeleccionSupervisores[#Headers])+1)=0,"Sí admitido","No admitido")</f>
        <v>No admitido</v>
      </c>
      <c r="AE378">
        <v>2</v>
      </c>
      <c r="AF378">
        <v>1</v>
      </c>
      <c r="AG378">
        <v>0</v>
      </c>
      <c r="AH378">
        <v>3</v>
      </c>
    </row>
    <row r="379" spans="22:34" x14ac:dyDescent="0.25">
      <c r="V379">
        <v>378</v>
      </c>
      <c r="W379" cm="1">
        <f t="array" ref="W379">SUM(TablaSupervisores[DISPOSITIVOS TOTAL]*INDEX(TablaSeleccionSupervisores[],ROW(TablaSeleccionSupervisores[[#This Row],[ORDEN]])-1,_xlfn.XMATCH(TablaSupervisores[REFERENCIA],TablaSeleccionSupervisores[#Headers])))</f>
        <v>1962</v>
      </c>
      <c r="X379" cm="1">
        <f t="array" ref="X379">SUM(TablaSupervisores[DISPOSITIVOS BACNET MS/TP JC]*INDEX(TablaSeleccionSupervisores[],ROW(TablaSeleccionSupervisores[[#This Row],[ORDEN]])-1,_xlfn.XMATCH(TablaSupervisores[REFERENCIA],TablaSeleccionSupervisores[#Headers])))</f>
        <v>712</v>
      </c>
      <c r="Y379" cm="1">
        <f t="array" ref="Y379">SUM(TablaSupervisores[DISPOSITIVOS BACNET MS/TP COMPATIBLES]*INDEX(TablaSeleccionSupervisores[],ROW(TablaSeleccionSupervisores[[#This Row],[ORDEN]])-1,_xlfn.XMATCH(TablaSupervisores[REFERENCIA],TablaSeleccionSupervisores[#Headers])))</f>
        <v>460</v>
      </c>
      <c r="Z379" cm="1">
        <f t="array" ref="Z379">SUM(TablaSupervisores[DISPOSITIVOS BACNET IP]*INDEX(TablaSeleccionSupervisores[],ROW(TablaSeleccionSupervisores[[#This Row],[ORDEN]])-1,_xlfn.XMATCH(TablaSupervisores[REFERENCIA],TablaSeleccionSupervisores[#Headers])))</f>
        <v>1430</v>
      </c>
      <c r="AA379" cm="1">
        <f t="array" ref="AA379">SUM(TablaSupervisores[OBJETOS]*INDEX(TablaSeleccionSupervisores[],ROW(TablaSeleccionSupervisores[[#This Row],[ORDEN]])-1,_xlfn.XMATCH(TablaSupervisores[REFERENCIA],TablaSeleccionSupervisores[#Headers])))</f>
        <v>25000</v>
      </c>
      <c r="AB379" s="28" cm="1">
        <f t="array" ref="AB379">SUM(TablaSupervisores[COSTE]*INDEX(TablaSeleccionSupervisores[],ROW(TablaSeleccionSupervisores[[#This Row],[ORDEN]])-1,_xlfn.XMATCH(TablaSupervisores[REFERENCIA],TablaSeleccionSupervisores[#Headers])))</f>
        <v>23233.67</v>
      </c>
      <c r="AC379" cm="1">
        <f t="array" ref="AC379">SUM(INDEX(TablaSeleccionSupervisores[],ROW(TablaSeleccionSupervisores[[#This Row],[ORDEN]])-1,_xlfn.XMATCH(TablaSupervisores[REFERENCIA],TablaSeleccionSupervisores[#Headers])))</f>
        <v>7</v>
      </c>
      <c r="AD379" t="str" cm="1">
        <f t="array" ref="AD379">IF(INDEX(TablaSeleccionSupervisores[],ROW(TablaSeleccionSupervisores[[#This Row],[ORDEN]])-1,_xlfn.XMATCH("ADMITIDO ADSLITE",TablaSeleccionSupervisores[#Headers])+1)=0,"Sí admitido","No admitido")</f>
        <v>No admitido</v>
      </c>
      <c r="AE379">
        <v>3</v>
      </c>
      <c r="AF379">
        <v>1</v>
      </c>
      <c r="AG379">
        <v>0</v>
      </c>
      <c r="AH379">
        <v>3</v>
      </c>
    </row>
    <row r="380" spans="22:34" x14ac:dyDescent="0.25">
      <c r="V380">
        <v>379</v>
      </c>
      <c r="W380" cm="1">
        <f t="array" ref="W380">SUM(TablaSupervisores[DISPOSITIVOS TOTAL]*INDEX(TablaSeleccionSupervisores[],ROW(TablaSeleccionSupervisores[[#This Row],[ORDEN]])-1,_xlfn.XMATCH(TablaSupervisores[REFERENCIA],TablaSeleccionSupervisores[#Headers])))</f>
        <v>2562</v>
      </c>
      <c r="X380" cm="1">
        <f t="array" ref="X380">SUM(TablaSupervisores[DISPOSITIVOS BACNET MS/TP JC]*INDEX(TablaSeleccionSupervisores[],ROW(TablaSeleccionSupervisores[[#This Row],[ORDEN]])-1,_xlfn.XMATCH(TablaSupervisores[REFERENCIA],TablaSeleccionSupervisores[#Headers])))</f>
        <v>912</v>
      </c>
      <c r="Y380" cm="1">
        <f t="array" ref="Y380">SUM(TablaSupervisores[DISPOSITIVOS BACNET MS/TP COMPATIBLES]*INDEX(TablaSeleccionSupervisores[],ROW(TablaSeleccionSupervisores[[#This Row],[ORDEN]])-1,_xlfn.XMATCH(TablaSupervisores[REFERENCIA],TablaSeleccionSupervisores[#Headers])))</f>
        <v>588</v>
      </c>
      <c r="Z380" cm="1">
        <f t="array" ref="Z380">SUM(TablaSupervisores[DISPOSITIVOS BACNET IP]*INDEX(TablaSeleccionSupervisores[],ROW(TablaSeleccionSupervisores[[#This Row],[ORDEN]])-1,_xlfn.XMATCH(TablaSupervisores[REFERENCIA],TablaSeleccionSupervisores[#Headers])))</f>
        <v>1830</v>
      </c>
      <c r="AA380" cm="1">
        <f t="array" ref="AA380">SUM(TablaSupervisores[OBJETOS]*INDEX(TablaSeleccionSupervisores[],ROW(TablaSeleccionSupervisores[[#This Row],[ORDEN]])-1,_xlfn.XMATCH(TablaSupervisores[REFERENCIA],TablaSeleccionSupervisores[#Headers])))</f>
        <v>30000</v>
      </c>
      <c r="AB380" s="28" cm="1">
        <f t="array" ref="AB380">SUM(TablaSupervisores[COSTE]*INDEX(TablaSeleccionSupervisores[],ROW(TablaSeleccionSupervisores[[#This Row],[ORDEN]])-1,_xlfn.XMATCH(TablaSupervisores[REFERENCIA],TablaSeleccionSupervisores[#Headers])))</f>
        <v>28900.3</v>
      </c>
      <c r="AC380" cm="1">
        <f t="array" ref="AC380">SUM(INDEX(TablaSeleccionSupervisores[],ROW(TablaSeleccionSupervisores[[#This Row],[ORDEN]])-1,_xlfn.XMATCH(TablaSupervisores[REFERENCIA],TablaSeleccionSupervisores[#Headers])))</f>
        <v>8</v>
      </c>
      <c r="AD380" t="str" cm="1">
        <f t="array" ref="AD380">IF(INDEX(TablaSeleccionSupervisores[],ROW(TablaSeleccionSupervisores[[#This Row],[ORDEN]])-1,_xlfn.XMATCH("ADMITIDO ADSLITE",TablaSeleccionSupervisores[#Headers])+1)=0,"Sí admitido","No admitido")</f>
        <v>No admitido</v>
      </c>
      <c r="AE380">
        <v>4</v>
      </c>
      <c r="AF380">
        <v>1</v>
      </c>
      <c r="AG380">
        <v>0</v>
      </c>
      <c r="AH380">
        <v>3</v>
      </c>
    </row>
    <row r="381" spans="22:34" x14ac:dyDescent="0.25">
      <c r="V381">
        <v>380</v>
      </c>
      <c r="W381" cm="1">
        <f t="array" ref="W381">SUM(TablaSupervisores[DISPOSITIVOS TOTAL]*INDEX(TablaSeleccionSupervisores[],ROW(TablaSeleccionSupervisores[[#This Row],[ORDEN]])-1,_xlfn.XMATCH(TablaSupervisores[REFERENCIA],TablaSeleccionSupervisores[#Headers])))</f>
        <v>312</v>
      </c>
      <c r="X381" cm="1">
        <f t="array" ref="X381">SUM(TablaSupervisores[DISPOSITIVOS BACNET MS/TP JC]*INDEX(TablaSeleccionSupervisores[],ROW(TablaSeleccionSupervisores[[#This Row],[ORDEN]])-1,_xlfn.XMATCH(TablaSupervisores[REFERENCIA],TablaSeleccionSupervisores[#Headers])))</f>
        <v>212</v>
      </c>
      <c r="Y381" cm="1">
        <f t="array" ref="Y381">SUM(TablaSupervisores[DISPOSITIVOS BACNET MS/TP COMPATIBLES]*INDEX(TablaSeleccionSupervisores[],ROW(TablaSeleccionSupervisores[[#This Row],[ORDEN]])-1,_xlfn.XMATCH(TablaSupervisores[REFERENCIA],TablaSeleccionSupervisores[#Headers])))</f>
        <v>140</v>
      </c>
      <c r="Z381" cm="1">
        <f t="array" ref="Z381">SUM(TablaSupervisores[DISPOSITIVOS BACNET IP]*INDEX(TablaSeleccionSupervisores[],ROW(TablaSeleccionSupervisores[[#This Row],[ORDEN]])-1,_xlfn.XMATCH(TablaSupervisores[REFERENCIA],TablaSeleccionSupervisores[#Headers])))</f>
        <v>430</v>
      </c>
      <c r="AA381" cm="1">
        <f t="array" ref="AA381">SUM(TablaSupervisores[OBJETOS]*INDEX(TablaSeleccionSupervisores[],ROW(TablaSeleccionSupervisores[[#This Row],[ORDEN]])-1,_xlfn.XMATCH(TablaSupervisores[REFERENCIA],TablaSeleccionSupervisores[#Headers])))</f>
        <v>12500</v>
      </c>
      <c r="AB381" s="28" cm="1">
        <f t="array" ref="AB381">SUM(TablaSupervisores[COSTE]*INDEX(TablaSeleccionSupervisores[],ROW(TablaSeleccionSupervisores[[#This Row],[ORDEN]])-1,_xlfn.XMATCH(TablaSupervisores[REFERENCIA],TablaSeleccionSupervisores[#Headers])))</f>
        <v>10222.51</v>
      </c>
      <c r="AC381" cm="1">
        <f t="array" ref="AC381">SUM(INDEX(TablaSeleccionSupervisores[],ROW(TablaSeleccionSupervisores[[#This Row],[ORDEN]])-1,_xlfn.XMATCH(TablaSupervisores[REFERENCIA],TablaSeleccionSupervisores[#Headers])))</f>
        <v>5</v>
      </c>
      <c r="AD381" t="str" cm="1">
        <f t="array" ref="AD381">IF(INDEX(TablaSeleccionSupervisores[],ROW(TablaSeleccionSupervisores[[#This Row],[ORDEN]])-1,_xlfn.XMATCH("ADMITIDO ADSLITE",TablaSeleccionSupervisores[#Headers])+1)=0,"Sí admitido","No admitido")</f>
        <v>Sí admitido</v>
      </c>
      <c r="AE381">
        <v>0</v>
      </c>
      <c r="AF381">
        <v>2</v>
      </c>
      <c r="AG381">
        <v>0</v>
      </c>
      <c r="AH381">
        <v>3</v>
      </c>
    </row>
    <row r="382" spans="22:34" x14ac:dyDescent="0.25">
      <c r="V382">
        <v>381</v>
      </c>
      <c r="W382" cm="1">
        <f t="array" ref="W382">SUM(TablaSupervisores[DISPOSITIVOS TOTAL]*INDEX(TablaSeleccionSupervisores[],ROW(TablaSeleccionSupervisores[[#This Row],[ORDEN]])-1,_xlfn.XMATCH(TablaSupervisores[REFERENCIA],TablaSeleccionSupervisores[#Headers])))</f>
        <v>912</v>
      </c>
      <c r="X382" cm="1">
        <f t="array" ref="X382">SUM(TablaSupervisores[DISPOSITIVOS BACNET MS/TP JC]*INDEX(TablaSeleccionSupervisores[],ROW(TablaSeleccionSupervisores[[#This Row],[ORDEN]])-1,_xlfn.XMATCH(TablaSupervisores[REFERENCIA],TablaSeleccionSupervisores[#Headers])))</f>
        <v>412</v>
      </c>
      <c r="Y382" cm="1">
        <f t="array" ref="Y382">SUM(TablaSupervisores[DISPOSITIVOS BACNET MS/TP COMPATIBLES]*INDEX(TablaSeleccionSupervisores[],ROW(TablaSeleccionSupervisores[[#This Row],[ORDEN]])-1,_xlfn.XMATCH(TablaSupervisores[REFERENCIA],TablaSeleccionSupervisores[#Headers])))</f>
        <v>268</v>
      </c>
      <c r="Z382" cm="1">
        <f t="array" ref="Z382">SUM(TablaSupervisores[DISPOSITIVOS BACNET IP]*INDEX(TablaSeleccionSupervisores[],ROW(TablaSeleccionSupervisores[[#This Row],[ORDEN]])-1,_xlfn.XMATCH(TablaSupervisores[REFERENCIA],TablaSeleccionSupervisores[#Headers])))</f>
        <v>830</v>
      </c>
      <c r="AA382" cm="1">
        <f t="array" ref="AA382">SUM(TablaSupervisores[OBJETOS]*INDEX(TablaSeleccionSupervisores[],ROW(TablaSeleccionSupervisores[[#This Row],[ORDEN]])-1,_xlfn.XMATCH(TablaSupervisores[REFERENCIA],TablaSeleccionSupervisores[#Headers])))</f>
        <v>17500</v>
      </c>
      <c r="AB382" s="28" cm="1">
        <f t="array" ref="AB382">SUM(TablaSupervisores[COSTE]*INDEX(TablaSeleccionSupervisores[],ROW(TablaSeleccionSupervisores[[#This Row],[ORDEN]])-1,_xlfn.XMATCH(TablaSupervisores[REFERENCIA],TablaSeleccionSupervisores[#Headers])))</f>
        <v>15889.14</v>
      </c>
      <c r="AC382" cm="1">
        <f t="array" ref="AC382">SUM(INDEX(TablaSeleccionSupervisores[],ROW(TablaSeleccionSupervisores[[#This Row],[ORDEN]])-1,_xlfn.XMATCH(TablaSupervisores[REFERENCIA],TablaSeleccionSupervisores[#Headers])))</f>
        <v>6</v>
      </c>
      <c r="AD382" t="str" cm="1">
        <f t="array" ref="AD382">IF(INDEX(TablaSeleccionSupervisores[],ROW(TablaSeleccionSupervisores[[#This Row],[ORDEN]])-1,_xlfn.XMATCH("ADMITIDO ADSLITE",TablaSeleccionSupervisores[#Headers])+1)=0,"Sí admitido","No admitido")</f>
        <v>No admitido</v>
      </c>
      <c r="AE382">
        <v>1</v>
      </c>
      <c r="AF382">
        <v>2</v>
      </c>
      <c r="AG382">
        <v>0</v>
      </c>
      <c r="AH382">
        <v>3</v>
      </c>
    </row>
    <row r="383" spans="22:34" x14ac:dyDescent="0.25">
      <c r="V383">
        <v>382</v>
      </c>
      <c r="W383" cm="1">
        <f t="array" ref="W383">SUM(TablaSupervisores[DISPOSITIVOS TOTAL]*INDEX(TablaSeleccionSupervisores[],ROW(TablaSeleccionSupervisores[[#This Row],[ORDEN]])-1,_xlfn.XMATCH(TablaSupervisores[REFERENCIA],TablaSeleccionSupervisores[#Headers])))</f>
        <v>1512</v>
      </c>
      <c r="X383" cm="1">
        <f t="array" ref="X383">SUM(TablaSupervisores[DISPOSITIVOS BACNET MS/TP JC]*INDEX(TablaSeleccionSupervisores[],ROW(TablaSeleccionSupervisores[[#This Row],[ORDEN]])-1,_xlfn.XMATCH(TablaSupervisores[REFERENCIA],TablaSeleccionSupervisores[#Headers])))</f>
        <v>612</v>
      </c>
      <c r="Y383" cm="1">
        <f t="array" ref="Y383">SUM(TablaSupervisores[DISPOSITIVOS BACNET MS/TP COMPATIBLES]*INDEX(TablaSeleccionSupervisores[],ROW(TablaSeleccionSupervisores[[#This Row],[ORDEN]])-1,_xlfn.XMATCH(TablaSupervisores[REFERENCIA],TablaSeleccionSupervisores[#Headers])))</f>
        <v>396</v>
      </c>
      <c r="Z383" cm="1">
        <f t="array" ref="Z383">SUM(TablaSupervisores[DISPOSITIVOS BACNET IP]*INDEX(TablaSeleccionSupervisores[],ROW(TablaSeleccionSupervisores[[#This Row],[ORDEN]])-1,_xlfn.XMATCH(TablaSupervisores[REFERENCIA],TablaSeleccionSupervisores[#Headers])))</f>
        <v>1230</v>
      </c>
      <c r="AA383" cm="1">
        <f t="array" ref="AA383">SUM(TablaSupervisores[OBJETOS]*INDEX(TablaSeleccionSupervisores[],ROW(TablaSeleccionSupervisores[[#This Row],[ORDEN]])-1,_xlfn.XMATCH(TablaSupervisores[REFERENCIA],TablaSeleccionSupervisores[#Headers])))</f>
        <v>22500</v>
      </c>
      <c r="AB383" s="28" cm="1">
        <f t="array" ref="AB383">SUM(TablaSupervisores[COSTE]*INDEX(TablaSeleccionSupervisores[],ROW(TablaSeleccionSupervisores[[#This Row],[ORDEN]])-1,_xlfn.XMATCH(TablaSupervisores[REFERENCIA],TablaSeleccionSupervisores[#Headers])))</f>
        <v>21555.77</v>
      </c>
      <c r="AC383" cm="1">
        <f t="array" ref="AC383">SUM(INDEX(TablaSeleccionSupervisores[],ROW(TablaSeleccionSupervisores[[#This Row],[ORDEN]])-1,_xlfn.XMATCH(TablaSupervisores[REFERENCIA],TablaSeleccionSupervisores[#Headers])))</f>
        <v>7</v>
      </c>
      <c r="AD383" t="str" cm="1">
        <f t="array" ref="AD383">IF(INDEX(TablaSeleccionSupervisores[],ROW(TablaSeleccionSupervisores[[#This Row],[ORDEN]])-1,_xlfn.XMATCH("ADMITIDO ADSLITE",TablaSeleccionSupervisores[#Headers])+1)=0,"Sí admitido","No admitido")</f>
        <v>No admitido</v>
      </c>
      <c r="AE383">
        <v>2</v>
      </c>
      <c r="AF383">
        <v>2</v>
      </c>
      <c r="AG383">
        <v>0</v>
      </c>
      <c r="AH383">
        <v>3</v>
      </c>
    </row>
    <row r="384" spans="22:34" x14ac:dyDescent="0.25">
      <c r="V384">
        <v>383</v>
      </c>
      <c r="W384" cm="1">
        <f t="array" ref="W384">SUM(TablaSupervisores[DISPOSITIVOS TOTAL]*INDEX(TablaSeleccionSupervisores[],ROW(TablaSeleccionSupervisores[[#This Row],[ORDEN]])-1,_xlfn.XMATCH(TablaSupervisores[REFERENCIA],TablaSeleccionSupervisores[#Headers])))</f>
        <v>2112</v>
      </c>
      <c r="X384" cm="1">
        <f t="array" ref="X384">SUM(TablaSupervisores[DISPOSITIVOS BACNET MS/TP JC]*INDEX(TablaSeleccionSupervisores[],ROW(TablaSeleccionSupervisores[[#This Row],[ORDEN]])-1,_xlfn.XMATCH(TablaSupervisores[REFERENCIA],TablaSeleccionSupervisores[#Headers])))</f>
        <v>812</v>
      </c>
      <c r="Y384" cm="1">
        <f t="array" ref="Y384">SUM(TablaSupervisores[DISPOSITIVOS BACNET MS/TP COMPATIBLES]*INDEX(TablaSeleccionSupervisores[],ROW(TablaSeleccionSupervisores[[#This Row],[ORDEN]])-1,_xlfn.XMATCH(TablaSupervisores[REFERENCIA],TablaSeleccionSupervisores[#Headers])))</f>
        <v>524</v>
      </c>
      <c r="Z384" cm="1">
        <f t="array" ref="Z384">SUM(TablaSupervisores[DISPOSITIVOS BACNET IP]*INDEX(TablaSeleccionSupervisores[],ROW(TablaSeleccionSupervisores[[#This Row],[ORDEN]])-1,_xlfn.XMATCH(TablaSupervisores[REFERENCIA],TablaSeleccionSupervisores[#Headers])))</f>
        <v>1630</v>
      </c>
      <c r="AA384" cm="1">
        <f t="array" ref="AA384">SUM(TablaSupervisores[OBJETOS]*INDEX(TablaSeleccionSupervisores[],ROW(TablaSeleccionSupervisores[[#This Row],[ORDEN]])-1,_xlfn.XMATCH(TablaSupervisores[REFERENCIA],TablaSeleccionSupervisores[#Headers])))</f>
        <v>27500</v>
      </c>
      <c r="AB384" s="28" cm="1">
        <f t="array" ref="AB384">SUM(TablaSupervisores[COSTE]*INDEX(TablaSeleccionSupervisores[],ROW(TablaSeleccionSupervisores[[#This Row],[ORDEN]])-1,_xlfn.XMATCH(TablaSupervisores[REFERENCIA],TablaSeleccionSupervisores[#Headers])))</f>
        <v>27222.399999999998</v>
      </c>
      <c r="AC384" cm="1">
        <f t="array" ref="AC384">SUM(INDEX(TablaSeleccionSupervisores[],ROW(TablaSeleccionSupervisores[[#This Row],[ORDEN]])-1,_xlfn.XMATCH(TablaSupervisores[REFERENCIA],TablaSeleccionSupervisores[#Headers])))</f>
        <v>8</v>
      </c>
      <c r="AD384" t="str" cm="1">
        <f t="array" ref="AD384">IF(INDEX(TablaSeleccionSupervisores[],ROW(TablaSeleccionSupervisores[[#This Row],[ORDEN]])-1,_xlfn.XMATCH("ADMITIDO ADSLITE",TablaSeleccionSupervisores[#Headers])+1)=0,"Sí admitido","No admitido")</f>
        <v>No admitido</v>
      </c>
      <c r="AE384">
        <v>3</v>
      </c>
      <c r="AF384">
        <v>2</v>
      </c>
      <c r="AG384">
        <v>0</v>
      </c>
      <c r="AH384">
        <v>3</v>
      </c>
    </row>
    <row r="385" spans="22:34" x14ac:dyDescent="0.25">
      <c r="V385">
        <v>384</v>
      </c>
      <c r="W385" cm="1">
        <f t="array" ref="W385">SUM(TablaSupervisores[DISPOSITIVOS TOTAL]*INDEX(TablaSeleccionSupervisores[],ROW(TablaSeleccionSupervisores[[#This Row],[ORDEN]])-1,_xlfn.XMATCH(TablaSupervisores[REFERENCIA],TablaSeleccionSupervisores[#Headers])))</f>
        <v>462</v>
      </c>
      <c r="X385" cm="1">
        <f t="array" ref="X385">SUM(TablaSupervisores[DISPOSITIVOS BACNET MS/TP JC]*INDEX(TablaSeleccionSupervisores[],ROW(TablaSeleccionSupervisores[[#This Row],[ORDEN]])-1,_xlfn.XMATCH(TablaSupervisores[REFERENCIA],TablaSeleccionSupervisores[#Headers])))</f>
        <v>312</v>
      </c>
      <c r="Y385" cm="1">
        <f t="array" ref="Y385">SUM(TablaSupervisores[DISPOSITIVOS BACNET MS/TP COMPATIBLES]*INDEX(TablaSeleccionSupervisores[],ROW(TablaSeleccionSupervisores[[#This Row],[ORDEN]])-1,_xlfn.XMATCH(TablaSupervisores[REFERENCIA],TablaSeleccionSupervisores[#Headers])))</f>
        <v>204</v>
      </c>
      <c r="Z385" cm="1">
        <f t="array" ref="Z385">SUM(TablaSupervisores[DISPOSITIVOS BACNET IP]*INDEX(TablaSeleccionSupervisores[],ROW(TablaSeleccionSupervisores[[#This Row],[ORDEN]])-1,_xlfn.XMATCH(TablaSupervisores[REFERENCIA],TablaSeleccionSupervisores[#Headers])))</f>
        <v>630</v>
      </c>
      <c r="AA385" cm="1">
        <f t="array" ref="AA385">SUM(TablaSupervisores[OBJETOS]*INDEX(TablaSeleccionSupervisores[],ROW(TablaSeleccionSupervisores[[#This Row],[ORDEN]])-1,_xlfn.XMATCH(TablaSupervisores[REFERENCIA],TablaSeleccionSupervisores[#Headers])))</f>
        <v>15000</v>
      </c>
      <c r="AB385" s="28" cm="1">
        <f t="array" ref="AB385">SUM(TablaSupervisores[COSTE]*INDEX(TablaSeleccionSupervisores[],ROW(TablaSeleccionSupervisores[[#This Row],[ORDEN]])-1,_xlfn.XMATCH(TablaSupervisores[REFERENCIA],TablaSeleccionSupervisores[#Headers])))</f>
        <v>14211.240000000002</v>
      </c>
      <c r="AC385" cm="1">
        <f t="array" ref="AC385">SUM(INDEX(TablaSeleccionSupervisores[],ROW(TablaSeleccionSupervisores[[#This Row],[ORDEN]])-1,_xlfn.XMATCH(TablaSupervisores[REFERENCIA],TablaSeleccionSupervisores[#Headers])))</f>
        <v>6</v>
      </c>
      <c r="AD385" t="str" cm="1">
        <f t="array" ref="AD385">IF(INDEX(TablaSeleccionSupervisores[],ROW(TablaSeleccionSupervisores[[#This Row],[ORDEN]])-1,_xlfn.XMATCH("ADMITIDO ADSLITE",TablaSeleccionSupervisores[#Headers])+1)=0,"Sí admitido","No admitido")</f>
        <v>Sí admitido</v>
      </c>
      <c r="AE385">
        <v>0</v>
      </c>
      <c r="AF385">
        <v>3</v>
      </c>
      <c r="AG385">
        <v>0</v>
      </c>
      <c r="AH385">
        <v>3</v>
      </c>
    </row>
    <row r="386" spans="22:34" x14ac:dyDescent="0.25">
      <c r="V386">
        <v>385</v>
      </c>
      <c r="W386" cm="1">
        <f t="array" ref="W386">SUM(TablaSupervisores[DISPOSITIVOS TOTAL]*INDEX(TablaSeleccionSupervisores[],ROW(TablaSeleccionSupervisores[[#This Row],[ORDEN]])-1,_xlfn.XMATCH(TablaSupervisores[REFERENCIA],TablaSeleccionSupervisores[#Headers])))</f>
        <v>1062</v>
      </c>
      <c r="X386" cm="1">
        <f t="array" ref="X386">SUM(TablaSupervisores[DISPOSITIVOS BACNET MS/TP JC]*INDEX(TablaSeleccionSupervisores[],ROW(TablaSeleccionSupervisores[[#This Row],[ORDEN]])-1,_xlfn.XMATCH(TablaSupervisores[REFERENCIA],TablaSeleccionSupervisores[#Headers])))</f>
        <v>512</v>
      </c>
      <c r="Y386" cm="1">
        <f t="array" ref="Y386">SUM(TablaSupervisores[DISPOSITIVOS BACNET MS/TP COMPATIBLES]*INDEX(TablaSeleccionSupervisores[],ROW(TablaSeleccionSupervisores[[#This Row],[ORDEN]])-1,_xlfn.XMATCH(TablaSupervisores[REFERENCIA],TablaSeleccionSupervisores[#Headers])))</f>
        <v>332</v>
      </c>
      <c r="Z386" cm="1">
        <f t="array" ref="Z386">SUM(TablaSupervisores[DISPOSITIVOS BACNET IP]*INDEX(TablaSeleccionSupervisores[],ROW(TablaSeleccionSupervisores[[#This Row],[ORDEN]])-1,_xlfn.XMATCH(TablaSupervisores[REFERENCIA],TablaSeleccionSupervisores[#Headers])))</f>
        <v>1030</v>
      </c>
      <c r="AA386" cm="1">
        <f t="array" ref="AA386">SUM(TablaSupervisores[OBJETOS]*INDEX(TablaSeleccionSupervisores[],ROW(TablaSeleccionSupervisores[[#This Row],[ORDEN]])-1,_xlfn.XMATCH(TablaSupervisores[REFERENCIA],TablaSeleccionSupervisores[#Headers])))</f>
        <v>20000</v>
      </c>
      <c r="AB386" s="28" cm="1">
        <f t="array" ref="AB386">SUM(TablaSupervisores[COSTE]*INDEX(TablaSeleccionSupervisores[],ROW(TablaSeleccionSupervisores[[#This Row],[ORDEN]])-1,_xlfn.XMATCH(TablaSupervisores[REFERENCIA],TablaSeleccionSupervisores[#Headers])))</f>
        <v>19877.87</v>
      </c>
      <c r="AC386" cm="1">
        <f t="array" ref="AC386">SUM(INDEX(TablaSeleccionSupervisores[],ROW(TablaSeleccionSupervisores[[#This Row],[ORDEN]])-1,_xlfn.XMATCH(TablaSupervisores[REFERENCIA],TablaSeleccionSupervisores[#Headers])))</f>
        <v>7</v>
      </c>
      <c r="AD386" t="str" cm="1">
        <f t="array" ref="AD386">IF(INDEX(TablaSeleccionSupervisores[],ROW(TablaSeleccionSupervisores[[#This Row],[ORDEN]])-1,_xlfn.XMATCH("ADMITIDO ADSLITE",TablaSeleccionSupervisores[#Headers])+1)=0,"Sí admitido","No admitido")</f>
        <v>No admitido</v>
      </c>
      <c r="AE386">
        <v>1</v>
      </c>
      <c r="AF386">
        <v>3</v>
      </c>
      <c r="AG386">
        <v>0</v>
      </c>
      <c r="AH386">
        <v>3</v>
      </c>
    </row>
    <row r="387" spans="22:34" x14ac:dyDescent="0.25">
      <c r="V387">
        <v>386</v>
      </c>
      <c r="W387" cm="1">
        <f t="array" ref="W387">SUM(TablaSupervisores[DISPOSITIVOS TOTAL]*INDEX(TablaSeleccionSupervisores[],ROW(TablaSeleccionSupervisores[[#This Row],[ORDEN]])-1,_xlfn.XMATCH(TablaSupervisores[REFERENCIA],TablaSeleccionSupervisores[#Headers])))</f>
        <v>1662</v>
      </c>
      <c r="X387" cm="1">
        <f t="array" ref="X387">SUM(TablaSupervisores[DISPOSITIVOS BACNET MS/TP JC]*INDEX(TablaSeleccionSupervisores[],ROW(TablaSeleccionSupervisores[[#This Row],[ORDEN]])-1,_xlfn.XMATCH(TablaSupervisores[REFERENCIA],TablaSeleccionSupervisores[#Headers])))</f>
        <v>712</v>
      </c>
      <c r="Y387" cm="1">
        <f t="array" ref="Y387">SUM(TablaSupervisores[DISPOSITIVOS BACNET MS/TP COMPATIBLES]*INDEX(TablaSeleccionSupervisores[],ROW(TablaSeleccionSupervisores[[#This Row],[ORDEN]])-1,_xlfn.XMATCH(TablaSupervisores[REFERENCIA],TablaSeleccionSupervisores[#Headers])))</f>
        <v>460</v>
      </c>
      <c r="Z387" cm="1">
        <f t="array" ref="Z387">SUM(TablaSupervisores[DISPOSITIVOS BACNET IP]*INDEX(TablaSeleccionSupervisores[],ROW(TablaSeleccionSupervisores[[#This Row],[ORDEN]])-1,_xlfn.XMATCH(TablaSupervisores[REFERENCIA],TablaSeleccionSupervisores[#Headers])))</f>
        <v>1430</v>
      </c>
      <c r="AA387" cm="1">
        <f t="array" ref="AA387">SUM(TablaSupervisores[OBJETOS]*INDEX(TablaSeleccionSupervisores[],ROW(TablaSeleccionSupervisores[[#This Row],[ORDEN]])-1,_xlfn.XMATCH(TablaSupervisores[REFERENCIA],TablaSeleccionSupervisores[#Headers])))</f>
        <v>25000</v>
      </c>
      <c r="AB387" s="28" cm="1">
        <f t="array" ref="AB387">SUM(TablaSupervisores[COSTE]*INDEX(TablaSeleccionSupervisores[],ROW(TablaSeleccionSupervisores[[#This Row],[ORDEN]])-1,_xlfn.XMATCH(TablaSupervisores[REFERENCIA],TablaSeleccionSupervisores[#Headers])))</f>
        <v>25544.5</v>
      </c>
      <c r="AC387" cm="1">
        <f t="array" ref="AC387">SUM(INDEX(TablaSeleccionSupervisores[],ROW(TablaSeleccionSupervisores[[#This Row],[ORDEN]])-1,_xlfn.XMATCH(TablaSupervisores[REFERENCIA],TablaSeleccionSupervisores[#Headers])))</f>
        <v>8</v>
      </c>
      <c r="AD387" t="str" cm="1">
        <f t="array" ref="AD387">IF(INDEX(TablaSeleccionSupervisores[],ROW(TablaSeleccionSupervisores[[#This Row],[ORDEN]])-1,_xlfn.XMATCH("ADMITIDO ADSLITE",TablaSeleccionSupervisores[#Headers])+1)=0,"Sí admitido","No admitido")</f>
        <v>No admitido</v>
      </c>
      <c r="AE387">
        <v>2</v>
      </c>
      <c r="AF387">
        <v>3</v>
      </c>
      <c r="AG387">
        <v>0</v>
      </c>
      <c r="AH387">
        <v>3</v>
      </c>
    </row>
    <row r="388" spans="22:34" x14ac:dyDescent="0.25">
      <c r="V388">
        <v>387</v>
      </c>
      <c r="W388" cm="1">
        <f t="array" ref="W388">SUM(TablaSupervisores[DISPOSITIVOS TOTAL]*INDEX(TablaSeleccionSupervisores[],ROW(TablaSeleccionSupervisores[[#This Row],[ORDEN]])-1,_xlfn.XMATCH(TablaSupervisores[REFERENCIA],TablaSeleccionSupervisores[#Headers])))</f>
        <v>612</v>
      </c>
      <c r="X388" cm="1">
        <f t="array" ref="X388">SUM(TablaSupervisores[DISPOSITIVOS BACNET MS/TP JC]*INDEX(TablaSeleccionSupervisores[],ROW(TablaSeleccionSupervisores[[#This Row],[ORDEN]])-1,_xlfn.XMATCH(TablaSupervisores[REFERENCIA],TablaSeleccionSupervisores[#Headers])))</f>
        <v>412</v>
      </c>
      <c r="Y388" cm="1">
        <f t="array" ref="Y388">SUM(TablaSupervisores[DISPOSITIVOS BACNET MS/TP COMPATIBLES]*INDEX(TablaSeleccionSupervisores[],ROW(TablaSeleccionSupervisores[[#This Row],[ORDEN]])-1,_xlfn.XMATCH(TablaSupervisores[REFERENCIA],TablaSeleccionSupervisores[#Headers])))</f>
        <v>268</v>
      </c>
      <c r="Z388" cm="1">
        <f t="array" ref="Z388">SUM(TablaSupervisores[DISPOSITIVOS BACNET IP]*INDEX(TablaSeleccionSupervisores[],ROW(TablaSeleccionSupervisores[[#This Row],[ORDEN]])-1,_xlfn.XMATCH(TablaSupervisores[REFERENCIA],TablaSeleccionSupervisores[#Headers])))</f>
        <v>830</v>
      </c>
      <c r="AA388" cm="1">
        <f t="array" ref="AA388">SUM(TablaSupervisores[OBJETOS]*INDEX(TablaSeleccionSupervisores[],ROW(TablaSeleccionSupervisores[[#This Row],[ORDEN]])-1,_xlfn.XMATCH(TablaSupervisores[REFERENCIA],TablaSeleccionSupervisores[#Headers])))</f>
        <v>17500</v>
      </c>
      <c r="AB388" s="28" cm="1">
        <f t="array" ref="AB388">SUM(TablaSupervisores[COSTE]*INDEX(TablaSeleccionSupervisores[],ROW(TablaSeleccionSupervisores[[#This Row],[ORDEN]])-1,_xlfn.XMATCH(TablaSupervisores[REFERENCIA],TablaSeleccionSupervisores[#Headers])))</f>
        <v>18199.97</v>
      </c>
      <c r="AC388" cm="1">
        <f t="array" ref="AC388">SUM(INDEX(TablaSeleccionSupervisores[],ROW(TablaSeleccionSupervisores[[#This Row],[ORDEN]])-1,_xlfn.XMATCH(TablaSupervisores[REFERENCIA],TablaSeleccionSupervisores[#Headers])))</f>
        <v>7</v>
      </c>
      <c r="AD388" t="str" cm="1">
        <f t="array" ref="AD388">IF(INDEX(TablaSeleccionSupervisores[],ROW(TablaSeleccionSupervisores[[#This Row],[ORDEN]])-1,_xlfn.XMATCH("ADMITIDO ADSLITE",TablaSeleccionSupervisores[#Headers])+1)=0,"Sí admitido","No admitido")</f>
        <v>Sí admitido</v>
      </c>
      <c r="AE388">
        <v>0</v>
      </c>
      <c r="AF388">
        <v>4</v>
      </c>
      <c r="AG388">
        <v>0</v>
      </c>
      <c r="AH388">
        <v>3</v>
      </c>
    </row>
    <row r="389" spans="22:34" x14ac:dyDescent="0.25">
      <c r="V389">
        <v>388</v>
      </c>
      <c r="W389" cm="1">
        <f t="array" ref="W389">SUM(TablaSupervisores[DISPOSITIVOS TOTAL]*INDEX(TablaSeleccionSupervisores[],ROW(TablaSeleccionSupervisores[[#This Row],[ORDEN]])-1,_xlfn.XMATCH(TablaSupervisores[REFERENCIA],TablaSeleccionSupervisores[#Headers])))</f>
        <v>1212</v>
      </c>
      <c r="X389" cm="1">
        <f t="array" ref="X389">SUM(TablaSupervisores[DISPOSITIVOS BACNET MS/TP JC]*INDEX(TablaSeleccionSupervisores[],ROW(TablaSeleccionSupervisores[[#This Row],[ORDEN]])-1,_xlfn.XMATCH(TablaSupervisores[REFERENCIA],TablaSeleccionSupervisores[#Headers])))</f>
        <v>612</v>
      </c>
      <c r="Y389" cm="1">
        <f t="array" ref="Y389">SUM(TablaSupervisores[DISPOSITIVOS BACNET MS/TP COMPATIBLES]*INDEX(TablaSeleccionSupervisores[],ROW(TablaSeleccionSupervisores[[#This Row],[ORDEN]])-1,_xlfn.XMATCH(TablaSupervisores[REFERENCIA],TablaSeleccionSupervisores[#Headers])))</f>
        <v>396</v>
      </c>
      <c r="Z389" cm="1">
        <f t="array" ref="Z389">SUM(TablaSupervisores[DISPOSITIVOS BACNET IP]*INDEX(TablaSeleccionSupervisores[],ROW(TablaSeleccionSupervisores[[#This Row],[ORDEN]])-1,_xlfn.XMATCH(TablaSupervisores[REFERENCIA],TablaSeleccionSupervisores[#Headers])))</f>
        <v>1230</v>
      </c>
      <c r="AA389" cm="1">
        <f t="array" ref="AA389">SUM(TablaSupervisores[OBJETOS]*INDEX(TablaSeleccionSupervisores[],ROW(TablaSeleccionSupervisores[[#This Row],[ORDEN]])-1,_xlfn.XMATCH(TablaSupervisores[REFERENCIA],TablaSeleccionSupervisores[#Headers])))</f>
        <v>22500</v>
      </c>
      <c r="AB389" s="28" cm="1">
        <f t="array" ref="AB389">SUM(TablaSupervisores[COSTE]*INDEX(TablaSeleccionSupervisores[],ROW(TablaSeleccionSupervisores[[#This Row],[ORDEN]])-1,_xlfn.XMATCH(TablaSupervisores[REFERENCIA],TablaSeleccionSupervisores[#Headers])))</f>
        <v>23866.6</v>
      </c>
      <c r="AC389" cm="1">
        <f t="array" ref="AC389">SUM(INDEX(TablaSeleccionSupervisores[],ROW(TablaSeleccionSupervisores[[#This Row],[ORDEN]])-1,_xlfn.XMATCH(TablaSupervisores[REFERENCIA],TablaSeleccionSupervisores[#Headers])))</f>
        <v>8</v>
      </c>
      <c r="AD389" t="str" cm="1">
        <f t="array" ref="AD389">IF(INDEX(TablaSeleccionSupervisores[],ROW(TablaSeleccionSupervisores[[#This Row],[ORDEN]])-1,_xlfn.XMATCH("ADMITIDO ADSLITE",TablaSeleccionSupervisores[#Headers])+1)=0,"Sí admitido","No admitido")</f>
        <v>No admitido</v>
      </c>
      <c r="AE389">
        <v>1</v>
      </c>
      <c r="AF389">
        <v>4</v>
      </c>
      <c r="AG389">
        <v>0</v>
      </c>
      <c r="AH389">
        <v>3</v>
      </c>
    </row>
    <row r="390" spans="22:34" x14ac:dyDescent="0.25">
      <c r="V390">
        <v>389</v>
      </c>
      <c r="W390" cm="1">
        <f t="array" ref="W390">SUM(TablaSupervisores[DISPOSITIVOS TOTAL]*INDEX(TablaSeleccionSupervisores[],ROW(TablaSeleccionSupervisores[[#This Row],[ORDEN]])-1,_xlfn.XMATCH(TablaSupervisores[REFERENCIA],TablaSeleccionSupervisores[#Headers])))</f>
        <v>762</v>
      </c>
      <c r="X390" cm="1">
        <f t="array" ref="X390">SUM(TablaSupervisores[DISPOSITIVOS BACNET MS/TP JC]*INDEX(TablaSeleccionSupervisores[],ROW(TablaSeleccionSupervisores[[#This Row],[ORDEN]])-1,_xlfn.XMATCH(TablaSupervisores[REFERENCIA],TablaSeleccionSupervisores[#Headers])))</f>
        <v>512</v>
      </c>
      <c r="Y390" cm="1">
        <f t="array" ref="Y390">SUM(TablaSupervisores[DISPOSITIVOS BACNET MS/TP COMPATIBLES]*INDEX(TablaSeleccionSupervisores[],ROW(TablaSeleccionSupervisores[[#This Row],[ORDEN]])-1,_xlfn.XMATCH(TablaSupervisores[REFERENCIA],TablaSeleccionSupervisores[#Headers])))</f>
        <v>332</v>
      </c>
      <c r="Z390" cm="1">
        <f t="array" ref="Z390">SUM(TablaSupervisores[DISPOSITIVOS BACNET IP]*INDEX(TablaSeleccionSupervisores[],ROW(TablaSeleccionSupervisores[[#This Row],[ORDEN]])-1,_xlfn.XMATCH(TablaSupervisores[REFERENCIA],TablaSeleccionSupervisores[#Headers])))</f>
        <v>1030</v>
      </c>
      <c r="AA390" cm="1">
        <f t="array" ref="AA390">SUM(TablaSupervisores[OBJETOS]*INDEX(TablaSeleccionSupervisores[],ROW(TablaSeleccionSupervisores[[#This Row],[ORDEN]])-1,_xlfn.XMATCH(TablaSupervisores[REFERENCIA],TablaSeleccionSupervisores[#Headers])))</f>
        <v>20000</v>
      </c>
      <c r="AB390" s="28" cm="1">
        <f t="array" ref="AB390">SUM(TablaSupervisores[COSTE]*INDEX(TablaSeleccionSupervisores[],ROW(TablaSeleccionSupervisores[[#This Row],[ORDEN]])-1,_xlfn.XMATCH(TablaSupervisores[REFERENCIA],TablaSeleccionSupervisores[#Headers])))</f>
        <v>22188.7</v>
      </c>
      <c r="AC390" cm="1">
        <f t="array" ref="AC390">SUM(INDEX(TablaSeleccionSupervisores[],ROW(TablaSeleccionSupervisores[[#This Row],[ORDEN]])-1,_xlfn.XMATCH(TablaSupervisores[REFERENCIA],TablaSeleccionSupervisores[#Headers])))</f>
        <v>8</v>
      </c>
      <c r="AD390" t="str" cm="1">
        <f t="array" ref="AD390">IF(INDEX(TablaSeleccionSupervisores[],ROW(TablaSeleccionSupervisores[[#This Row],[ORDEN]])-1,_xlfn.XMATCH("ADMITIDO ADSLITE",TablaSeleccionSupervisores[#Headers])+1)=0,"Sí admitido","No admitido")</f>
        <v>Sí admitido</v>
      </c>
      <c r="AE390">
        <v>0</v>
      </c>
      <c r="AF390">
        <v>5</v>
      </c>
      <c r="AG390">
        <v>0</v>
      </c>
      <c r="AH390">
        <v>3</v>
      </c>
    </row>
    <row r="391" spans="22:34" x14ac:dyDescent="0.25">
      <c r="V391">
        <v>390</v>
      </c>
      <c r="W391" cm="1">
        <f t="array" ref="W391">SUM(TablaSupervisores[DISPOSITIVOS TOTAL]*INDEX(TablaSeleccionSupervisores[],ROW(TablaSeleccionSupervisores[[#This Row],[ORDEN]])-1,_xlfn.XMATCH(TablaSupervisores[REFERENCIA],TablaSeleccionSupervisores[#Headers])))</f>
        <v>72</v>
      </c>
      <c r="X391" cm="1">
        <f t="array" ref="X391">SUM(TablaSupervisores[DISPOSITIVOS BACNET MS/TP JC]*INDEX(TablaSeleccionSupervisores[],ROW(TablaSeleccionSupervisores[[#This Row],[ORDEN]])-1,_xlfn.XMATCH(TablaSupervisores[REFERENCIA],TablaSeleccionSupervisores[#Headers])))</f>
        <v>62</v>
      </c>
      <c r="Y391" cm="1">
        <f t="array" ref="Y391">SUM(TablaSupervisores[DISPOSITIVOS BACNET MS/TP COMPATIBLES]*INDEX(TablaSeleccionSupervisores[],ROW(TablaSeleccionSupervisores[[#This Row],[ORDEN]])-1,_xlfn.XMATCH(TablaSupervisores[REFERENCIA],TablaSeleccionSupervisores[#Headers])))</f>
        <v>44</v>
      </c>
      <c r="Z391" cm="1">
        <f t="array" ref="Z391">SUM(TablaSupervisores[DISPOSITIVOS BACNET IP]*INDEX(TablaSeleccionSupervisores[],ROW(TablaSeleccionSupervisores[[#This Row],[ORDEN]])-1,_xlfn.XMATCH(TablaSupervisores[REFERENCIA],TablaSeleccionSupervisores[#Headers])))</f>
        <v>130</v>
      </c>
      <c r="AA391" cm="1">
        <f t="array" ref="AA391">SUM(TablaSupervisores[OBJETOS]*INDEX(TablaSeleccionSupervisores[],ROW(TablaSeleccionSupervisores[[#This Row],[ORDEN]])-1,_xlfn.XMATCH(TablaSupervisores[REFERENCIA],TablaSeleccionSupervisores[#Headers])))</f>
        <v>10000</v>
      </c>
      <c r="AB391" s="28" cm="1">
        <f t="array" ref="AB391">SUM(TablaSupervisores[COSTE]*INDEX(TablaSeleccionSupervisores[],ROW(TablaSeleccionSupervisores[[#This Row],[ORDEN]])-1,_xlfn.XMATCH(TablaSupervisores[REFERENCIA],TablaSeleccionSupervisores[#Headers])))</f>
        <v>3668.53</v>
      </c>
      <c r="AC391" cm="1">
        <f t="array" ref="AC391">SUM(INDEX(TablaSeleccionSupervisores[],ROW(TablaSeleccionSupervisores[[#This Row],[ORDEN]])-1,_xlfn.XMATCH(TablaSupervisores[REFERENCIA],TablaSeleccionSupervisores[#Headers])))</f>
        <v>4</v>
      </c>
      <c r="AD391" t="str" cm="1">
        <f t="array" ref="AD391">IF(INDEX(TablaSeleccionSupervisores[],ROW(TablaSeleccionSupervisores[[#This Row],[ORDEN]])-1,_xlfn.XMATCH("ADMITIDO ADSLITE",TablaSeleccionSupervisores[#Headers])+1)=0,"Sí admitido","No admitido")</f>
        <v>Sí admitido</v>
      </c>
      <c r="AE391">
        <v>0</v>
      </c>
      <c r="AF391">
        <v>0</v>
      </c>
      <c r="AG391">
        <v>1</v>
      </c>
      <c r="AH391">
        <v>3</v>
      </c>
    </row>
    <row r="392" spans="22:34" x14ac:dyDescent="0.25">
      <c r="V392">
        <v>391</v>
      </c>
      <c r="W392" cm="1">
        <f t="array" ref="W392">SUM(TablaSupervisores[DISPOSITIVOS TOTAL]*INDEX(TablaSeleccionSupervisores[],ROW(TablaSeleccionSupervisores[[#This Row],[ORDEN]])-1,_xlfn.XMATCH(TablaSupervisores[REFERENCIA],TablaSeleccionSupervisores[#Headers])))</f>
        <v>672</v>
      </c>
      <c r="X392" cm="1">
        <f t="array" ref="X392">SUM(TablaSupervisores[DISPOSITIVOS BACNET MS/TP JC]*INDEX(TablaSeleccionSupervisores[],ROW(TablaSeleccionSupervisores[[#This Row],[ORDEN]])-1,_xlfn.XMATCH(TablaSupervisores[REFERENCIA],TablaSeleccionSupervisores[#Headers])))</f>
        <v>262</v>
      </c>
      <c r="Y392" cm="1">
        <f t="array" ref="Y392">SUM(TablaSupervisores[DISPOSITIVOS BACNET MS/TP COMPATIBLES]*INDEX(TablaSeleccionSupervisores[],ROW(TablaSeleccionSupervisores[[#This Row],[ORDEN]])-1,_xlfn.XMATCH(TablaSupervisores[REFERENCIA],TablaSeleccionSupervisores[#Headers])))</f>
        <v>172</v>
      </c>
      <c r="Z392" cm="1">
        <f t="array" ref="Z392">SUM(TablaSupervisores[DISPOSITIVOS BACNET IP]*INDEX(TablaSeleccionSupervisores[],ROW(TablaSeleccionSupervisores[[#This Row],[ORDEN]])-1,_xlfn.XMATCH(TablaSupervisores[REFERENCIA],TablaSeleccionSupervisores[#Headers])))</f>
        <v>530</v>
      </c>
      <c r="AA392" cm="1">
        <f t="array" ref="AA392">SUM(TablaSupervisores[OBJETOS]*INDEX(TablaSeleccionSupervisores[],ROW(TablaSeleccionSupervisores[[#This Row],[ORDEN]])-1,_xlfn.XMATCH(TablaSupervisores[REFERENCIA],TablaSeleccionSupervisores[#Headers])))</f>
        <v>15000</v>
      </c>
      <c r="AB392" s="28" cm="1">
        <f t="array" ref="AB392">SUM(TablaSupervisores[COSTE]*INDEX(TablaSeleccionSupervisores[],ROW(TablaSeleccionSupervisores[[#This Row],[ORDEN]])-1,_xlfn.XMATCH(TablaSupervisores[REFERENCIA],TablaSeleccionSupervisores[#Headers])))</f>
        <v>9335.16</v>
      </c>
      <c r="AC392" cm="1">
        <f t="array" ref="AC392">SUM(INDEX(TablaSeleccionSupervisores[],ROW(TablaSeleccionSupervisores[[#This Row],[ORDEN]])-1,_xlfn.XMATCH(TablaSupervisores[REFERENCIA],TablaSeleccionSupervisores[#Headers])))</f>
        <v>5</v>
      </c>
      <c r="AD392" t="str" cm="1">
        <f t="array" ref="AD392">IF(INDEX(TablaSeleccionSupervisores[],ROW(TablaSeleccionSupervisores[[#This Row],[ORDEN]])-1,_xlfn.XMATCH("ADMITIDO ADSLITE",TablaSeleccionSupervisores[#Headers])+1)=0,"Sí admitido","No admitido")</f>
        <v>No admitido</v>
      </c>
      <c r="AE392">
        <v>1</v>
      </c>
      <c r="AF392">
        <v>0</v>
      </c>
      <c r="AG392">
        <v>1</v>
      </c>
      <c r="AH392">
        <v>3</v>
      </c>
    </row>
    <row r="393" spans="22:34" x14ac:dyDescent="0.25">
      <c r="V393">
        <v>392</v>
      </c>
      <c r="W393" cm="1">
        <f t="array" ref="W393">SUM(TablaSupervisores[DISPOSITIVOS TOTAL]*INDEX(TablaSeleccionSupervisores[],ROW(TablaSeleccionSupervisores[[#This Row],[ORDEN]])-1,_xlfn.XMATCH(TablaSupervisores[REFERENCIA],TablaSeleccionSupervisores[#Headers])))</f>
        <v>1272</v>
      </c>
      <c r="X393" cm="1">
        <f t="array" ref="X393">SUM(TablaSupervisores[DISPOSITIVOS BACNET MS/TP JC]*INDEX(TablaSeleccionSupervisores[],ROW(TablaSeleccionSupervisores[[#This Row],[ORDEN]])-1,_xlfn.XMATCH(TablaSupervisores[REFERENCIA],TablaSeleccionSupervisores[#Headers])))</f>
        <v>462</v>
      </c>
      <c r="Y393" cm="1">
        <f t="array" ref="Y393">SUM(TablaSupervisores[DISPOSITIVOS BACNET MS/TP COMPATIBLES]*INDEX(TablaSeleccionSupervisores[],ROW(TablaSeleccionSupervisores[[#This Row],[ORDEN]])-1,_xlfn.XMATCH(TablaSupervisores[REFERENCIA],TablaSeleccionSupervisores[#Headers])))</f>
        <v>300</v>
      </c>
      <c r="Z393" cm="1">
        <f t="array" ref="Z393">SUM(TablaSupervisores[DISPOSITIVOS BACNET IP]*INDEX(TablaSeleccionSupervisores[],ROW(TablaSeleccionSupervisores[[#This Row],[ORDEN]])-1,_xlfn.XMATCH(TablaSupervisores[REFERENCIA],TablaSeleccionSupervisores[#Headers])))</f>
        <v>930</v>
      </c>
      <c r="AA393" cm="1">
        <f t="array" ref="AA393">SUM(TablaSupervisores[OBJETOS]*INDEX(TablaSeleccionSupervisores[],ROW(TablaSeleccionSupervisores[[#This Row],[ORDEN]])-1,_xlfn.XMATCH(TablaSupervisores[REFERENCIA],TablaSeleccionSupervisores[#Headers])))</f>
        <v>20000</v>
      </c>
      <c r="AB393" s="28" cm="1">
        <f t="array" ref="AB393">SUM(TablaSupervisores[COSTE]*INDEX(TablaSeleccionSupervisores[],ROW(TablaSeleccionSupervisores[[#This Row],[ORDEN]])-1,_xlfn.XMATCH(TablaSupervisores[REFERENCIA],TablaSeleccionSupervisores[#Headers])))</f>
        <v>15001.79</v>
      </c>
      <c r="AC393" cm="1">
        <f t="array" ref="AC393">SUM(INDEX(TablaSeleccionSupervisores[],ROW(TablaSeleccionSupervisores[[#This Row],[ORDEN]])-1,_xlfn.XMATCH(TablaSupervisores[REFERENCIA],TablaSeleccionSupervisores[#Headers])))</f>
        <v>6</v>
      </c>
      <c r="AD393" t="str" cm="1">
        <f t="array" ref="AD393">IF(INDEX(TablaSeleccionSupervisores[],ROW(TablaSeleccionSupervisores[[#This Row],[ORDEN]])-1,_xlfn.XMATCH("ADMITIDO ADSLITE",TablaSeleccionSupervisores[#Headers])+1)=0,"Sí admitido","No admitido")</f>
        <v>No admitido</v>
      </c>
      <c r="AE393">
        <v>2</v>
      </c>
      <c r="AF393">
        <v>0</v>
      </c>
      <c r="AG393">
        <v>1</v>
      </c>
      <c r="AH393">
        <v>3</v>
      </c>
    </row>
    <row r="394" spans="22:34" x14ac:dyDescent="0.25">
      <c r="V394">
        <v>393</v>
      </c>
      <c r="W394" cm="1">
        <f t="array" ref="W394">SUM(TablaSupervisores[DISPOSITIVOS TOTAL]*INDEX(TablaSeleccionSupervisores[],ROW(TablaSeleccionSupervisores[[#This Row],[ORDEN]])-1,_xlfn.XMATCH(TablaSupervisores[REFERENCIA],TablaSeleccionSupervisores[#Headers])))</f>
        <v>1872</v>
      </c>
      <c r="X394" cm="1">
        <f t="array" ref="X394">SUM(TablaSupervisores[DISPOSITIVOS BACNET MS/TP JC]*INDEX(TablaSeleccionSupervisores[],ROW(TablaSeleccionSupervisores[[#This Row],[ORDEN]])-1,_xlfn.XMATCH(TablaSupervisores[REFERENCIA],TablaSeleccionSupervisores[#Headers])))</f>
        <v>662</v>
      </c>
      <c r="Y394" cm="1">
        <f t="array" ref="Y394">SUM(TablaSupervisores[DISPOSITIVOS BACNET MS/TP COMPATIBLES]*INDEX(TablaSeleccionSupervisores[],ROW(TablaSeleccionSupervisores[[#This Row],[ORDEN]])-1,_xlfn.XMATCH(TablaSupervisores[REFERENCIA],TablaSeleccionSupervisores[#Headers])))</f>
        <v>428</v>
      </c>
      <c r="Z394" cm="1">
        <f t="array" ref="Z394">SUM(TablaSupervisores[DISPOSITIVOS BACNET IP]*INDEX(TablaSeleccionSupervisores[],ROW(TablaSeleccionSupervisores[[#This Row],[ORDEN]])-1,_xlfn.XMATCH(TablaSupervisores[REFERENCIA],TablaSeleccionSupervisores[#Headers])))</f>
        <v>1330</v>
      </c>
      <c r="AA394" cm="1">
        <f t="array" ref="AA394">SUM(TablaSupervisores[OBJETOS]*INDEX(TablaSeleccionSupervisores[],ROW(TablaSeleccionSupervisores[[#This Row],[ORDEN]])-1,_xlfn.XMATCH(TablaSupervisores[REFERENCIA],TablaSeleccionSupervisores[#Headers])))</f>
        <v>25000</v>
      </c>
      <c r="AB394" s="28" cm="1">
        <f t="array" ref="AB394">SUM(TablaSupervisores[COSTE]*INDEX(TablaSeleccionSupervisores[],ROW(TablaSeleccionSupervisores[[#This Row],[ORDEN]])-1,_xlfn.XMATCH(TablaSupervisores[REFERENCIA],TablaSeleccionSupervisores[#Headers])))</f>
        <v>20668.419999999998</v>
      </c>
      <c r="AC394" cm="1">
        <f t="array" ref="AC394">SUM(INDEX(TablaSeleccionSupervisores[],ROW(TablaSeleccionSupervisores[[#This Row],[ORDEN]])-1,_xlfn.XMATCH(TablaSupervisores[REFERENCIA],TablaSeleccionSupervisores[#Headers])))</f>
        <v>7</v>
      </c>
      <c r="AD394" t="str" cm="1">
        <f t="array" ref="AD394">IF(INDEX(TablaSeleccionSupervisores[],ROW(TablaSeleccionSupervisores[[#This Row],[ORDEN]])-1,_xlfn.XMATCH("ADMITIDO ADSLITE",TablaSeleccionSupervisores[#Headers])+1)=0,"Sí admitido","No admitido")</f>
        <v>No admitido</v>
      </c>
      <c r="AE394">
        <v>3</v>
      </c>
      <c r="AF394">
        <v>0</v>
      </c>
      <c r="AG394">
        <v>1</v>
      </c>
      <c r="AH394">
        <v>3</v>
      </c>
    </row>
    <row r="395" spans="22:34" x14ac:dyDescent="0.25">
      <c r="V395">
        <v>394</v>
      </c>
      <c r="W395" cm="1">
        <f t="array" ref="W395">SUM(TablaSupervisores[DISPOSITIVOS TOTAL]*INDEX(TablaSeleccionSupervisores[],ROW(TablaSeleccionSupervisores[[#This Row],[ORDEN]])-1,_xlfn.XMATCH(TablaSupervisores[REFERENCIA],TablaSeleccionSupervisores[#Headers])))</f>
        <v>2472</v>
      </c>
      <c r="X395" cm="1">
        <f t="array" ref="X395">SUM(TablaSupervisores[DISPOSITIVOS BACNET MS/TP JC]*INDEX(TablaSeleccionSupervisores[],ROW(TablaSeleccionSupervisores[[#This Row],[ORDEN]])-1,_xlfn.XMATCH(TablaSupervisores[REFERENCIA],TablaSeleccionSupervisores[#Headers])))</f>
        <v>862</v>
      </c>
      <c r="Y395" cm="1">
        <f t="array" ref="Y395">SUM(TablaSupervisores[DISPOSITIVOS BACNET MS/TP COMPATIBLES]*INDEX(TablaSeleccionSupervisores[],ROW(TablaSeleccionSupervisores[[#This Row],[ORDEN]])-1,_xlfn.XMATCH(TablaSupervisores[REFERENCIA],TablaSeleccionSupervisores[#Headers])))</f>
        <v>556</v>
      </c>
      <c r="Z395" cm="1">
        <f t="array" ref="Z395">SUM(TablaSupervisores[DISPOSITIVOS BACNET IP]*INDEX(TablaSeleccionSupervisores[],ROW(TablaSeleccionSupervisores[[#This Row],[ORDEN]])-1,_xlfn.XMATCH(TablaSupervisores[REFERENCIA],TablaSeleccionSupervisores[#Headers])))</f>
        <v>1730</v>
      </c>
      <c r="AA395" cm="1">
        <f t="array" ref="AA395">SUM(TablaSupervisores[OBJETOS]*INDEX(TablaSeleccionSupervisores[],ROW(TablaSeleccionSupervisores[[#This Row],[ORDEN]])-1,_xlfn.XMATCH(TablaSupervisores[REFERENCIA],TablaSeleccionSupervisores[#Headers])))</f>
        <v>30000</v>
      </c>
      <c r="AB395" s="28" cm="1">
        <f t="array" ref="AB395">SUM(TablaSupervisores[COSTE]*INDEX(TablaSeleccionSupervisores[],ROW(TablaSeleccionSupervisores[[#This Row],[ORDEN]])-1,_xlfn.XMATCH(TablaSupervisores[REFERENCIA],TablaSeleccionSupervisores[#Headers])))</f>
        <v>26335.05</v>
      </c>
      <c r="AC395" cm="1">
        <f t="array" ref="AC395">SUM(INDEX(TablaSeleccionSupervisores[],ROW(TablaSeleccionSupervisores[[#This Row],[ORDEN]])-1,_xlfn.XMATCH(TablaSupervisores[REFERENCIA],TablaSeleccionSupervisores[#Headers])))</f>
        <v>8</v>
      </c>
      <c r="AD395" t="str" cm="1">
        <f t="array" ref="AD395">IF(INDEX(TablaSeleccionSupervisores[],ROW(TablaSeleccionSupervisores[[#This Row],[ORDEN]])-1,_xlfn.XMATCH("ADMITIDO ADSLITE",TablaSeleccionSupervisores[#Headers])+1)=0,"Sí admitido","No admitido")</f>
        <v>No admitido</v>
      </c>
      <c r="AE395">
        <v>4</v>
      </c>
      <c r="AF395">
        <v>0</v>
      </c>
      <c r="AG395">
        <v>1</v>
      </c>
      <c r="AH395">
        <v>3</v>
      </c>
    </row>
    <row r="396" spans="22:34" x14ac:dyDescent="0.25">
      <c r="V396">
        <v>395</v>
      </c>
      <c r="W396" cm="1">
        <f t="array" ref="W396">SUM(TablaSupervisores[DISPOSITIVOS TOTAL]*INDEX(TablaSeleccionSupervisores[],ROW(TablaSeleccionSupervisores[[#This Row],[ORDEN]])-1,_xlfn.XMATCH(TablaSupervisores[REFERENCIA],TablaSeleccionSupervisores[#Headers])))</f>
        <v>222</v>
      </c>
      <c r="X396" cm="1">
        <f t="array" ref="X396">SUM(TablaSupervisores[DISPOSITIVOS BACNET MS/TP JC]*INDEX(TablaSeleccionSupervisores[],ROW(TablaSeleccionSupervisores[[#This Row],[ORDEN]])-1,_xlfn.XMATCH(TablaSupervisores[REFERENCIA],TablaSeleccionSupervisores[#Headers])))</f>
        <v>162</v>
      </c>
      <c r="Y396" cm="1">
        <f t="array" ref="Y396">SUM(TablaSupervisores[DISPOSITIVOS BACNET MS/TP COMPATIBLES]*INDEX(TablaSeleccionSupervisores[],ROW(TablaSeleccionSupervisores[[#This Row],[ORDEN]])-1,_xlfn.XMATCH(TablaSupervisores[REFERENCIA],TablaSeleccionSupervisores[#Headers])))</f>
        <v>108</v>
      </c>
      <c r="Z396" cm="1">
        <f t="array" ref="Z396">SUM(TablaSupervisores[DISPOSITIVOS BACNET IP]*INDEX(TablaSeleccionSupervisores[],ROW(TablaSeleccionSupervisores[[#This Row],[ORDEN]])-1,_xlfn.XMATCH(TablaSupervisores[REFERENCIA],TablaSeleccionSupervisores[#Headers])))</f>
        <v>330</v>
      </c>
      <c r="AA396" cm="1">
        <f t="array" ref="AA396">SUM(TablaSupervisores[OBJETOS]*INDEX(TablaSeleccionSupervisores[],ROW(TablaSeleccionSupervisores[[#This Row],[ORDEN]])-1,_xlfn.XMATCH(TablaSupervisores[REFERENCIA],TablaSeleccionSupervisores[#Headers])))</f>
        <v>12500</v>
      </c>
      <c r="AB396" s="28" cm="1">
        <f t="array" ref="AB396">SUM(TablaSupervisores[COSTE]*INDEX(TablaSeleccionSupervisores[],ROW(TablaSeleccionSupervisores[[#This Row],[ORDEN]])-1,_xlfn.XMATCH(TablaSupervisores[REFERENCIA],TablaSeleccionSupervisores[#Headers])))</f>
        <v>7657.26</v>
      </c>
      <c r="AC396" cm="1">
        <f t="array" ref="AC396">SUM(INDEX(TablaSeleccionSupervisores[],ROW(TablaSeleccionSupervisores[[#This Row],[ORDEN]])-1,_xlfn.XMATCH(TablaSupervisores[REFERENCIA],TablaSeleccionSupervisores[#Headers])))</f>
        <v>5</v>
      </c>
      <c r="AD396" t="str" cm="1">
        <f t="array" ref="AD396">IF(INDEX(TablaSeleccionSupervisores[],ROW(TablaSeleccionSupervisores[[#This Row],[ORDEN]])-1,_xlfn.XMATCH("ADMITIDO ADSLITE",TablaSeleccionSupervisores[#Headers])+1)=0,"Sí admitido","No admitido")</f>
        <v>Sí admitido</v>
      </c>
      <c r="AE396">
        <v>0</v>
      </c>
      <c r="AF396">
        <v>1</v>
      </c>
      <c r="AG396">
        <v>1</v>
      </c>
      <c r="AH396">
        <v>3</v>
      </c>
    </row>
    <row r="397" spans="22:34" x14ac:dyDescent="0.25">
      <c r="V397">
        <v>396</v>
      </c>
      <c r="W397" cm="1">
        <f t="array" ref="W397">SUM(TablaSupervisores[DISPOSITIVOS TOTAL]*INDEX(TablaSeleccionSupervisores[],ROW(TablaSeleccionSupervisores[[#This Row],[ORDEN]])-1,_xlfn.XMATCH(TablaSupervisores[REFERENCIA],TablaSeleccionSupervisores[#Headers])))</f>
        <v>822</v>
      </c>
      <c r="X397" cm="1">
        <f t="array" ref="X397">SUM(TablaSupervisores[DISPOSITIVOS BACNET MS/TP JC]*INDEX(TablaSeleccionSupervisores[],ROW(TablaSeleccionSupervisores[[#This Row],[ORDEN]])-1,_xlfn.XMATCH(TablaSupervisores[REFERENCIA],TablaSeleccionSupervisores[#Headers])))</f>
        <v>362</v>
      </c>
      <c r="Y397" cm="1">
        <f t="array" ref="Y397">SUM(TablaSupervisores[DISPOSITIVOS BACNET MS/TP COMPATIBLES]*INDEX(TablaSeleccionSupervisores[],ROW(TablaSeleccionSupervisores[[#This Row],[ORDEN]])-1,_xlfn.XMATCH(TablaSupervisores[REFERENCIA],TablaSeleccionSupervisores[#Headers])))</f>
        <v>236</v>
      </c>
      <c r="Z397" cm="1">
        <f t="array" ref="Z397">SUM(TablaSupervisores[DISPOSITIVOS BACNET IP]*INDEX(TablaSeleccionSupervisores[],ROW(TablaSeleccionSupervisores[[#This Row],[ORDEN]])-1,_xlfn.XMATCH(TablaSupervisores[REFERENCIA],TablaSeleccionSupervisores[#Headers])))</f>
        <v>730</v>
      </c>
      <c r="AA397" cm="1">
        <f t="array" ref="AA397">SUM(TablaSupervisores[OBJETOS]*INDEX(TablaSeleccionSupervisores[],ROW(TablaSeleccionSupervisores[[#This Row],[ORDEN]])-1,_xlfn.XMATCH(TablaSupervisores[REFERENCIA],TablaSeleccionSupervisores[#Headers])))</f>
        <v>17500</v>
      </c>
      <c r="AB397" s="28" cm="1">
        <f t="array" ref="AB397">SUM(TablaSupervisores[COSTE]*INDEX(TablaSeleccionSupervisores[],ROW(TablaSeleccionSupervisores[[#This Row],[ORDEN]])-1,_xlfn.XMATCH(TablaSupervisores[REFERENCIA],TablaSeleccionSupervisores[#Headers])))</f>
        <v>13323.89</v>
      </c>
      <c r="AC397" cm="1">
        <f t="array" ref="AC397">SUM(INDEX(TablaSeleccionSupervisores[],ROW(TablaSeleccionSupervisores[[#This Row],[ORDEN]])-1,_xlfn.XMATCH(TablaSupervisores[REFERENCIA],TablaSeleccionSupervisores[#Headers])))</f>
        <v>6</v>
      </c>
      <c r="AD397" t="str" cm="1">
        <f t="array" ref="AD397">IF(INDEX(TablaSeleccionSupervisores[],ROW(TablaSeleccionSupervisores[[#This Row],[ORDEN]])-1,_xlfn.XMATCH("ADMITIDO ADSLITE",TablaSeleccionSupervisores[#Headers])+1)=0,"Sí admitido","No admitido")</f>
        <v>No admitido</v>
      </c>
      <c r="AE397">
        <v>1</v>
      </c>
      <c r="AF397">
        <v>1</v>
      </c>
      <c r="AG397">
        <v>1</v>
      </c>
      <c r="AH397">
        <v>3</v>
      </c>
    </row>
    <row r="398" spans="22:34" x14ac:dyDescent="0.25">
      <c r="V398">
        <v>397</v>
      </c>
      <c r="W398" cm="1">
        <f t="array" ref="W398">SUM(TablaSupervisores[DISPOSITIVOS TOTAL]*INDEX(TablaSeleccionSupervisores[],ROW(TablaSeleccionSupervisores[[#This Row],[ORDEN]])-1,_xlfn.XMATCH(TablaSupervisores[REFERENCIA],TablaSeleccionSupervisores[#Headers])))</f>
        <v>1422</v>
      </c>
      <c r="X398" cm="1">
        <f t="array" ref="X398">SUM(TablaSupervisores[DISPOSITIVOS BACNET MS/TP JC]*INDEX(TablaSeleccionSupervisores[],ROW(TablaSeleccionSupervisores[[#This Row],[ORDEN]])-1,_xlfn.XMATCH(TablaSupervisores[REFERENCIA],TablaSeleccionSupervisores[#Headers])))</f>
        <v>562</v>
      </c>
      <c r="Y398" cm="1">
        <f t="array" ref="Y398">SUM(TablaSupervisores[DISPOSITIVOS BACNET MS/TP COMPATIBLES]*INDEX(TablaSeleccionSupervisores[],ROW(TablaSeleccionSupervisores[[#This Row],[ORDEN]])-1,_xlfn.XMATCH(TablaSupervisores[REFERENCIA],TablaSeleccionSupervisores[#Headers])))</f>
        <v>364</v>
      </c>
      <c r="Z398" cm="1">
        <f t="array" ref="Z398">SUM(TablaSupervisores[DISPOSITIVOS BACNET IP]*INDEX(TablaSeleccionSupervisores[],ROW(TablaSeleccionSupervisores[[#This Row],[ORDEN]])-1,_xlfn.XMATCH(TablaSupervisores[REFERENCIA],TablaSeleccionSupervisores[#Headers])))</f>
        <v>1130</v>
      </c>
      <c r="AA398" cm="1">
        <f t="array" ref="AA398">SUM(TablaSupervisores[OBJETOS]*INDEX(TablaSeleccionSupervisores[],ROW(TablaSeleccionSupervisores[[#This Row],[ORDEN]])-1,_xlfn.XMATCH(TablaSupervisores[REFERENCIA],TablaSeleccionSupervisores[#Headers])))</f>
        <v>22500</v>
      </c>
      <c r="AB398" s="28" cm="1">
        <f t="array" ref="AB398">SUM(TablaSupervisores[COSTE]*INDEX(TablaSeleccionSupervisores[],ROW(TablaSeleccionSupervisores[[#This Row],[ORDEN]])-1,_xlfn.XMATCH(TablaSupervisores[REFERENCIA],TablaSeleccionSupervisores[#Headers])))</f>
        <v>18990.52</v>
      </c>
      <c r="AC398" cm="1">
        <f t="array" ref="AC398">SUM(INDEX(TablaSeleccionSupervisores[],ROW(TablaSeleccionSupervisores[[#This Row],[ORDEN]])-1,_xlfn.XMATCH(TablaSupervisores[REFERENCIA],TablaSeleccionSupervisores[#Headers])))</f>
        <v>7</v>
      </c>
      <c r="AD398" t="str" cm="1">
        <f t="array" ref="AD398">IF(INDEX(TablaSeleccionSupervisores[],ROW(TablaSeleccionSupervisores[[#This Row],[ORDEN]])-1,_xlfn.XMATCH("ADMITIDO ADSLITE",TablaSeleccionSupervisores[#Headers])+1)=0,"Sí admitido","No admitido")</f>
        <v>No admitido</v>
      </c>
      <c r="AE398">
        <v>2</v>
      </c>
      <c r="AF398">
        <v>1</v>
      </c>
      <c r="AG398">
        <v>1</v>
      </c>
      <c r="AH398">
        <v>3</v>
      </c>
    </row>
    <row r="399" spans="22:34" x14ac:dyDescent="0.25">
      <c r="V399">
        <v>398</v>
      </c>
      <c r="W399" cm="1">
        <f t="array" ref="W399">SUM(TablaSupervisores[DISPOSITIVOS TOTAL]*INDEX(TablaSeleccionSupervisores[],ROW(TablaSeleccionSupervisores[[#This Row],[ORDEN]])-1,_xlfn.XMATCH(TablaSupervisores[REFERENCIA],TablaSeleccionSupervisores[#Headers])))</f>
        <v>2022</v>
      </c>
      <c r="X399" cm="1">
        <f t="array" ref="X399">SUM(TablaSupervisores[DISPOSITIVOS BACNET MS/TP JC]*INDEX(TablaSeleccionSupervisores[],ROW(TablaSeleccionSupervisores[[#This Row],[ORDEN]])-1,_xlfn.XMATCH(TablaSupervisores[REFERENCIA],TablaSeleccionSupervisores[#Headers])))</f>
        <v>762</v>
      </c>
      <c r="Y399" cm="1">
        <f t="array" ref="Y399">SUM(TablaSupervisores[DISPOSITIVOS BACNET MS/TP COMPATIBLES]*INDEX(TablaSeleccionSupervisores[],ROW(TablaSeleccionSupervisores[[#This Row],[ORDEN]])-1,_xlfn.XMATCH(TablaSupervisores[REFERENCIA],TablaSeleccionSupervisores[#Headers])))</f>
        <v>492</v>
      </c>
      <c r="Z399" cm="1">
        <f t="array" ref="Z399">SUM(TablaSupervisores[DISPOSITIVOS BACNET IP]*INDEX(TablaSeleccionSupervisores[],ROW(TablaSeleccionSupervisores[[#This Row],[ORDEN]])-1,_xlfn.XMATCH(TablaSupervisores[REFERENCIA],TablaSeleccionSupervisores[#Headers])))</f>
        <v>1530</v>
      </c>
      <c r="AA399" cm="1">
        <f t="array" ref="AA399">SUM(TablaSupervisores[OBJETOS]*INDEX(TablaSeleccionSupervisores[],ROW(TablaSeleccionSupervisores[[#This Row],[ORDEN]])-1,_xlfn.XMATCH(TablaSupervisores[REFERENCIA],TablaSeleccionSupervisores[#Headers])))</f>
        <v>27500</v>
      </c>
      <c r="AB399" s="28" cm="1">
        <f t="array" ref="AB399">SUM(TablaSupervisores[COSTE]*INDEX(TablaSeleccionSupervisores[],ROW(TablaSeleccionSupervisores[[#This Row],[ORDEN]])-1,_xlfn.XMATCH(TablaSupervisores[REFERENCIA],TablaSeleccionSupervisores[#Headers])))</f>
        <v>24657.149999999998</v>
      </c>
      <c r="AC399" cm="1">
        <f t="array" ref="AC399">SUM(INDEX(TablaSeleccionSupervisores[],ROW(TablaSeleccionSupervisores[[#This Row],[ORDEN]])-1,_xlfn.XMATCH(TablaSupervisores[REFERENCIA],TablaSeleccionSupervisores[#Headers])))</f>
        <v>8</v>
      </c>
      <c r="AD399" t="str" cm="1">
        <f t="array" ref="AD399">IF(INDEX(TablaSeleccionSupervisores[],ROW(TablaSeleccionSupervisores[[#This Row],[ORDEN]])-1,_xlfn.XMATCH("ADMITIDO ADSLITE",TablaSeleccionSupervisores[#Headers])+1)=0,"Sí admitido","No admitido")</f>
        <v>No admitido</v>
      </c>
      <c r="AE399">
        <v>3</v>
      </c>
      <c r="AF399">
        <v>1</v>
      </c>
      <c r="AG399">
        <v>1</v>
      </c>
      <c r="AH399">
        <v>3</v>
      </c>
    </row>
    <row r="400" spans="22:34" x14ac:dyDescent="0.25">
      <c r="V400">
        <v>399</v>
      </c>
      <c r="W400" cm="1">
        <f t="array" ref="W400">SUM(TablaSupervisores[DISPOSITIVOS TOTAL]*INDEX(TablaSeleccionSupervisores[],ROW(TablaSeleccionSupervisores[[#This Row],[ORDEN]])-1,_xlfn.XMATCH(TablaSupervisores[REFERENCIA],TablaSeleccionSupervisores[#Headers])))</f>
        <v>372</v>
      </c>
      <c r="X400" cm="1">
        <f t="array" ref="X400">SUM(TablaSupervisores[DISPOSITIVOS BACNET MS/TP JC]*INDEX(TablaSeleccionSupervisores[],ROW(TablaSeleccionSupervisores[[#This Row],[ORDEN]])-1,_xlfn.XMATCH(TablaSupervisores[REFERENCIA],TablaSeleccionSupervisores[#Headers])))</f>
        <v>262</v>
      </c>
      <c r="Y400" cm="1">
        <f t="array" ref="Y400">SUM(TablaSupervisores[DISPOSITIVOS BACNET MS/TP COMPATIBLES]*INDEX(TablaSeleccionSupervisores[],ROW(TablaSeleccionSupervisores[[#This Row],[ORDEN]])-1,_xlfn.XMATCH(TablaSupervisores[REFERENCIA],TablaSeleccionSupervisores[#Headers])))</f>
        <v>172</v>
      </c>
      <c r="Z400" cm="1">
        <f t="array" ref="Z400">SUM(TablaSupervisores[DISPOSITIVOS BACNET IP]*INDEX(TablaSeleccionSupervisores[],ROW(TablaSeleccionSupervisores[[#This Row],[ORDEN]])-1,_xlfn.XMATCH(TablaSupervisores[REFERENCIA],TablaSeleccionSupervisores[#Headers])))</f>
        <v>530</v>
      </c>
      <c r="AA400" cm="1">
        <f t="array" ref="AA400">SUM(TablaSupervisores[OBJETOS]*INDEX(TablaSeleccionSupervisores[],ROW(TablaSeleccionSupervisores[[#This Row],[ORDEN]])-1,_xlfn.XMATCH(TablaSupervisores[REFERENCIA],TablaSeleccionSupervisores[#Headers])))</f>
        <v>15000</v>
      </c>
      <c r="AB400" s="28" cm="1">
        <f t="array" ref="AB400">SUM(TablaSupervisores[COSTE]*INDEX(TablaSeleccionSupervisores[],ROW(TablaSeleccionSupervisores[[#This Row],[ORDEN]])-1,_xlfn.XMATCH(TablaSupervisores[REFERENCIA],TablaSeleccionSupervisores[#Headers])))</f>
        <v>11645.990000000002</v>
      </c>
      <c r="AC400" cm="1">
        <f t="array" ref="AC400">SUM(INDEX(TablaSeleccionSupervisores[],ROW(TablaSeleccionSupervisores[[#This Row],[ORDEN]])-1,_xlfn.XMATCH(TablaSupervisores[REFERENCIA],TablaSeleccionSupervisores[#Headers])))</f>
        <v>6</v>
      </c>
      <c r="AD400" t="str" cm="1">
        <f t="array" ref="AD400">IF(INDEX(TablaSeleccionSupervisores[],ROW(TablaSeleccionSupervisores[[#This Row],[ORDEN]])-1,_xlfn.XMATCH("ADMITIDO ADSLITE",TablaSeleccionSupervisores[#Headers])+1)=0,"Sí admitido","No admitido")</f>
        <v>Sí admitido</v>
      </c>
      <c r="AE400">
        <v>0</v>
      </c>
      <c r="AF400">
        <v>2</v>
      </c>
      <c r="AG400">
        <v>1</v>
      </c>
      <c r="AH400">
        <v>3</v>
      </c>
    </row>
    <row r="401" spans="22:34" x14ac:dyDescent="0.25">
      <c r="V401">
        <v>400</v>
      </c>
      <c r="W401" cm="1">
        <f t="array" ref="W401">SUM(TablaSupervisores[DISPOSITIVOS TOTAL]*INDEX(TablaSeleccionSupervisores[],ROW(TablaSeleccionSupervisores[[#This Row],[ORDEN]])-1,_xlfn.XMATCH(TablaSupervisores[REFERENCIA],TablaSeleccionSupervisores[#Headers])))</f>
        <v>972</v>
      </c>
      <c r="X401" cm="1">
        <f t="array" ref="X401">SUM(TablaSupervisores[DISPOSITIVOS BACNET MS/TP JC]*INDEX(TablaSeleccionSupervisores[],ROW(TablaSeleccionSupervisores[[#This Row],[ORDEN]])-1,_xlfn.XMATCH(TablaSupervisores[REFERENCIA],TablaSeleccionSupervisores[#Headers])))</f>
        <v>462</v>
      </c>
      <c r="Y401" cm="1">
        <f t="array" ref="Y401">SUM(TablaSupervisores[DISPOSITIVOS BACNET MS/TP COMPATIBLES]*INDEX(TablaSeleccionSupervisores[],ROW(TablaSeleccionSupervisores[[#This Row],[ORDEN]])-1,_xlfn.XMATCH(TablaSupervisores[REFERENCIA],TablaSeleccionSupervisores[#Headers])))</f>
        <v>300</v>
      </c>
      <c r="Z401" cm="1">
        <f t="array" ref="Z401">SUM(TablaSupervisores[DISPOSITIVOS BACNET IP]*INDEX(TablaSeleccionSupervisores[],ROW(TablaSeleccionSupervisores[[#This Row],[ORDEN]])-1,_xlfn.XMATCH(TablaSupervisores[REFERENCIA],TablaSeleccionSupervisores[#Headers])))</f>
        <v>930</v>
      </c>
      <c r="AA401" cm="1">
        <f t="array" ref="AA401">SUM(TablaSupervisores[OBJETOS]*INDEX(TablaSeleccionSupervisores[],ROW(TablaSeleccionSupervisores[[#This Row],[ORDEN]])-1,_xlfn.XMATCH(TablaSupervisores[REFERENCIA],TablaSeleccionSupervisores[#Headers])))</f>
        <v>20000</v>
      </c>
      <c r="AB401" s="28" cm="1">
        <f t="array" ref="AB401">SUM(TablaSupervisores[COSTE]*INDEX(TablaSeleccionSupervisores[],ROW(TablaSeleccionSupervisores[[#This Row],[ORDEN]])-1,_xlfn.XMATCH(TablaSupervisores[REFERENCIA],TablaSeleccionSupervisores[#Headers])))</f>
        <v>17312.62</v>
      </c>
      <c r="AC401" cm="1">
        <f t="array" ref="AC401">SUM(INDEX(TablaSeleccionSupervisores[],ROW(TablaSeleccionSupervisores[[#This Row],[ORDEN]])-1,_xlfn.XMATCH(TablaSupervisores[REFERENCIA],TablaSeleccionSupervisores[#Headers])))</f>
        <v>7</v>
      </c>
      <c r="AD401" t="str" cm="1">
        <f t="array" ref="AD401">IF(INDEX(TablaSeleccionSupervisores[],ROW(TablaSeleccionSupervisores[[#This Row],[ORDEN]])-1,_xlfn.XMATCH("ADMITIDO ADSLITE",TablaSeleccionSupervisores[#Headers])+1)=0,"Sí admitido","No admitido")</f>
        <v>No admitido</v>
      </c>
      <c r="AE401">
        <v>1</v>
      </c>
      <c r="AF401">
        <v>2</v>
      </c>
      <c r="AG401">
        <v>1</v>
      </c>
      <c r="AH401">
        <v>3</v>
      </c>
    </row>
    <row r="402" spans="22:34" x14ac:dyDescent="0.25">
      <c r="V402">
        <v>401</v>
      </c>
      <c r="W402" cm="1">
        <f t="array" ref="W402">SUM(TablaSupervisores[DISPOSITIVOS TOTAL]*INDEX(TablaSeleccionSupervisores[],ROW(TablaSeleccionSupervisores[[#This Row],[ORDEN]])-1,_xlfn.XMATCH(TablaSupervisores[REFERENCIA],TablaSeleccionSupervisores[#Headers])))</f>
        <v>1572</v>
      </c>
      <c r="X402" cm="1">
        <f t="array" ref="X402">SUM(TablaSupervisores[DISPOSITIVOS BACNET MS/TP JC]*INDEX(TablaSeleccionSupervisores[],ROW(TablaSeleccionSupervisores[[#This Row],[ORDEN]])-1,_xlfn.XMATCH(TablaSupervisores[REFERENCIA],TablaSeleccionSupervisores[#Headers])))</f>
        <v>662</v>
      </c>
      <c r="Y402" cm="1">
        <f t="array" ref="Y402">SUM(TablaSupervisores[DISPOSITIVOS BACNET MS/TP COMPATIBLES]*INDEX(TablaSeleccionSupervisores[],ROW(TablaSeleccionSupervisores[[#This Row],[ORDEN]])-1,_xlfn.XMATCH(TablaSupervisores[REFERENCIA],TablaSeleccionSupervisores[#Headers])))</f>
        <v>428</v>
      </c>
      <c r="Z402" cm="1">
        <f t="array" ref="Z402">SUM(TablaSupervisores[DISPOSITIVOS BACNET IP]*INDEX(TablaSeleccionSupervisores[],ROW(TablaSeleccionSupervisores[[#This Row],[ORDEN]])-1,_xlfn.XMATCH(TablaSupervisores[REFERENCIA],TablaSeleccionSupervisores[#Headers])))</f>
        <v>1330</v>
      </c>
      <c r="AA402" cm="1">
        <f t="array" ref="AA402">SUM(TablaSupervisores[OBJETOS]*INDEX(TablaSeleccionSupervisores[],ROW(TablaSeleccionSupervisores[[#This Row],[ORDEN]])-1,_xlfn.XMATCH(TablaSupervisores[REFERENCIA],TablaSeleccionSupervisores[#Headers])))</f>
        <v>25000</v>
      </c>
      <c r="AB402" s="28" cm="1">
        <f t="array" ref="AB402">SUM(TablaSupervisores[COSTE]*INDEX(TablaSeleccionSupervisores[],ROW(TablaSeleccionSupervisores[[#This Row],[ORDEN]])-1,_xlfn.XMATCH(TablaSupervisores[REFERENCIA],TablaSeleccionSupervisores[#Headers])))</f>
        <v>22979.25</v>
      </c>
      <c r="AC402" cm="1">
        <f t="array" ref="AC402">SUM(INDEX(TablaSeleccionSupervisores[],ROW(TablaSeleccionSupervisores[[#This Row],[ORDEN]])-1,_xlfn.XMATCH(TablaSupervisores[REFERENCIA],TablaSeleccionSupervisores[#Headers])))</f>
        <v>8</v>
      </c>
      <c r="AD402" t="str" cm="1">
        <f t="array" ref="AD402">IF(INDEX(TablaSeleccionSupervisores[],ROW(TablaSeleccionSupervisores[[#This Row],[ORDEN]])-1,_xlfn.XMATCH("ADMITIDO ADSLITE",TablaSeleccionSupervisores[#Headers])+1)=0,"Sí admitido","No admitido")</f>
        <v>No admitido</v>
      </c>
      <c r="AE402">
        <v>2</v>
      </c>
      <c r="AF402">
        <v>2</v>
      </c>
      <c r="AG402">
        <v>1</v>
      </c>
      <c r="AH402">
        <v>3</v>
      </c>
    </row>
    <row r="403" spans="22:34" x14ac:dyDescent="0.25">
      <c r="V403">
        <v>402</v>
      </c>
      <c r="W403" cm="1">
        <f t="array" ref="W403">SUM(TablaSupervisores[DISPOSITIVOS TOTAL]*INDEX(TablaSeleccionSupervisores[],ROW(TablaSeleccionSupervisores[[#This Row],[ORDEN]])-1,_xlfn.XMATCH(TablaSupervisores[REFERENCIA],TablaSeleccionSupervisores[#Headers])))</f>
        <v>522</v>
      </c>
      <c r="X403" cm="1">
        <f t="array" ref="X403">SUM(TablaSupervisores[DISPOSITIVOS BACNET MS/TP JC]*INDEX(TablaSeleccionSupervisores[],ROW(TablaSeleccionSupervisores[[#This Row],[ORDEN]])-1,_xlfn.XMATCH(TablaSupervisores[REFERENCIA],TablaSeleccionSupervisores[#Headers])))</f>
        <v>362</v>
      </c>
      <c r="Y403" cm="1">
        <f t="array" ref="Y403">SUM(TablaSupervisores[DISPOSITIVOS BACNET MS/TP COMPATIBLES]*INDEX(TablaSeleccionSupervisores[],ROW(TablaSeleccionSupervisores[[#This Row],[ORDEN]])-1,_xlfn.XMATCH(TablaSupervisores[REFERENCIA],TablaSeleccionSupervisores[#Headers])))</f>
        <v>236</v>
      </c>
      <c r="Z403" cm="1">
        <f t="array" ref="Z403">SUM(TablaSupervisores[DISPOSITIVOS BACNET IP]*INDEX(TablaSeleccionSupervisores[],ROW(TablaSeleccionSupervisores[[#This Row],[ORDEN]])-1,_xlfn.XMATCH(TablaSupervisores[REFERENCIA],TablaSeleccionSupervisores[#Headers])))</f>
        <v>730</v>
      </c>
      <c r="AA403" cm="1">
        <f t="array" ref="AA403">SUM(TablaSupervisores[OBJETOS]*INDEX(TablaSeleccionSupervisores[],ROW(TablaSeleccionSupervisores[[#This Row],[ORDEN]])-1,_xlfn.XMATCH(TablaSupervisores[REFERENCIA],TablaSeleccionSupervisores[#Headers])))</f>
        <v>17500</v>
      </c>
      <c r="AB403" s="28" cm="1">
        <f t="array" ref="AB403">SUM(TablaSupervisores[COSTE]*INDEX(TablaSeleccionSupervisores[],ROW(TablaSeleccionSupervisores[[#This Row],[ORDEN]])-1,_xlfn.XMATCH(TablaSupervisores[REFERENCIA],TablaSeleccionSupervisores[#Headers])))</f>
        <v>15634.720000000001</v>
      </c>
      <c r="AC403" cm="1">
        <f t="array" ref="AC403">SUM(INDEX(TablaSeleccionSupervisores[],ROW(TablaSeleccionSupervisores[[#This Row],[ORDEN]])-1,_xlfn.XMATCH(TablaSupervisores[REFERENCIA],TablaSeleccionSupervisores[#Headers])))</f>
        <v>7</v>
      </c>
      <c r="AD403" t="str" cm="1">
        <f t="array" ref="AD403">IF(INDEX(TablaSeleccionSupervisores[],ROW(TablaSeleccionSupervisores[[#This Row],[ORDEN]])-1,_xlfn.XMATCH("ADMITIDO ADSLITE",TablaSeleccionSupervisores[#Headers])+1)=0,"Sí admitido","No admitido")</f>
        <v>Sí admitido</v>
      </c>
      <c r="AE403">
        <v>0</v>
      </c>
      <c r="AF403">
        <v>3</v>
      </c>
      <c r="AG403">
        <v>1</v>
      </c>
      <c r="AH403">
        <v>3</v>
      </c>
    </row>
    <row r="404" spans="22:34" x14ac:dyDescent="0.25">
      <c r="V404">
        <v>403</v>
      </c>
      <c r="W404" cm="1">
        <f t="array" ref="W404">SUM(TablaSupervisores[DISPOSITIVOS TOTAL]*INDEX(TablaSeleccionSupervisores[],ROW(TablaSeleccionSupervisores[[#This Row],[ORDEN]])-1,_xlfn.XMATCH(TablaSupervisores[REFERENCIA],TablaSeleccionSupervisores[#Headers])))</f>
        <v>1122</v>
      </c>
      <c r="X404" cm="1">
        <f t="array" ref="X404">SUM(TablaSupervisores[DISPOSITIVOS BACNET MS/TP JC]*INDEX(TablaSeleccionSupervisores[],ROW(TablaSeleccionSupervisores[[#This Row],[ORDEN]])-1,_xlfn.XMATCH(TablaSupervisores[REFERENCIA],TablaSeleccionSupervisores[#Headers])))</f>
        <v>562</v>
      </c>
      <c r="Y404" cm="1">
        <f t="array" ref="Y404">SUM(TablaSupervisores[DISPOSITIVOS BACNET MS/TP COMPATIBLES]*INDEX(TablaSeleccionSupervisores[],ROW(TablaSeleccionSupervisores[[#This Row],[ORDEN]])-1,_xlfn.XMATCH(TablaSupervisores[REFERENCIA],TablaSeleccionSupervisores[#Headers])))</f>
        <v>364</v>
      </c>
      <c r="Z404" cm="1">
        <f t="array" ref="Z404">SUM(TablaSupervisores[DISPOSITIVOS BACNET IP]*INDEX(TablaSeleccionSupervisores[],ROW(TablaSeleccionSupervisores[[#This Row],[ORDEN]])-1,_xlfn.XMATCH(TablaSupervisores[REFERENCIA],TablaSeleccionSupervisores[#Headers])))</f>
        <v>1130</v>
      </c>
      <c r="AA404" cm="1">
        <f t="array" ref="AA404">SUM(TablaSupervisores[OBJETOS]*INDEX(TablaSeleccionSupervisores[],ROW(TablaSeleccionSupervisores[[#This Row],[ORDEN]])-1,_xlfn.XMATCH(TablaSupervisores[REFERENCIA],TablaSeleccionSupervisores[#Headers])))</f>
        <v>22500</v>
      </c>
      <c r="AB404" s="28" cm="1">
        <f t="array" ref="AB404">SUM(TablaSupervisores[COSTE]*INDEX(TablaSeleccionSupervisores[],ROW(TablaSeleccionSupervisores[[#This Row],[ORDEN]])-1,_xlfn.XMATCH(TablaSupervisores[REFERENCIA],TablaSeleccionSupervisores[#Headers])))</f>
        <v>21301.35</v>
      </c>
      <c r="AC404" cm="1">
        <f t="array" ref="AC404">SUM(INDEX(TablaSeleccionSupervisores[],ROW(TablaSeleccionSupervisores[[#This Row],[ORDEN]])-1,_xlfn.XMATCH(TablaSupervisores[REFERENCIA],TablaSeleccionSupervisores[#Headers])))</f>
        <v>8</v>
      </c>
      <c r="AD404" t="str" cm="1">
        <f t="array" ref="AD404">IF(INDEX(TablaSeleccionSupervisores[],ROW(TablaSeleccionSupervisores[[#This Row],[ORDEN]])-1,_xlfn.XMATCH("ADMITIDO ADSLITE",TablaSeleccionSupervisores[#Headers])+1)=0,"Sí admitido","No admitido")</f>
        <v>No admitido</v>
      </c>
      <c r="AE404">
        <v>1</v>
      </c>
      <c r="AF404">
        <v>3</v>
      </c>
      <c r="AG404">
        <v>1</v>
      </c>
      <c r="AH404">
        <v>3</v>
      </c>
    </row>
    <row r="405" spans="22:34" x14ac:dyDescent="0.25">
      <c r="V405">
        <v>404</v>
      </c>
      <c r="W405" cm="1">
        <f t="array" ref="W405">SUM(TablaSupervisores[DISPOSITIVOS TOTAL]*INDEX(TablaSeleccionSupervisores[],ROW(TablaSeleccionSupervisores[[#This Row],[ORDEN]])-1,_xlfn.XMATCH(TablaSupervisores[REFERENCIA],TablaSeleccionSupervisores[#Headers])))</f>
        <v>672</v>
      </c>
      <c r="X405" cm="1">
        <f t="array" ref="X405">SUM(TablaSupervisores[DISPOSITIVOS BACNET MS/TP JC]*INDEX(TablaSeleccionSupervisores[],ROW(TablaSeleccionSupervisores[[#This Row],[ORDEN]])-1,_xlfn.XMATCH(TablaSupervisores[REFERENCIA],TablaSeleccionSupervisores[#Headers])))</f>
        <v>462</v>
      </c>
      <c r="Y405" cm="1">
        <f t="array" ref="Y405">SUM(TablaSupervisores[DISPOSITIVOS BACNET MS/TP COMPATIBLES]*INDEX(TablaSeleccionSupervisores[],ROW(TablaSeleccionSupervisores[[#This Row],[ORDEN]])-1,_xlfn.XMATCH(TablaSupervisores[REFERENCIA],TablaSeleccionSupervisores[#Headers])))</f>
        <v>300</v>
      </c>
      <c r="Z405" cm="1">
        <f t="array" ref="Z405">SUM(TablaSupervisores[DISPOSITIVOS BACNET IP]*INDEX(TablaSeleccionSupervisores[],ROW(TablaSeleccionSupervisores[[#This Row],[ORDEN]])-1,_xlfn.XMATCH(TablaSupervisores[REFERENCIA],TablaSeleccionSupervisores[#Headers])))</f>
        <v>930</v>
      </c>
      <c r="AA405" cm="1">
        <f t="array" ref="AA405">SUM(TablaSupervisores[OBJETOS]*INDEX(TablaSeleccionSupervisores[],ROW(TablaSeleccionSupervisores[[#This Row],[ORDEN]])-1,_xlfn.XMATCH(TablaSupervisores[REFERENCIA],TablaSeleccionSupervisores[#Headers])))</f>
        <v>20000</v>
      </c>
      <c r="AB405" s="28" cm="1">
        <f t="array" ref="AB405">SUM(TablaSupervisores[COSTE]*INDEX(TablaSeleccionSupervisores[],ROW(TablaSeleccionSupervisores[[#This Row],[ORDEN]])-1,_xlfn.XMATCH(TablaSupervisores[REFERENCIA],TablaSeleccionSupervisores[#Headers])))</f>
        <v>19623.45</v>
      </c>
      <c r="AC405" cm="1">
        <f t="array" ref="AC405">SUM(INDEX(TablaSeleccionSupervisores[],ROW(TablaSeleccionSupervisores[[#This Row],[ORDEN]])-1,_xlfn.XMATCH(TablaSupervisores[REFERENCIA],TablaSeleccionSupervisores[#Headers])))</f>
        <v>8</v>
      </c>
      <c r="AD405" t="str" cm="1">
        <f t="array" ref="AD405">IF(INDEX(TablaSeleccionSupervisores[],ROW(TablaSeleccionSupervisores[[#This Row],[ORDEN]])-1,_xlfn.XMATCH("ADMITIDO ADSLITE",TablaSeleccionSupervisores[#Headers])+1)=0,"Sí admitido","No admitido")</f>
        <v>Sí admitido</v>
      </c>
      <c r="AE405">
        <v>0</v>
      </c>
      <c r="AF405">
        <v>4</v>
      </c>
      <c r="AG405">
        <v>1</v>
      </c>
      <c r="AH405">
        <v>3</v>
      </c>
    </row>
    <row r="406" spans="22:34" x14ac:dyDescent="0.25">
      <c r="V406">
        <v>405</v>
      </c>
      <c r="W406" cm="1">
        <f t="array" ref="W406">SUM(TablaSupervisores[DISPOSITIVOS TOTAL]*INDEX(TablaSeleccionSupervisores[],ROW(TablaSeleccionSupervisores[[#This Row],[ORDEN]])-1,_xlfn.XMATCH(TablaSupervisores[REFERENCIA],TablaSeleccionSupervisores[#Headers])))</f>
        <v>132</v>
      </c>
      <c r="X406" cm="1">
        <f t="array" ref="X406">SUM(TablaSupervisores[DISPOSITIVOS BACNET MS/TP JC]*INDEX(TablaSeleccionSupervisores[],ROW(TablaSeleccionSupervisores[[#This Row],[ORDEN]])-1,_xlfn.XMATCH(TablaSupervisores[REFERENCIA],TablaSeleccionSupervisores[#Headers])))</f>
        <v>112</v>
      </c>
      <c r="Y406" cm="1">
        <f t="array" ref="Y406">SUM(TablaSupervisores[DISPOSITIVOS BACNET MS/TP COMPATIBLES]*INDEX(TablaSeleccionSupervisores[],ROW(TablaSeleccionSupervisores[[#This Row],[ORDEN]])-1,_xlfn.XMATCH(TablaSupervisores[REFERENCIA],TablaSeleccionSupervisores[#Headers])))</f>
        <v>76</v>
      </c>
      <c r="Z406" cm="1">
        <f t="array" ref="Z406">SUM(TablaSupervisores[DISPOSITIVOS BACNET IP]*INDEX(TablaSeleccionSupervisores[],ROW(TablaSeleccionSupervisores[[#This Row],[ORDEN]])-1,_xlfn.XMATCH(TablaSupervisores[REFERENCIA],TablaSeleccionSupervisores[#Headers])))</f>
        <v>230</v>
      </c>
      <c r="AA406" cm="1">
        <f t="array" ref="AA406">SUM(TablaSupervisores[OBJETOS]*INDEX(TablaSeleccionSupervisores[],ROW(TablaSeleccionSupervisores[[#This Row],[ORDEN]])-1,_xlfn.XMATCH(TablaSupervisores[REFERENCIA],TablaSeleccionSupervisores[#Headers])))</f>
        <v>12500</v>
      </c>
      <c r="AB406" s="28" cm="1">
        <f t="array" ref="AB406">SUM(TablaSupervisores[COSTE]*INDEX(TablaSeleccionSupervisores[],ROW(TablaSeleccionSupervisores[[#This Row],[ORDEN]])-1,_xlfn.XMATCH(TablaSupervisores[REFERENCIA],TablaSeleccionSupervisores[#Headers])))</f>
        <v>5092.01</v>
      </c>
      <c r="AC406" cm="1">
        <f t="array" ref="AC406">SUM(INDEX(TablaSeleccionSupervisores[],ROW(TablaSeleccionSupervisores[[#This Row],[ORDEN]])-1,_xlfn.XMATCH(TablaSupervisores[REFERENCIA],TablaSeleccionSupervisores[#Headers])))</f>
        <v>5</v>
      </c>
      <c r="AD406" t="str" cm="1">
        <f t="array" ref="AD406">IF(INDEX(TablaSeleccionSupervisores[],ROW(TablaSeleccionSupervisores[[#This Row],[ORDEN]])-1,_xlfn.XMATCH("ADMITIDO ADSLITE",TablaSeleccionSupervisores[#Headers])+1)=0,"Sí admitido","No admitido")</f>
        <v>Sí admitido</v>
      </c>
      <c r="AE406">
        <v>0</v>
      </c>
      <c r="AF406">
        <v>0</v>
      </c>
      <c r="AG406">
        <v>2</v>
      </c>
      <c r="AH406">
        <v>3</v>
      </c>
    </row>
    <row r="407" spans="22:34" x14ac:dyDescent="0.25">
      <c r="V407">
        <v>406</v>
      </c>
      <c r="W407" cm="1">
        <f t="array" ref="W407">SUM(TablaSupervisores[DISPOSITIVOS TOTAL]*INDEX(TablaSeleccionSupervisores[],ROW(TablaSeleccionSupervisores[[#This Row],[ORDEN]])-1,_xlfn.XMATCH(TablaSupervisores[REFERENCIA],TablaSeleccionSupervisores[#Headers])))</f>
        <v>732</v>
      </c>
      <c r="X407" cm="1">
        <f t="array" ref="X407">SUM(TablaSupervisores[DISPOSITIVOS BACNET MS/TP JC]*INDEX(TablaSeleccionSupervisores[],ROW(TablaSeleccionSupervisores[[#This Row],[ORDEN]])-1,_xlfn.XMATCH(TablaSupervisores[REFERENCIA],TablaSeleccionSupervisores[#Headers])))</f>
        <v>312</v>
      </c>
      <c r="Y407" cm="1">
        <f t="array" ref="Y407">SUM(TablaSupervisores[DISPOSITIVOS BACNET MS/TP COMPATIBLES]*INDEX(TablaSeleccionSupervisores[],ROW(TablaSeleccionSupervisores[[#This Row],[ORDEN]])-1,_xlfn.XMATCH(TablaSupervisores[REFERENCIA],TablaSeleccionSupervisores[#Headers])))</f>
        <v>204</v>
      </c>
      <c r="Z407" cm="1">
        <f t="array" ref="Z407">SUM(TablaSupervisores[DISPOSITIVOS BACNET IP]*INDEX(TablaSeleccionSupervisores[],ROW(TablaSeleccionSupervisores[[#This Row],[ORDEN]])-1,_xlfn.XMATCH(TablaSupervisores[REFERENCIA],TablaSeleccionSupervisores[#Headers])))</f>
        <v>630</v>
      </c>
      <c r="AA407" cm="1">
        <f t="array" ref="AA407">SUM(TablaSupervisores[OBJETOS]*INDEX(TablaSeleccionSupervisores[],ROW(TablaSeleccionSupervisores[[#This Row],[ORDEN]])-1,_xlfn.XMATCH(TablaSupervisores[REFERENCIA],TablaSeleccionSupervisores[#Headers])))</f>
        <v>17500</v>
      </c>
      <c r="AB407" s="28" cm="1">
        <f t="array" ref="AB407">SUM(TablaSupervisores[COSTE]*INDEX(TablaSeleccionSupervisores[],ROW(TablaSeleccionSupervisores[[#This Row],[ORDEN]])-1,_xlfn.XMATCH(TablaSupervisores[REFERENCIA],TablaSeleccionSupervisores[#Headers])))</f>
        <v>10758.64</v>
      </c>
      <c r="AC407" cm="1">
        <f t="array" ref="AC407">SUM(INDEX(TablaSeleccionSupervisores[],ROW(TablaSeleccionSupervisores[[#This Row],[ORDEN]])-1,_xlfn.XMATCH(TablaSupervisores[REFERENCIA],TablaSeleccionSupervisores[#Headers])))</f>
        <v>6</v>
      </c>
      <c r="AD407" t="str" cm="1">
        <f t="array" ref="AD407">IF(INDEX(TablaSeleccionSupervisores[],ROW(TablaSeleccionSupervisores[[#This Row],[ORDEN]])-1,_xlfn.XMATCH("ADMITIDO ADSLITE",TablaSeleccionSupervisores[#Headers])+1)=0,"Sí admitido","No admitido")</f>
        <v>No admitido</v>
      </c>
      <c r="AE407">
        <v>1</v>
      </c>
      <c r="AF407">
        <v>0</v>
      </c>
      <c r="AG407">
        <v>2</v>
      </c>
      <c r="AH407">
        <v>3</v>
      </c>
    </row>
    <row r="408" spans="22:34" x14ac:dyDescent="0.25">
      <c r="V408">
        <v>407</v>
      </c>
      <c r="W408" cm="1">
        <f t="array" ref="W408">SUM(TablaSupervisores[DISPOSITIVOS TOTAL]*INDEX(TablaSeleccionSupervisores[],ROW(TablaSeleccionSupervisores[[#This Row],[ORDEN]])-1,_xlfn.XMATCH(TablaSupervisores[REFERENCIA],TablaSeleccionSupervisores[#Headers])))</f>
        <v>1332</v>
      </c>
      <c r="X408" cm="1">
        <f t="array" ref="X408">SUM(TablaSupervisores[DISPOSITIVOS BACNET MS/TP JC]*INDEX(TablaSeleccionSupervisores[],ROW(TablaSeleccionSupervisores[[#This Row],[ORDEN]])-1,_xlfn.XMATCH(TablaSupervisores[REFERENCIA],TablaSeleccionSupervisores[#Headers])))</f>
        <v>512</v>
      </c>
      <c r="Y408" cm="1">
        <f t="array" ref="Y408">SUM(TablaSupervisores[DISPOSITIVOS BACNET MS/TP COMPATIBLES]*INDEX(TablaSeleccionSupervisores[],ROW(TablaSeleccionSupervisores[[#This Row],[ORDEN]])-1,_xlfn.XMATCH(TablaSupervisores[REFERENCIA],TablaSeleccionSupervisores[#Headers])))</f>
        <v>332</v>
      </c>
      <c r="Z408" cm="1">
        <f t="array" ref="Z408">SUM(TablaSupervisores[DISPOSITIVOS BACNET IP]*INDEX(TablaSeleccionSupervisores[],ROW(TablaSeleccionSupervisores[[#This Row],[ORDEN]])-1,_xlfn.XMATCH(TablaSupervisores[REFERENCIA],TablaSeleccionSupervisores[#Headers])))</f>
        <v>1030</v>
      </c>
      <c r="AA408" cm="1">
        <f t="array" ref="AA408">SUM(TablaSupervisores[OBJETOS]*INDEX(TablaSeleccionSupervisores[],ROW(TablaSeleccionSupervisores[[#This Row],[ORDEN]])-1,_xlfn.XMATCH(TablaSupervisores[REFERENCIA],TablaSeleccionSupervisores[#Headers])))</f>
        <v>22500</v>
      </c>
      <c r="AB408" s="28" cm="1">
        <f t="array" ref="AB408">SUM(TablaSupervisores[COSTE]*INDEX(TablaSeleccionSupervisores[],ROW(TablaSeleccionSupervisores[[#This Row],[ORDEN]])-1,_xlfn.XMATCH(TablaSupervisores[REFERENCIA],TablaSeleccionSupervisores[#Headers])))</f>
        <v>16425.27</v>
      </c>
      <c r="AC408" cm="1">
        <f t="array" ref="AC408">SUM(INDEX(TablaSeleccionSupervisores[],ROW(TablaSeleccionSupervisores[[#This Row],[ORDEN]])-1,_xlfn.XMATCH(TablaSupervisores[REFERENCIA],TablaSeleccionSupervisores[#Headers])))</f>
        <v>7</v>
      </c>
      <c r="AD408" t="str" cm="1">
        <f t="array" ref="AD408">IF(INDEX(TablaSeleccionSupervisores[],ROW(TablaSeleccionSupervisores[[#This Row],[ORDEN]])-1,_xlfn.XMATCH("ADMITIDO ADSLITE",TablaSeleccionSupervisores[#Headers])+1)=0,"Sí admitido","No admitido")</f>
        <v>No admitido</v>
      </c>
      <c r="AE408">
        <v>2</v>
      </c>
      <c r="AF408">
        <v>0</v>
      </c>
      <c r="AG408">
        <v>2</v>
      </c>
      <c r="AH408">
        <v>3</v>
      </c>
    </row>
    <row r="409" spans="22:34" x14ac:dyDescent="0.25">
      <c r="V409">
        <v>408</v>
      </c>
      <c r="W409" cm="1">
        <f t="array" ref="W409">SUM(TablaSupervisores[DISPOSITIVOS TOTAL]*INDEX(TablaSeleccionSupervisores[],ROW(TablaSeleccionSupervisores[[#This Row],[ORDEN]])-1,_xlfn.XMATCH(TablaSupervisores[REFERENCIA],TablaSeleccionSupervisores[#Headers])))</f>
        <v>1932</v>
      </c>
      <c r="X409" cm="1">
        <f t="array" ref="X409">SUM(TablaSupervisores[DISPOSITIVOS BACNET MS/TP JC]*INDEX(TablaSeleccionSupervisores[],ROW(TablaSeleccionSupervisores[[#This Row],[ORDEN]])-1,_xlfn.XMATCH(TablaSupervisores[REFERENCIA],TablaSeleccionSupervisores[#Headers])))</f>
        <v>712</v>
      </c>
      <c r="Y409" cm="1">
        <f t="array" ref="Y409">SUM(TablaSupervisores[DISPOSITIVOS BACNET MS/TP COMPATIBLES]*INDEX(TablaSeleccionSupervisores[],ROW(TablaSeleccionSupervisores[[#This Row],[ORDEN]])-1,_xlfn.XMATCH(TablaSupervisores[REFERENCIA],TablaSeleccionSupervisores[#Headers])))</f>
        <v>460</v>
      </c>
      <c r="Z409" cm="1">
        <f t="array" ref="Z409">SUM(TablaSupervisores[DISPOSITIVOS BACNET IP]*INDEX(TablaSeleccionSupervisores[],ROW(TablaSeleccionSupervisores[[#This Row],[ORDEN]])-1,_xlfn.XMATCH(TablaSupervisores[REFERENCIA],TablaSeleccionSupervisores[#Headers])))</f>
        <v>1430</v>
      </c>
      <c r="AA409" cm="1">
        <f t="array" ref="AA409">SUM(TablaSupervisores[OBJETOS]*INDEX(TablaSeleccionSupervisores[],ROW(TablaSeleccionSupervisores[[#This Row],[ORDEN]])-1,_xlfn.XMATCH(TablaSupervisores[REFERENCIA],TablaSeleccionSupervisores[#Headers])))</f>
        <v>27500</v>
      </c>
      <c r="AB409" s="28" cm="1">
        <f t="array" ref="AB409">SUM(TablaSupervisores[COSTE]*INDEX(TablaSeleccionSupervisores[],ROW(TablaSeleccionSupervisores[[#This Row],[ORDEN]])-1,_xlfn.XMATCH(TablaSupervisores[REFERENCIA],TablaSeleccionSupervisores[#Headers])))</f>
        <v>22091.899999999998</v>
      </c>
      <c r="AC409" cm="1">
        <f t="array" ref="AC409">SUM(INDEX(TablaSeleccionSupervisores[],ROW(TablaSeleccionSupervisores[[#This Row],[ORDEN]])-1,_xlfn.XMATCH(TablaSupervisores[REFERENCIA],TablaSeleccionSupervisores[#Headers])))</f>
        <v>8</v>
      </c>
      <c r="AD409" t="str" cm="1">
        <f t="array" ref="AD409">IF(INDEX(TablaSeleccionSupervisores[],ROW(TablaSeleccionSupervisores[[#This Row],[ORDEN]])-1,_xlfn.XMATCH("ADMITIDO ADSLITE",TablaSeleccionSupervisores[#Headers])+1)=0,"Sí admitido","No admitido")</f>
        <v>No admitido</v>
      </c>
      <c r="AE409">
        <v>3</v>
      </c>
      <c r="AF409">
        <v>0</v>
      </c>
      <c r="AG409">
        <v>2</v>
      </c>
      <c r="AH409">
        <v>3</v>
      </c>
    </row>
    <row r="410" spans="22:34" x14ac:dyDescent="0.25">
      <c r="V410">
        <v>409</v>
      </c>
      <c r="W410" cm="1">
        <f t="array" ref="W410">SUM(TablaSupervisores[DISPOSITIVOS TOTAL]*INDEX(TablaSeleccionSupervisores[],ROW(TablaSeleccionSupervisores[[#This Row],[ORDEN]])-1,_xlfn.XMATCH(TablaSupervisores[REFERENCIA],TablaSeleccionSupervisores[#Headers])))</f>
        <v>282</v>
      </c>
      <c r="X410" cm="1">
        <f t="array" ref="X410">SUM(TablaSupervisores[DISPOSITIVOS BACNET MS/TP JC]*INDEX(TablaSeleccionSupervisores[],ROW(TablaSeleccionSupervisores[[#This Row],[ORDEN]])-1,_xlfn.XMATCH(TablaSupervisores[REFERENCIA],TablaSeleccionSupervisores[#Headers])))</f>
        <v>212</v>
      </c>
      <c r="Y410" cm="1">
        <f t="array" ref="Y410">SUM(TablaSupervisores[DISPOSITIVOS BACNET MS/TP COMPATIBLES]*INDEX(TablaSeleccionSupervisores[],ROW(TablaSeleccionSupervisores[[#This Row],[ORDEN]])-1,_xlfn.XMATCH(TablaSupervisores[REFERENCIA],TablaSeleccionSupervisores[#Headers])))</f>
        <v>140</v>
      </c>
      <c r="Z410" cm="1">
        <f t="array" ref="Z410">SUM(TablaSupervisores[DISPOSITIVOS BACNET IP]*INDEX(TablaSeleccionSupervisores[],ROW(TablaSeleccionSupervisores[[#This Row],[ORDEN]])-1,_xlfn.XMATCH(TablaSupervisores[REFERENCIA],TablaSeleccionSupervisores[#Headers])))</f>
        <v>430</v>
      </c>
      <c r="AA410" cm="1">
        <f t="array" ref="AA410">SUM(TablaSupervisores[OBJETOS]*INDEX(TablaSeleccionSupervisores[],ROW(TablaSeleccionSupervisores[[#This Row],[ORDEN]])-1,_xlfn.XMATCH(TablaSupervisores[REFERENCIA],TablaSeleccionSupervisores[#Headers])))</f>
        <v>15000</v>
      </c>
      <c r="AB410" s="28" cm="1">
        <f t="array" ref="AB410">SUM(TablaSupervisores[COSTE]*INDEX(TablaSeleccionSupervisores[],ROW(TablaSeleccionSupervisores[[#This Row],[ORDEN]])-1,_xlfn.XMATCH(TablaSupervisores[REFERENCIA],TablaSeleccionSupervisores[#Headers])))</f>
        <v>9080.7400000000016</v>
      </c>
      <c r="AC410" cm="1">
        <f t="array" ref="AC410">SUM(INDEX(TablaSeleccionSupervisores[],ROW(TablaSeleccionSupervisores[[#This Row],[ORDEN]])-1,_xlfn.XMATCH(TablaSupervisores[REFERENCIA],TablaSeleccionSupervisores[#Headers])))</f>
        <v>6</v>
      </c>
      <c r="AD410" t="str" cm="1">
        <f t="array" ref="AD410">IF(INDEX(TablaSeleccionSupervisores[],ROW(TablaSeleccionSupervisores[[#This Row],[ORDEN]])-1,_xlfn.XMATCH("ADMITIDO ADSLITE",TablaSeleccionSupervisores[#Headers])+1)=0,"Sí admitido","No admitido")</f>
        <v>Sí admitido</v>
      </c>
      <c r="AE410">
        <v>0</v>
      </c>
      <c r="AF410">
        <v>1</v>
      </c>
      <c r="AG410">
        <v>2</v>
      </c>
      <c r="AH410">
        <v>3</v>
      </c>
    </row>
    <row r="411" spans="22:34" x14ac:dyDescent="0.25">
      <c r="V411">
        <v>410</v>
      </c>
      <c r="W411" cm="1">
        <f t="array" ref="W411">SUM(TablaSupervisores[DISPOSITIVOS TOTAL]*INDEX(TablaSeleccionSupervisores[],ROW(TablaSeleccionSupervisores[[#This Row],[ORDEN]])-1,_xlfn.XMATCH(TablaSupervisores[REFERENCIA],TablaSeleccionSupervisores[#Headers])))</f>
        <v>882</v>
      </c>
      <c r="X411" cm="1">
        <f t="array" ref="X411">SUM(TablaSupervisores[DISPOSITIVOS BACNET MS/TP JC]*INDEX(TablaSeleccionSupervisores[],ROW(TablaSeleccionSupervisores[[#This Row],[ORDEN]])-1,_xlfn.XMATCH(TablaSupervisores[REFERENCIA],TablaSeleccionSupervisores[#Headers])))</f>
        <v>412</v>
      </c>
      <c r="Y411" cm="1">
        <f t="array" ref="Y411">SUM(TablaSupervisores[DISPOSITIVOS BACNET MS/TP COMPATIBLES]*INDEX(TablaSeleccionSupervisores[],ROW(TablaSeleccionSupervisores[[#This Row],[ORDEN]])-1,_xlfn.XMATCH(TablaSupervisores[REFERENCIA],TablaSeleccionSupervisores[#Headers])))</f>
        <v>268</v>
      </c>
      <c r="Z411" cm="1">
        <f t="array" ref="Z411">SUM(TablaSupervisores[DISPOSITIVOS BACNET IP]*INDEX(TablaSeleccionSupervisores[],ROW(TablaSeleccionSupervisores[[#This Row],[ORDEN]])-1,_xlfn.XMATCH(TablaSupervisores[REFERENCIA],TablaSeleccionSupervisores[#Headers])))</f>
        <v>830</v>
      </c>
      <c r="AA411" cm="1">
        <f t="array" ref="AA411">SUM(TablaSupervisores[OBJETOS]*INDEX(TablaSeleccionSupervisores[],ROW(TablaSeleccionSupervisores[[#This Row],[ORDEN]])-1,_xlfn.XMATCH(TablaSupervisores[REFERENCIA],TablaSeleccionSupervisores[#Headers])))</f>
        <v>20000</v>
      </c>
      <c r="AB411" s="28" cm="1">
        <f t="array" ref="AB411">SUM(TablaSupervisores[COSTE]*INDEX(TablaSeleccionSupervisores[],ROW(TablaSeleccionSupervisores[[#This Row],[ORDEN]])-1,_xlfn.XMATCH(TablaSupervisores[REFERENCIA],TablaSeleccionSupervisores[#Headers])))</f>
        <v>14747.369999999999</v>
      </c>
      <c r="AC411" cm="1">
        <f t="array" ref="AC411">SUM(INDEX(TablaSeleccionSupervisores[],ROW(TablaSeleccionSupervisores[[#This Row],[ORDEN]])-1,_xlfn.XMATCH(TablaSupervisores[REFERENCIA],TablaSeleccionSupervisores[#Headers])))</f>
        <v>7</v>
      </c>
      <c r="AD411" t="str" cm="1">
        <f t="array" ref="AD411">IF(INDEX(TablaSeleccionSupervisores[],ROW(TablaSeleccionSupervisores[[#This Row],[ORDEN]])-1,_xlfn.XMATCH("ADMITIDO ADSLITE",TablaSeleccionSupervisores[#Headers])+1)=0,"Sí admitido","No admitido")</f>
        <v>No admitido</v>
      </c>
      <c r="AE411">
        <v>1</v>
      </c>
      <c r="AF411">
        <v>1</v>
      </c>
      <c r="AG411">
        <v>2</v>
      </c>
      <c r="AH411">
        <v>3</v>
      </c>
    </row>
    <row r="412" spans="22:34" x14ac:dyDescent="0.25">
      <c r="V412">
        <v>411</v>
      </c>
      <c r="W412" cm="1">
        <f t="array" ref="W412">SUM(TablaSupervisores[DISPOSITIVOS TOTAL]*INDEX(TablaSeleccionSupervisores[],ROW(TablaSeleccionSupervisores[[#This Row],[ORDEN]])-1,_xlfn.XMATCH(TablaSupervisores[REFERENCIA],TablaSeleccionSupervisores[#Headers])))</f>
        <v>1482</v>
      </c>
      <c r="X412" cm="1">
        <f t="array" ref="X412">SUM(TablaSupervisores[DISPOSITIVOS BACNET MS/TP JC]*INDEX(TablaSeleccionSupervisores[],ROW(TablaSeleccionSupervisores[[#This Row],[ORDEN]])-1,_xlfn.XMATCH(TablaSupervisores[REFERENCIA],TablaSeleccionSupervisores[#Headers])))</f>
        <v>612</v>
      </c>
      <c r="Y412" cm="1">
        <f t="array" ref="Y412">SUM(TablaSupervisores[DISPOSITIVOS BACNET MS/TP COMPATIBLES]*INDEX(TablaSeleccionSupervisores[],ROW(TablaSeleccionSupervisores[[#This Row],[ORDEN]])-1,_xlfn.XMATCH(TablaSupervisores[REFERENCIA],TablaSeleccionSupervisores[#Headers])))</f>
        <v>396</v>
      </c>
      <c r="Z412" cm="1">
        <f t="array" ref="Z412">SUM(TablaSupervisores[DISPOSITIVOS BACNET IP]*INDEX(TablaSeleccionSupervisores[],ROW(TablaSeleccionSupervisores[[#This Row],[ORDEN]])-1,_xlfn.XMATCH(TablaSupervisores[REFERENCIA],TablaSeleccionSupervisores[#Headers])))</f>
        <v>1230</v>
      </c>
      <c r="AA412" cm="1">
        <f t="array" ref="AA412">SUM(TablaSupervisores[OBJETOS]*INDEX(TablaSeleccionSupervisores[],ROW(TablaSeleccionSupervisores[[#This Row],[ORDEN]])-1,_xlfn.XMATCH(TablaSupervisores[REFERENCIA],TablaSeleccionSupervisores[#Headers])))</f>
        <v>25000</v>
      </c>
      <c r="AB412" s="28" cm="1">
        <f t="array" ref="AB412">SUM(TablaSupervisores[COSTE]*INDEX(TablaSeleccionSupervisores[],ROW(TablaSeleccionSupervisores[[#This Row],[ORDEN]])-1,_xlfn.XMATCH(TablaSupervisores[REFERENCIA],TablaSeleccionSupervisores[#Headers])))</f>
        <v>20414</v>
      </c>
      <c r="AC412" cm="1">
        <f t="array" ref="AC412">SUM(INDEX(TablaSeleccionSupervisores[],ROW(TablaSeleccionSupervisores[[#This Row],[ORDEN]])-1,_xlfn.XMATCH(TablaSupervisores[REFERENCIA],TablaSeleccionSupervisores[#Headers])))</f>
        <v>8</v>
      </c>
      <c r="AD412" t="str" cm="1">
        <f t="array" ref="AD412">IF(INDEX(TablaSeleccionSupervisores[],ROW(TablaSeleccionSupervisores[[#This Row],[ORDEN]])-1,_xlfn.XMATCH("ADMITIDO ADSLITE",TablaSeleccionSupervisores[#Headers])+1)=0,"Sí admitido","No admitido")</f>
        <v>No admitido</v>
      </c>
      <c r="AE412">
        <v>2</v>
      </c>
      <c r="AF412">
        <v>1</v>
      </c>
      <c r="AG412">
        <v>2</v>
      </c>
      <c r="AH412">
        <v>3</v>
      </c>
    </row>
    <row r="413" spans="22:34" x14ac:dyDescent="0.25">
      <c r="V413">
        <v>412</v>
      </c>
      <c r="W413" cm="1">
        <f t="array" ref="W413">SUM(TablaSupervisores[DISPOSITIVOS TOTAL]*INDEX(TablaSeleccionSupervisores[],ROW(TablaSeleccionSupervisores[[#This Row],[ORDEN]])-1,_xlfn.XMATCH(TablaSupervisores[REFERENCIA],TablaSeleccionSupervisores[#Headers])))</f>
        <v>432</v>
      </c>
      <c r="X413" cm="1">
        <f t="array" ref="X413">SUM(TablaSupervisores[DISPOSITIVOS BACNET MS/TP JC]*INDEX(TablaSeleccionSupervisores[],ROW(TablaSeleccionSupervisores[[#This Row],[ORDEN]])-1,_xlfn.XMATCH(TablaSupervisores[REFERENCIA],TablaSeleccionSupervisores[#Headers])))</f>
        <v>312</v>
      </c>
      <c r="Y413" cm="1">
        <f t="array" ref="Y413">SUM(TablaSupervisores[DISPOSITIVOS BACNET MS/TP COMPATIBLES]*INDEX(TablaSeleccionSupervisores[],ROW(TablaSeleccionSupervisores[[#This Row],[ORDEN]])-1,_xlfn.XMATCH(TablaSupervisores[REFERENCIA],TablaSeleccionSupervisores[#Headers])))</f>
        <v>204</v>
      </c>
      <c r="Z413" cm="1">
        <f t="array" ref="Z413">SUM(TablaSupervisores[DISPOSITIVOS BACNET IP]*INDEX(TablaSeleccionSupervisores[],ROW(TablaSeleccionSupervisores[[#This Row],[ORDEN]])-1,_xlfn.XMATCH(TablaSupervisores[REFERENCIA],TablaSeleccionSupervisores[#Headers])))</f>
        <v>630</v>
      </c>
      <c r="AA413" cm="1">
        <f t="array" ref="AA413">SUM(TablaSupervisores[OBJETOS]*INDEX(TablaSeleccionSupervisores[],ROW(TablaSeleccionSupervisores[[#This Row],[ORDEN]])-1,_xlfn.XMATCH(TablaSupervisores[REFERENCIA],TablaSeleccionSupervisores[#Headers])))</f>
        <v>17500</v>
      </c>
      <c r="AB413" s="28" cm="1">
        <f t="array" ref="AB413">SUM(TablaSupervisores[COSTE]*INDEX(TablaSeleccionSupervisores[],ROW(TablaSeleccionSupervisores[[#This Row],[ORDEN]])-1,_xlfn.XMATCH(TablaSupervisores[REFERENCIA],TablaSeleccionSupervisores[#Headers])))</f>
        <v>13069.470000000001</v>
      </c>
      <c r="AC413" cm="1">
        <f t="array" ref="AC413">SUM(INDEX(TablaSeleccionSupervisores[],ROW(TablaSeleccionSupervisores[[#This Row],[ORDEN]])-1,_xlfn.XMATCH(TablaSupervisores[REFERENCIA],TablaSeleccionSupervisores[#Headers])))</f>
        <v>7</v>
      </c>
      <c r="AD413" t="str" cm="1">
        <f t="array" ref="AD413">IF(INDEX(TablaSeleccionSupervisores[],ROW(TablaSeleccionSupervisores[[#This Row],[ORDEN]])-1,_xlfn.XMATCH("ADMITIDO ADSLITE",TablaSeleccionSupervisores[#Headers])+1)=0,"Sí admitido","No admitido")</f>
        <v>Sí admitido</v>
      </c>
      <c r="AE413">
        <v>0</v>
      </c>
      <c r="AF413">
        <v>2</v>
      </c>
      <c r="AG413">
        <v>2</v>
      </c>
      <c r="AH413">
        <v>3</v>
      </c>
    </row>
    <row r="414" spans="22:34" x14ac:dyDescent="0.25">
      <c r="V414">
        <v>413</v>
      </c>
      <c r="W414" cm="1">
        <f t="array" ref="W414">SUM(TablaSupervisores[DISPOSITIVOS TOTAL]*INDEX(TablaSeleccionSupervisores[],ROW(TablaSeleccionSupervisores[[#This Row],[ORDEN]])-1,_xlfn.XMATCH(TablaSupervisores[REFERENCIA],TablaSeleccionSupervisores[#Headers])))</f>
        <v>1032</v>
      </c>
      <c r="X414" cm="1">
        <f t="array" ref="X414">SUM(TablaSupervisores[DISPOSITIVOS BACNET MS/TP JC]*INDEX(TablaSeleccionSupervisores[],ROW(TablaSeleccionSupervisores[[#This Row],[ORDEN]])-1,_xlfn.XMATCH(TablaSupervisores[REFERENCIA],TablaSeleccionSupervisores[#Headers])))</f>
        <v>512</v>
      </c>
      <c r="Y414" cm="1">
        <f t="array" ref="Y414">SUM(TablaSupervisores[DISPOSITIVOS BACNET MS/TP COMPATIBLES]*INDEX(TablaSeleccionSupervisores[],ROW(TablaSeleccionSupervisores[[#This Row],[ORDEN]])-1,_xlfn.XMATCH(TablaSupervisores[REFERENCIA],TablaSeleccionSupervisores[#Headers])))</f>
        <v>332</v>
      </c>
      <c r="Z414" cm="1">
        <f t="array" ref="Z414">SUM(TablaSupervisores[DISPOSITIVOS BACNET IP]*INDEX(TablaSeleccionSupervisores[],ROW(TablaSeleccionSupervisores[[#This Row],[ORDEN]])-1,_xlfn.XMATCH(TablaSupervisores[REFERENCIA],TablaSeleccionSupervisores[#Headers])))</f>
        <v>1030</v>
      </c>
      <c r="AA414" cm="1">
        <f t="array" ref="AA414">SUM(TablaSupervisores[OBJETOS]*INDEX(TablaSeleccionSupervisores[],ROW(TablaSeleccionSupervisores[[#This Row],[ORDEN]])-1,_xlfn.XMATCH(TablaSupervisores[REFERENCIA],TablaSeleccionSupervisores[#Headers])))</f>
        <v>22500</v>
      </c>
      <c r="AB414" s="28" cm="1">
        <f t="array" ref="AB414">SUM(TablaSupervisores[COSTE]*INDEX(TablaSeleccionSupervisores[],ROW(TablaSeleccionSupervisores[[#This Row],[ORDEN]])-1,_xlfn.XMATCH(TablaSupervisores[REFERENCIA],TablaSeleccionSupervisores[#Headers])))</f>
        <v>18736.099999999999</v>
      </c>
      <c r="AC414" cm="1">
        <f t="array" ref="AC414">SUM(INDEX(TablaSeleccionSupervisores[],ROW(TablaSeleccionSupervisores[[#This Row],[ORDEN]])-1,_xlfn.XMATCH(TablaSupervisores[REFERENCIA],TablaSeleccionSupervisores[#Headers])))</f>
        <v>8</v>
      </c>
      <c r="AD414" t="str" cm="1">
        <f t="array" ref="AD414">IF(INDEX(TablaSeleccionSupervisores[],ROW(TablaSeleccionSupervisores[[#This Row],[ORDEN]])-1,_xlfn.XMATCH("ADMITIDO ADSLITE",TablaSeleccionSupervisores[#Headers])+1)=0,"Sí admitido","No admitido")</f>
        <v>No admitido</v>
      </c>
      <c r="AE414">
        <v>1</v>
      </c>
      <c r="AF414">
        <v>2</v>
      </c>
      <c r="AG414">
        <v>2</v>
      </c>
      <c r="AH414">
        <v>3</v>
      </c>
    </row>
    <row r="415" spans="22:34" x14ac:dyDescent="0.25">
      <c r="V415">
        <v>414</v>
      </c>
      <c r="W415" cm="1">
        <f t="array" ref="W415">SUM(TablaSupervisores[DISPOSITIVOS TOTAL]*INDEX(TablaSeleccionSupervisores[],ROW(TablaSeleccionSupervisores[[#This Row],[ORDEN]])-1,_xlfn.XMATCH(TablaSupervisores[REFERENCIA],TablaSeleccionSupervisores[#Headers])))</f>
        <v>582</v>
      </c>
      <c r="X415" cm="1">
        <f t="array" ref="X415">SUM(TablaSupervisores[DISPOSITIVOS BACNET MS/TP JC]*INDEX(TablaSeleccionSupervisores[],ROW(TablaSeleccionSupervisores[[#This Row],[ORDEN]])-1,_xlfn.XMATCH(TablaSupervisores[REFERENCIA],TablaSeleccionSupervisores[#Headers])))</f>
        <v>412</v>
      </c>
      <c r="Y415" cm="1">
        <f t="array" ref="Y415">SUM(TablaSupervisores[DISPOSITIVOS BACNET MS/TP COMPATIBLES]*INDEX(TablaSeleccionSupervisores[],ROW(TablaSeleccionSupervisores[[#This Row],[ORDEN]])-1,_xlfn.XMATCH(TablaSupervisores[REFERENCIA],TablaSeleccionSupervisores[#Headers])))</f>
        <v>268</v>
      </c>
      <c r="Z415" cm="1">
        <f t="array" ref="Z415">SUM(TablaSupervisores[DISPOSITIVOS BACNET IP]*INDEX(TablaSeleccionSupervisores[],ROW(TablaSeleccionSupervisores[[#This Row],[ORDEN]])-1,_xlfn.XMATCH(TablaSupervisores[REFERENCIA],TablaSeleccionSupervisores[#Headers])))</f>
        <v>830</v>
      </c>
      <c r="AA415" cm="1">
        <f t="array" ref="AA415">SUM(TablaSupervisores[OBJETOS]*INDEX(TablaSeleccionSupervisores[],ROW(TablaSeleccionSupervisores[[#This Row],[ORDEN]])-1,_xlfn.XMATCH(TablaSupervisores[REFERENCIA],TablaSeleccionSupervisores[#Headers])))</f>
        <v>20000</v>
      </c>
      <c r="AB415" s="28" cm="1">
        <f t="array" ref="AB415">SUM(TablaSupervisores[COSTE]*INDEX(TablaSeleccionSupervisores[],ROW(TablaSeleccionSupervisores[[#This Row],[ORDEN]])-1,_xlfn.XMATCH(TablaSupervisores[REFERENCIA],TablaSeleccionSupervisores[#Headers])))</f>
        <v>17058.2</v>
      </c>
      <c r="AC415" cm="1">
        <f t="array" ref="AC415">SUM(INDEX(TablaSeleccionSupervisores[],ROW(TablaSeleccionSupervisores[[#This Row],[ORDEN]])-1,_xlfn.XMATCH(TablaSupervisores[REFERENCIA],TablaSeleccionSupervisores[#Headers])))</f>
        <v>8</v>
      </c>
      <c r="AD415" t="str" cm="1">
        <f t="array" ref="AD415">IF(INDEX(TablaSeleccionSupervisores[],ROW(TablaSeleccionSupervisores[[#This Row],[ORDEN]])-1,_xlfn.XMATCH("ADMITIDO ADSLITE",TablaSeleccionSupervisores[#Headers])+1)=0,"Sí admitido","No admitido")</f>
        <v>Sí admitido</v>
      </c>
      <c r="AE415">
        <v>0</v>
      </c>
      <c r="AF415">
        <v>3</v>
      </c>
      <c r="AG415">
        <v>2</v>
      </c>
      <c r="AH415">
        <v>3</v>
      </c>
    </row>
    <row r="416" spans="22:34" x14ac:dyDescent="0.25">
      <c r="V416">
        <v>415</v>
      </c>
      <c r="W416" cm="1">
        <f t="array" ref="W416">SUM(TablaSupervisores[DISPOSITIVOS TOTAL]*INDEX(TablaSeleccionSupervisores[],ROW(TablaSeleccionSupervisores[[#This Row],[ORDEN]])-1,_xlfn.XMATCH(TablaSupervisores[REFERENCIA],TablaSeleccionSupervisores[#Headers])))</f>
        <v>192</v>
      </c>
      <c r="X416" cm="1">
        <f t="array" ref="X416">SUM(TablaSupervisores[DISPOSITIVOS BACNET MS/TP JC]*INDEX(TablaSeleccionSupervisores[],ROW(TablaSeleccionSupervisores[[#This Row],[ORDEN]])-1,_xlfn.XMATCH(TablaSupervisores[REFERENCIA],TablaSeleccionSupervisores[#Headers])))</f>
        <v>162</v>
      </c>
      <c r="Y416" cm="1">
        <f t="array" ref="Y416">SUM(TablaSupervisores[DISPOSITIVOS BACNET MS/TP COMPATIBLES]*INDEX(TablaSeleccionSupervisores[],ROW(TablaSeleccionSupervisores[[#This Row],[ORDEN]])-1,_xlfn.XMATCH(TablaSupervisores[REFERENCIA],TablaSeleccionSupervisores[#Headers])))</f>
        <v>108</v>
      </c>
      <c r="Z416" cm="1">
        <f t="array" ref="Z416">SUM(TablaSupervisores[DISPOSITIVOS BACNET IP]*INDEX(TablaSeleccionSupervisores[],ROW(TablaSeleccionSupervisores[[#This Row],[ORDEN]])-1,_xlfn.XMATCH(TablaSupervisores[REFERENCIA],TablaSeleccionSupervisores[#Headers])))</f>
        <v>330</v>
      </c>
      <c r="AA416" cm="1">
        <f t="array" ref="AA416">SUM(TablaSupervisores[OBJETOS]*INDEX(TablaSeleccionSupervisores[],ROW(TablaSeleccionSupervisores[[#This Row],[ORDEN]])-1,_xlfn.XMATCH(TablaSupervisores[REFERENCIA],TablaSeleccionSupervisores[#Headers])))</f>
        <v>15000</v>
      </c>
      <c r="AB416" s="28" cm="1">
        <f t="array" ref="AB416">SUM(TablaSupervisores[COSTE]*INDEX(TablaSeleccionSupervisores[],ROW(TablaSeleccionSupervisores[[#This Row],[ORDEN]])-1,_xlfn.XMATCH(TablaSupervisores[REFERENCIA],TablaSeleccionSupervisores[#Headers])))</f>
        <v>6515.4900000000007</v>
      </c>
      <c r="AC416" cm="1">
        <f t="array" ref="AC416">SUM(INDEX(TablaSeleccionSupervisores[],ROW(TablaSeleccionSupervisores[[#This Row],[ORDEN]])-1,_xlfn.XMATCH(TablaSupervisores[REFERENCIA],TablaSeleccionSupervisores[#Headers])))</f>
        <v>6</v>
      </c>
      <c r="AD416" t="str" cm="1">
        <f t="array" ref="AD416">IF(INDEX(TablaSeleccionSupervisores[],ROW(TablaSeleccionSupervisores[[#This Row],[ORDEN]])-1,_xlfn.XMATCH("ADMITIDO ADSLITE",TablaSeleccionSupervisores[#Headers])+1)=0,"Sí admitido","No admitido")</f>
        <v>Sí admitido</v>
      </c>
      <c r="AE416">
        <v>0</v>
      </c>
      <c r="AF416">
        <v>0</v>
      </c>
      <c r="AG416">
        <v>3</v>
      </c>
      <c r="AH416">
        <v>3</v>
      </c>
    </row>
    <row r="417" spans="22:34" x14ac:dyDescent="0.25">
      <c r="V417">
        <v>416</v>
      </c>
      <c r="W417" cm="1">
        <f t="array" ref="W417">SUM(TablaSupervisores[DISPOSITIVOS TOTAL]*INDEX(TablaSeleccionSupervisores[],ROW(TablaSeleccionSupervisores[[#This Row],[ORDEN]])-1,_xlfn.XMATCH(TablaSupervisores[REFERENCIA],TablaSeleccionSupervisores[#Headers])))</f>
        <v>792</v>
      </c>
      <c r="X417" cm="1">
        <f t="array" ref="X417">SUM(TablaSupervisores[DISPOSITIVOS BACNET MS/TP JC]*INDEX(TablaSeleccionSupervisores[],ROW(TablaSeleccionSupervisores[[#This Row],[ORDEN]])-1,_xlfn.XMATCH(TablaSupervisores[REFERENCIA],TablaSeleccionSupervisores[#Headers])))</f>
        <v>362</v>
      </c>
      <c r="Y417" cm="1">
        <f t="array" ref="Y417">SUM(TablaSupervisores[DISPOSITIVOS BACNET MS/TP COMPATIBLES]*INDEX(TablaSeleccionSupervisores[],ROW(TablaSeleccionSupervisores[[#This Row],[ORDEN]])-1,_xlfn.XMATCH(TablaSupervisores[REFERENCIA],TablaSeleccionSupervisores[#Headers])))</f>
        <v>236</v>
      </c>
      <c r="Z417" cm="1">
        <f t="array" ref="Z417">SUM(TablaSupervisores[DISPOSITIVOS BACNET IP]*INDEX(TablaSeleccionSupervisores[],ROW(TablaSeleccionSupervisores[[#This Row],[ORDEN]])-1,_xlfn.XMATCH(TablaSupervisores[REFERENCIA],TablaSeleccionSupervisores[#Headers])))</f>
        <v>730</v>
      </c>
      <c r="AA417" cm="1">
        <f t="array" ref="AA417">SUM(TablaSupervisores[OBJETOS]*INDEX(TablaSeleccionSupervisores[],ROW(TablaSeleccionSupervisores[[#This Row],[ORDEN]])-1,_xlfn.XMATCH(TablaSupervisores[REFERENCIA],TablaSeleccionSupervisores[#Headers])))</f>
        <v>20000</v>
      </c>
      <c r="AB417" s="28" cm="1">
        <f t="array" ref="AB417">SUM(TablaSupervisores[COSTE]*INDEX(TablaSeleccionSupervisores[],ROW(TablaSeleccionSupervisores[[#This Row],[ORDEN]])-1,_xlfn.XMATCH(TablaSupervisores[REFERENCIA],TablaSeleccionSupervisores[#Headers])))</f>
        <v>12182.119999999999</v>
      </c>
      <c r="AC417" cm="1">
        <f t="array" ref="AC417">SUM(INDEX(TablaSeleccionSupervisores[],ROW(TablaSeleccionSupervisores[[#This Row],[ORDEN]])-1,_xlfn.XMATCH(TablaSupervisores[REFERENCIA],TablaSeleccionSupervisores[#Headers])))</f>
        <v>7</v>
      </c>
      <c r="AD417" t="str" cm="1">
        <f t="array" ref="AD417">IF(INDEX(TablaSeleccionSupervisores[],ROW(TablaSeleccionSupervisores[[#This Row],[ORDEN]])-1,_xlfn.XMATCH("ADMITIDO ADSLITE",TablaSeleccionSupervisores[#Headers])+1)=0,"Sí admitido","No admitido")</f>
        <v>No admitido</v>
      </c>
      <c r="AE417">
        <v>1</v>
      </c>
      <c r="AF417">
        <v>0</v>
      </c>
      <c r="AG417">
        <v>3</v>
      </c>
      <c r="AH417">
        <v>3</v>
      </c>
    </row>
    <row r="418" spans="22:34" x14ac:dyDescent="0.25">
      <c r="V418">
        <v>417</v>
      </c>
      <c r="W418" cm="1">
        <f t="array" ref="W418">SUM(TablaSupervisores[DISPOSITIVOS TOTAL]*INDEX(TablaSeleccionSupervisores[],ROW(TablaSeleccionSupervisores[[#This Row],[ORDEN]])-1,_xlfn.XMATCH(TablaSupervisores[REFERENCIA],TablaSeleccionSupervisores[#Headers])))</f>
        <v>1392</v>
      </c>
      <c r="X418" cm="1">
        <f t="array" ref="X418">SUM(TablaSupervisores[DISPOSITIVOS BACNET MS/TP JC]*INDEX(TablaSeleccionSupervisores[],ROW(TablaSeleccionSupervisores[[#This Row],[ORDEN]])-1,_xlfn.XMATCH(TablaSupervisores[REFERENCIA],TablaSeleccionSupervisores[#Headers])))</f>
        <v>562</v>
      </c>
      <c r="Y418" cm="1">
        <f t="array" ref="Y418">SUM(TablaSupervisores[DISPOSITIVOS BACNET MS/TP COMPATIBLES]*INDEX(TablaSeleccionSupervisores[],ROW(TablaSeleccionSupervisores[[#This Row],[ORDEN]])-1,_xlfn.XMATCH(TablaSupervisores[REFERENCIA],TablaSeleccionSupervisores[#Headers])))</f>
        <v>364</v>
      </c>
      <c r="Z418" cm="1">
        <f t="array" ref="Z418">SUM(TablaSupervisores[DISPOSITIVOS BACNET IP]*INDEX(TablaSeleccionSupervisores[],ROW(TablaSeleccionSupervisores[[#This Row],[ORDEN]])-1,_xlfn.XMATCH(TablaSupervisores[REFERENCIA],TablaSeleccionSupervisores[#Headers])))</f>
        <v>1130</v>
      </c>
      <c r="AA418" cm="1">
        <f t="array" ref="AA418">SUM(TablaSupervisores[OBJETOS]*INDEX(TablaSeleccionSupervisores[],ROW(TablaSeleccionSupervisores[[#This Row],[ORDEN]])-1,_xlfn.XMATCH(TablaSupervisores[REFERENCIA],TablaSeleccionSupervisores[#Headers])))</f>
        <v>25000</v>
      </c>
      <c r="AB418" s="28" cm="1">
        <f t="array" ref="AB418">SUM(TablaSupervisores[COSTE]*INDEX(TablaSeleccionSupervisores[],ROW(TablaSeleccionSupervisores[[#This Row],[ORDEN]])-1,_xlfn.XMATCH(TablaSupervisores[REFERENCIA],TablaSeleccionSupervisores[#Headers])))</f>
        <v>17848.75</v>
      </c>
      <c r="AC418" cm="1">
        <f t="array" ref="AC418">SUM(INDEX(TablaSeleccionSupervisores[],ROW(TablaSeleccionSupervisores[[#This Row],[ORDEN]])-1,_xlfn.XMATCH(TablaSupervisores[REFERENCIA],TablaSeleccionSupervisores[#Headers])))</f>
        <v>8</v>
      </c>
      <c r="AD418" t="str" cm="1">
        <f t="array" ref="AD418">IF(INDEX(TablaSeleccionSupervisores[],ROW(TablaSeleccionSupervisores[[#This Row],[ORDEN]])-1,_xlfn.XMATCH("ADMITIDO ADSLITE",TablaSeleccionSupervisores[#Headers])+1)=0,"Sí admitido","No admitido")</f>
        <v>No admitido</v>
      </c>
      <c r="AE418">
        <v>2</v>
      </c>
      <c r="AF418">
        <v>0</v>
      </c>
      <c r="AG418">
        <v>3</v>
      </c>
      <c r="AH418">
        <v>3</v>
      </c>
    </row>
    <row r="419" spans="22:34" x14ac:dyDescent="0.25">
      <c r="V419">
        <v>418</v>
      </c>
      <c r="W419" cm="1">
        <f t="array" ref="W419">SUM(TablaSupervisores[DISPOSITIVOS TOTAL]*INDEX(TablaSeleccionSupervisores[],ROW(TablaSeleccionSupervisores[[#This Row],[ORDEN]])-1,_xlfn.XMATCH(TablaSupervisores[REFERENCIA],TablaSeleccionSupervisores[#Headers])))</f>
        <v>342</v>
      </c>
      <c r="X419" cm="1">
        <f t="array" ref="X419">SUM(TablaSupervisores[DISPOSITIVOS BACNET MS/TP JC]*INDEX(TablaSeleccionSupervisores[],ROW(TablaSeleccionSupervisores[[#This Row],[ORDEN]])-1,_xlfn.XMATCH(TablaSupervisores[REFERENCIA],TablaSeleccionSupervisores[#Headers])))</f>
        <v>262</v>
      </c>
      <c r="Y419" cm="1">
        <f t="array" ref="Y419">SUM(TablaSupervisores[DISPOSITIVOS BACNET MS/TP COMPATIBLES]*INDEX(TablaSeleccionSupervisores[],ROW(TablaSeleccionSupervisores[[#This Row],[ORDEN]])-1,_xlfn.XMATCH(TablaSupervisores[REFERENCIA],TablaSeleccionSupervisores[#Headers])))</f>
        <v>172</v>
      </c>
      <c r="Z419" cm="1">
        <f t="array" ref="Z419">SUM(TablaSupervisores[DISPOSITIVOS BACNET IP]*INDEX(TablaSeleccionSupervisores[],ROW(TablaSeleccionSupervisores[[#This Row],[ORDEN]])-1,_xlfn.XMATCH(TablaSupervisores[REFERENCIA],TablaSeleccionSupervisores[#Headers])))</f>
        <v>530</v>
      </c>
      <c r="AA419" cm="1">
        <f t="array" ref="AA419">SUM(TablaSupervisores[OBJETOS]*INDEX(TablaSeleccionSupervisores[],ROW(TablaSeleccionSupervisores[[#This Row],[ORDEN]])-1,_xlfn.XMATCH(TablaSupervisores[REFERENCIA],TablaSeleccionSupervisores[#Headers])))</f>
        <v>17500</v>
      </c>
      <c r="AB419" s="28" cm="1">
        <f t="array" ref="AB419">SUM(TablaSupervisores[COSTE]*INDEX(TablaSeleccionSupervisores[],ROW(TablaSeleccionSupervisores[[#This Row],[ORDEN]])-1,_xlfn.XMATCH(TablaSupervisores[REFERENCIA],TablaSeleccionSupervisores[#Headers])))</f>
        <v>10504.220000000001</v>
      </c>
      <c r="AC419" cm="1">
        <f t="array" ref="AC419">SUM(INDEX(TablaSeleccionSupervisores[],ROW(TablaSeleccionSupervisores[[#This Row],[ORDEN]])-1,_xlfn.XMATCH(TablaSupervisores[REFERENCIA],TablaSeleccionSupervisores[#Headers])))</f>
        <v>7</v>
      </c>
      <c r="AD419" t="str" cm="1">
        <f t="array" ref="AD419">IF(INDEX(TablaSeleccionSupervisores[],ROW(TablaSeleccionSupervisores[[#This Row],[ORDEN]])-1,_xlfn.XMATCH("ADMITIDO ADSLITE",TablaSeleccionSupervisores[#Headers])+1)=0,"Sí admitido","No admitido")</f>
        <v>Sí admitido</v>
      </c>
      <c r="AE419">
        <v>0</v>
      </c>
      <c r="AF419">
        <v>1</v>
      </c>
      <c r="AG419">
        <v>3</v>
      </c>
      <c r="AH419">
        <v>3</v>
      </c>
    </row>
    <row r="420" spans="22:34" x14ac:dyDescent="0.25">
      <c r="V420">
        <v>419</v>
      </c>
      <c r="W420" cm="1">
        <f t="array" ref="W420">SUM(TablaSupervisores[DISPOSITIVOS TOTAL]*INDEX(TablaSeleccionSupervisores[],ROW(TablaSeleccionSupervisores[[#This Row],[ORDEN]])-1,_xlfn.XMATCH(TablaSupervisores[REFERENCIA],TablaSeleccionSupervisores[#Headers])))</f>
        <v>942</v>
      </c>
      <c r="X420" cm="1">
        <f t="array" ref="X420">SUM(TablaSupervisores[DISPOSITIVOS BACNET MS/TP JC]*INDEX(TablaSeleccionSupervisores[],ROW(TablaSeleccionSupervisores[[#This Row],[ORDEN]])-1,_xlfn.XMATCH(TablaSupervisores[REFERENCIA],TablaSeleccionSupervisores[#Headers])))</f>
        <v>462</v>
      </c>
      <c r="Y420" cm="1">
        <f t="array" ref="Y420">SUM(TablaSupervisores[DISPOSITIVOS BACNET MS/TP COMPATIBLES]*INDEX(TablaSeleccionSupervisores[],ROW(TablaSeleccionSupervisores[[#This Row],[ORDEN]])-1,_xlfn.XMATCH(TablaSupervisores[REFERENCIA],TablaSeleccionSupervisores[#Headers])))</f>
        <v>300</v>
      </c>
      <c r="Z420" cm="1">
        <f t="array" ref="Z420">SUM(TablaSupervisores[DISPOSITIVOS BACNET IP]*INDEX(TablaSeleccionSupervisores[],ROW(TablaSeleccionSupervisores[[#This Row],[ORDEN]])-1,_xlfn.XMATCH(TablaSupervisores[REFERENCIA],TablaSeleccionSupervisores[#Headers])))</f>
        <v>930</v>
      </c>
      <c r="AA420" cm="1">
        <f t="array" ref="AA420">SUM(TablaSupervisores[OBJETOS]*INDEX(TablaSeleccionSupervisores[],ROW(TablaSeleccionSupervisores[[#This Row],[ORDEN]])-1,_xlfn.XMATCH(TablaSupervisores[REFERENCIA],TablaSeleccionSupervisores[#Headers])))</f>
        <v>22500</v>
      </c>
      <c r="AB420" s="28" cm="1">
        <f t="array" ref="AB420">SUM(TablaSupervisores[COSTE]*INDEX(TablaSeleccionSupervisores[],ROW(TablaSeleccionSupervisores[[#This Row],[ORDEN]])-1,_xlfn.XMATCH(TablaSupervisores[REFERENCIA],TablaSeleccionSupervisores[#Headers])))</f>
        <v>16170.850000000002</v>
      </c>
      <c r="AC420" cm="1">
        <f t="array" ref="AC420">SUM(INDEX(TablaSeleccionSupervisores[],ROW(TablaSeleccionSupervisores[[#This Row],[ORDEN]])-1,_xlfn.XMATCH(TablaSupervisores[REFERENCIA],TablaSeleccionSupervisores[#Headers])))</f>
        <v>8</v>
      </c>
      <c r="AD420" t="str" cm="1">
        <f t="array" ref="AD420">IF(INDEX(TablaSeleccionSupervisores[],ROW(TablaSeleccionSupervisores[[#This Row],[ORDEN]])-1,_xlfn.XMATCH("ADMITIDO ADSLITE",TablaSeleccionSupervisores[#Headers])+1)=0,"Sí admitido","No admitido")</f>
        <v>No admitido</v>
      </c>
      <c r="AE420">
        <v>1</v>
      </c>
      <c r="AF420">
        <v>1</v>
      </c>
      <c r="AG420">
        <v>3</v>
      </c>
      <c r="AH420">
        <v>3</v>
      </c>
    </row>
    <row r="421" spans="22:34" x14ac:dyDescent="0.25">
      <c r="V421">
        <v>420</v>
      </c>
      <c r="W421" cm="1">
        <f t="array" ref="W421">SUM(TablaSupervisores[DISPOSITIVOS TOTAL]*INDEX(TablaSeleccionSupervisores[],ROW(TablaSeleccionSupervisores[[#This Row],[ORDEN]])-1,_xlfn.XMATCH(TablaSupervisores[REFERENCIA],TablaSeleccionSupervisores[#Headers])))</f>
        <v>492</v>
      </c>
      <c r="X421" cm="1">
        <f t="array" ref="X421">SUM(TablaSupervisores[DISPOSITIVOS BACNET MS/TP JC]*INDEX(TablaSeleccionSupervisores[],ROW(TablaSeleccionSupervisores[[#This Row],[ORDEN]])-1,_xlfn.XMATCH(TablaSupervisores[REFERENCIA],TablaSeleccionSupervisores[#Headers])))</f>
        <v>362</v>
      </c>
      <c r="Y421" cm="1">
        <f t="array" ref="Y421">SUM(TablaSupervisores[DISPOSITIVOS BACNET MS/TP COMPATIBLES]*INDEX(TablaSeleccionSupervisores[],ROW(TablaSeleccionSupervisores[[#This Row],[ORDEN]])-1,_xlfn.XMATCH(TablaSupervisores[REFERENCIA],TablaSeleccionSupervisores[#Headers])))</f>
        <v>236</v>
      </c>
      <c r="Z421" cm="1">
        <f t="array" ref="Z421">SUM(TablaSupervisores[DISPOSITIVOS BACNET IP]*INDEX(TablaSeleccionSupervisores[],ROW(TablaSeleccionSupervisores[[#This Row],[ORDEN]])-1,_xlfn.XMATCH(TablaSupervisores[REFERENCIA],TablaSeleccionSupervisores[#Headers])))</f>
        <v>730</v>
      </c>
      <c r="AA421" cm="1">
        <f t="array" ref="AA421">SUM(TablaSupervisores[OBJETOS]*INDEX(TablaSeleccionSupervisores[],ROW(TablaSeleccionSupervisores[[#This Row],[ORDEN]])-1,_xlfn.XMATCH(TablaSupervisores[REFERENCIA],TablaSeleccionSupervisores[#Headers])))</f>
        <v>20000</v>
      </c>
      <c r="AB421" s="28" cm="1">
        <f t="array" ref="AB421">SUM(TablaSupervisores[COSTE]*INDEX(TablaSeleccionSupervisores[],ROW(TablaSeleccionSupervisores[[#This Row],[ORDEN]])-1,_xlfn.XMATCH(TablaSupervisores[REFERENCIA],TablaSeleccionSupervisores[#Headers])))</f>
        <v>14492.95</v>
      </c>
      <c r="AC421" cm="1">
        <f t="array" ref="AC421">SUM(INDEX(TablaSeleccionSupervisores[],ROW(TablaSeleccionSupervisores[[#This Row],[ORDEN]])-1,_xlfn.XMATCH(TablaSupervisores[REFERENCIA],TablaSeleccionSupervisores[#Headers])))</f>
        <v>8</v>
      </c>
      <c r="AD421" t="str" cm="1">
        <f t="array" ref="AD421">IF(INDEX(TablaSeleccionSupervisores[],ROW(TablaSeleccionSupervisores[[#This Row],[ORDEN]])-1,_xlfn.XMATCH("ADMITIDO ADSLITE",TablaSeleccionSupervisores[#Headers])+1)=0,"Sí admitido","No admitido")</f>
        <v>Sí admitido</v>
      </c>
      <c r="AE421">
        <v>0</v>
      </c>
      <c r="AF421">
        <v>2</v>
      </c>
      <c r="AG421">
        <v>3</v>
      </c>
      <c r="AH421">
        <v>3</v>
      </c>
    </row>
    <row r="422" spans="22:34" x14ac:dyDescent="0.25">
      <c r="V422">
        <v>421</v>
      </c>
      <c r="W422" cm="1">
        <f t="array" ref="W422">SUM(TablaSupervisores[DISPOSITIVOS TOTAL]*INDEX(TablaSeleccionSupervisores[],ROW(TablaSeleccionSupervisores[[#This Row],[ORDEN]])-1,_xlfn.XMATCH(TablaSupervisores[REFERENCIA],TablaSeleccionSupervisores[#Headers])))</f>
        <v>252</v>
      </c>
      <c r="X422" cm="1">
        <f t="array" ref="X422">SUM(TablaSupervisores[DISPOSITIVOS BACNET MS/TP JC]*INDEX(TablaSeleccionSupervisores[],ROW(TablaSeleccionSupervisores[[#This Row],[ORDEN]])-1,_xlfn.XMATCH(TablaSupervisores[REFERENCIA],TablaSeleccionSupervisores[#Headers])))</f>
        <v>212</v>
      </c>
      <c r="Y422" cm="1">
        <f t="array" ref="Y422">SUM(TablaSupervisores[DISPOSITIVOS BACNET MS/TP COMPATIBLES]*INDEX(TablaSeleccionSupervisores[],ROW(TablaSeleccionSupervisores[[#This Row],[ORDEN]])-1,_xlfn.XMATCH(TablaSupervisores[REFERENCIA],TablaSeleccionSupervisores[#Headers])))</f>
        <v>140</v>
      </c>
      <c r="Z422" cm="1">
        <f t="array" ref="Z422">SUM(TablaSupervisores[DISPOSITIVOS BACNET IP]*INDEX(TablaSeleccionSupervisores[],ROW(TablaSeleccionSupervisores[[#This Row],[ORDEN]])-1,_xlfn.XMATCH(TablaSupervisores[REFERENCIA],TablaSeleccionSupervisores[#Headers])))</f>
        <v>430</v>
      </c>
      <c r="AA422" cm="1">
        <f t="array" ref="AA422">SUM(TablaSupervisores[OBJETOS]*INDEX(TablaSeleccionSupervisores[],ROW(TablaSeleccionSupervisores[[#This Row],[ORDEN]])-1,_xlfn.XMATCH(TablaSupervisores[REFERENCIA],TablaSeleccionSupervisores[#Headers])))</f>
        <v>17500</v>
      </c>
      <c r="AB422" s="28" cm="1">
        <f t="array" ref="AB422">SUM(TablaSupervisores[COSTE]*INDEX(TablaSeleccionSupervisores[],ROW(TablaSeleccionSupervisores[[#This Row],[ORDEN]])-1,_xlfn.XMATCH(TablaSupervisores[REFERENCIA],TablaSeleccionSupervisores[#Headers])))</f>
        <v>7938.97</v>
      </c>
      <c r="AC422" cm="1">
        <f t="array" ref="AC422">SUM(INDEX(TablaSeleccionSupervisores[],ROW(TablaSeleccionSupervisores[[#This Row],[ORDEN]])-1,_xlfn.XMATCH(TablaSupervisores[REFERENCIA],TablaSeleccionSupervisores[#Headers])))</f>
        <v>7</v>
      </c>
      <c r="AD422" t="str" cm="1">
        <f t="array" ref="AD422">IF(INDEX(TablaSeleccionSupervisores[],ROW(TablaSeleccionSupervisores[[#This Row],[ORDEN]])-1,_xlfn.XMATCH("ADMITIDO ADSLITE",TablaSeleccionSupervisores[#Headers])+1)=0,"Sí admitido","No admitido")</f>
        <v>Sí admitido</v>
      </c>
      <c r="AE422">
        <v>0</v>
      </c>
      <c r="AF422">
        <v>0</v>
      </c>
      <c r="AG422">
        <v>4</v>
      </c>
      <c r="AH422">
        <v>3</v>
      </c>
    </row>
    <row r="423" spans="22:34" x14ac:dyDescent="0.25">
      <c r="V423">
        <v>422</v>
      </c>
      <c r="W423" cm="1">
        <f t="array" ref="W423">SUM(TablaSupervisores[DISPOSITIVOS TOTAL]*INDEX(TablaSeleccionSupervisores[],ROW(TablaSeleccionSupervisores[[#This Row],[ORDEN]])-1,_xlfn.XMATCH(TablaSupervisores[REFERENCIA],TablaSeleccionSupervisores[#Headers])))</f>
        <v>852</v>
      </c>
      <c r="X423" cm="1">
        <f t="array" ref="X423">SUM(TablaSupervisores[DISPOSITIVOS BACNET MS/TP JC]*INDEX(TablaSeleccionSupervisores[],ROW(TablaSeleccionSupervisores[[#This Row],[ORDEN]])-1,_xlfn.XMATCH(TablaSupervisores[REFERENCIA],TablaSeleccionSupervisores[#Headers])))</f>
        <v>412</v>
      </c>
      <c r="Y423" cm="1">
        <f t="array" ref="Y423">SUM(TablaSupervisores[DISPOSITIVOS BACNET MS/TP COMPATIBLES]*INDEX(TablaSeleccionSupervisores[],ROW(TablaSeleccionSupervisores[[#This Row],[ORDEN]])-1,_xlfn.XMATCH(TablaSupervisores[REFERENCIA],TablaSeleccionSupervisores[#Headers])))</f>
        <v>268</v>
      </c>
      <c r="Z423" cm="1">
        <f t="array" ref="Z423">SUM(TablaSupervisores[DISPOSITIVOS BACNET IP]*INDEX(TablaSeleccionSupervisores[],ROW(TablaSeleccionSupervisores[[#This Row],[ORDEN]])-1,_xlfn.XMATCH(TablaSupervisores[REFERENCIA],TablaSeleccionSupervisores[#Headers])))</f>
        <v>830</v>
      </c>
      <c r="AA423" cm="1">
        <f t="array" ref="AA423">SUM(TablaSupervisores[OBJETOS]*INDEX(TablaSeleccionSupervisores[],ROW(TablaSeleccionSupervisores[[#This Row],[ORDEN]])-1,_xlfn.XMATCH(TablaSupervisores[REFERENCIA],TablaSeleccionSupervisores[#Headers])))</f>
        <v>22500</v>
      </c>
      <c r="AB423" s="28" cm="1">
        <f t="array" ref="AB423">SUM(TablaSupervisores[COSTE]*INDEX(TablaSeleccionSupervisores[],ROW(TablaSeleccionSupervisores[[#This Row],[ORDEN]])-1,_xlfn.XMATCH(TablaSupervisores[REFERENCIA],TablaSeleccionSupervisores[#Headers])))</f>
        <v>13605.599999999999</v>
      </c>
      <c r="AC423" cm="1">
        <f t="array" ref="AC423">SUM(INDEX(TablaSeleccionSupervisores[],ROW(TablaSeleccionSupervisores[[#This Row],[ORDEN]])-1,_xlfn.XMATCH(TablaSupervisores[REFERENCIA],TablaSeleccionSupervisores[#Headers])))</f>
        <v>8</v>
      </c>
      <c r="AD423" t="str" cm="1">
        <f t="array" ref="AD423">IF(INDEX(TablaSeleccionSupervisores[],ROW(TablaSeleccionSupervisores[[#This Row],[ORDEN]])-1,_xlfn.XMATCH("ADMITIDO ADSLITE",TablaSeleccionSupervisores[#Headers])+1)=0,"Sí admitido","No admitido")</f>
        <v>No admitido</v>
      </c>
      <c r="AE423">
        <v>1</v>
      </c>
      <c r="AF423">
        <v>0</v>
      </c>
      <c r="AG423">
        <v>4</v>
      </c>
      <c r="AH423">
        <v>3</v>
      </c>
    </row>
    <row r="424" spans="22:34" x14ac:dyDescent="0.25">
      <c r="V424">
        <v>423</v>
      </c>
      <c r="W424" cm="1">
        <f t="array" ref="W424">SUM(TablaSupervisores[DISPOSITIVOS TOTAL]*INDEX(TablaSeleccionSupervisores[],ROW(TablaSeleccionSupervisores[[#This Row],[ORDEN]])-1,_xlfn.XMATCH(TablaSupervisores[REFERENCIA],TablaSeleccionSupervisores[#Headers])))</f>
        <v>402</v>
      </c>
      <c r="X424" cm="1">
        <f t="array" ref="X424">SUM(TablaSupervisores[DISPOSITIVOS BACNET MS/TP JC]*INDEX(TablaSeleccionSupervisores[],ROW(TablaSeleccionSupervisores[[#This Row],[ORDEN]])-1,_xlfn.XMATCH(TablaSupervisores[REFERENCIA],TablaSeleccionSupervisores[#Headers])))</f>
        <v>312</v>
      </c>
      <c r="Y424" cm="1">
        <f t="array" ref="Y424">SUM(TablaSupervisores[DISPOSITIVOS BACNET MS/TP COMPATIBLES]*INDEX(TablaSeleccionSupervisores[],ROW(TablaSeleccionSupervisores[[#This Row],[ORDEN]])-1,_xlfn.XMATCH(TablaSupervisores[REFERENCIA],TablaSeleccionSupervisores[#Headers])))</f>
        <v>204</v>
      </c>
      <c r="Z424" cm="1">
        <f t="array" ref="Z424">SUM(TablaSupervisores[DISPOSITIVOS BACNET IP]*INDEX(TablaSeleccionSupervisores[],ROW(TablaSeleccionSupervisores[[#This Row],[ORDEN]])-1,_xlfn.XMATCH(TablaSupervisores[REFERENCIA],TablaSeleccionSupervisores[#Headers])))</f>
        <v>630</v>
      </c>
      <c r="AA424" cm="1">
        <f t="array" ref="AA424">SUM(TablaSupervisores[OBJETOS]*INDEX(TablaSeleccionSupervisores[],ROW(TablaSeleccionSupervisores[[#This Row],[ORDEN]])-1,_xlfn.XMATCH(TablaSupervisores[REFERENCIA],TablaSeleccionSupervisores[#Headers])))</f>
        <v>20000</v>
      </c>
      <c r="AB424" s="28" cm="1">
        <f t="array" ref="AB424">SUM(TablaSupervisores[COSTE]*INDEX(TablaSeleccionSupervisores[],ROW(TablaSeleccionSupervisores[[#This Row],[ORDEN]])-1,_xlfn.XMATCH(TablaSupervisores[REFERENCIA],TablaSeleccionSupervisores[#Headers])))</f>
        <v>11927.7</v>
      </c>
      <c r="AC424" cm="1">
        <f t="array" ref="AC424">SUM(INDEX(TablaSeleccionSupervisores[],ROW(TablaSeleccionSupervisores[[#This Row],[ORDEN]])-1,_xlfn.XMATCH(TablaSupervisores[REFERENCIA],TablaSeleccionSupervisores[#Headers])))</f>
        <v>8</v>
      </c>
      <c r="AD424" t="str" cm="1">
        <f t="array" ref="AD424">IF(INDEX(TablaSeleccionSupervisores[],ROW(TablaSeleccionSupervisores[[#This Row],[ORDEN]])-1,_xlfn.XMATCH("ADMITIDO ADSLITE",TablaSeleccionSupervisores[#Headers])+1)=0,"Sí admitido","No admitido")</f>
        <v>Sí admitido</v>
      </c>
      <c r="AE424">
        <v>0</v>
      </c>
      <c r="AF424">
        <v>1</v>
      </c>
      <c r="AG424">
        <v>4</v>
      </c>
      <c r="AH424">
        <v>3</v>
      </c>
    </row>
    <row r="425" spans="22:34" x14ac:dyDescent="0.25">
      <c r="V425">
        <v>424</v>
      </c>
      <c r="W425" cm="1">
        <f t="array" ref="W425">SUM(TablaSupervisores[DISPOSITIVOS TOTAL]*INDEX(TablaSeleccionSupervisores[],ROW(TablaSeleccionSupervisores[[#This Row],[ORDEN]])-1,_xlfn.XMATCH(TablaSupervisores[REFERENCIA],TablaSeleccionSupervisores[#Headers])))</f>
        <v>312</v>
      </c>
      <c r="X425" cm="1">
        <f t="array" ref="X425">SUM(TablaSupervisores[DISPOSITIVOS BACNET MS/TP JC]*INDEX(TablaSeleccionSupervisores[],ROW(TablaSeleccionSupervisores[[#This Row],[ORDEN]])-1,_xlfn.XMATCH(TablaSupervisores[REFERENCIA],TablaSeleccionSupervisores[#Headers])))</f>
        <v>262</v>
      </c>
      <c r="Y425" cm="1">
        <f t="array" ref="Y425">SUM(TablaSupervisores[DISPOSITIVOS BACNET MS/TP COMPATIBLES]*INDEX(TablaSeleccionSupervisores[],ROW(TablaSeleccionSupervisores[[#This Row],[ORDEN]])-1,_xlfn.XMATCH(TablaSupervisores[REFERENCIA],TablaSeleccionSupervisores[#Headers])))</f>
        <v>172</v>
      </c>
      <c r="Z425" cm="1">
        <f t="array" ref="Z425">SUM(TablaSupervisores[DISPOSITIVOS BACNET IP]*INDEX(TablaSeleccionSupervisores[],ROW(TablaSeleccionSupervisores[[#This Row],[ORDEN]])-1,_xlfn.XMATCH(TablaSupervisores[REFERENCIA],TablaSeleccionSupervisores[#Headers])))</f>
        <v>530</v>
      </c>
      <c r="AA425" cm="1">
        <f t="array" ref="AA425">SUM(TablaSupervisores[OBJETOS]*INDEX(TablaSeleccionSupervisores[],ROW(TablaSeleccionSupervisores[[#This Row],[ORDEN]])-1,_xlfn.XMATCH(TablaSupervisores[REFERENCIA],TablaSeleccionSupervisores[#Headers])))</f>
        <v>20000</v>
      </c>
      <c r="AB425" s="28" cm="1">
        <f t="array" ref="AB425">SUM(TablaSupervisores[COSTE]*INDEX(TablaSeleccionSupervisores[],ROW(TablaSeleccionSupervisores[[#This Row],[ORDEN]])-1,_xlfn.XMATCH(TablaSupervisores[REFERENCIA],TablaSeleccionSupervisores[#Headers])))</f>
        <v>9362.4500000000007</v>
      </c>
      <c r="AC425" cm="1">
        <f t="array" ref="AC425">SUM(INDEX(TablaSeleccionSupervisores[],ROW(TablaSeleccionSupervisores[[#This Row],[ORDEN]])-1,_xlfn.XMATCH(TablaSupervisores[REFERENCIA],TablaSeleccionSupervisores[#Headers])))</f>
        <v>8</v>
      </c>
      <c r="AD425" t="str" cm="1">
        <f t="array" ref="AD425">IF(INDEX(TablaSeleccionSupervisores[],ROW(TablaSeleccionSupervisores[[#This Row],[ORDEN]])-1,_xlfn.XMATCH("ADMITIDO ADSLITE",TablaSeleccionSupervisores[#Headers])+1)=0,"Sí admitido","No admitido")</f>
        <v>Sí admitido</v>
      </c>
      <c r="AE425">
        <v>0</v>
      </c>
      <c r="AF425">
        <v>0</v>
      </c>
      <c r="AG425">
        <v>5</v>
      </c>
      <c r="AH425">
        <v>3</v>
      </c>
    </row>
    <row r="426" spans="22:34" x14ac:dyDescent="0.25">
      <c r="V426">
        <v>425</v>
      </c>
      <c r="W426" cm="1">
        <f t="array" ref="W426">SUM(TablaSupervisores[DISPOSITIVOS TOTAL]*INDEX(TablaSeleccionSupervisores[],ROW(TablaSeleccionSupervisores[[#This Row],[ORDEN]])-1,_xlfn.XMATCH(TablaSupervisores[REFERENCIA],TablaSeleccionSupervisores[#Headers])))</f>
        <v>16</v>
      </c>
      <c r="X426" cm="1">
        <f t="array" ref="X426">SUM(TablaSupervisores[DISPOSITIVOS BACNET MS/TP JC]*INDEX(TablaSeleccionSupervisores[],ROW(TablaSeleccionSupervisores[[#This Row],[ORDEN]])-1,_xlfn.XMATCH(TablaSupervisores[REFERENCIA],TablaSeleccionSupervisores[#Headers])))</f>
        <v>16</v>
      </c>
      <c r="Y426" cm="1">
        <f t="array" ref="Y426">SUM(TablaSupervisores[DISPOSITIVOS BACNET MS/TP COMPATIBLES]*INDEX(TablaSeleccionSupervisores[],ROW(TablaSeleccionSupervisores[[#This Row],[ORDEN]])-1,_xlfn.XMATCH(TablaSupervisores[REFERENCIA],TablaSeleccionSupervisores[#Headers])))</f>
        <v>16</v>
      </c>
      <c r="Z426" cm="1">
        <f t="array" ref="Z426">SUM(TablaSupervisores[DISPOSITIVOS BACNET IP]*INDEX(TablaSeleccionSupervisores[],ROW(TablaSeleccionSupervisores[[#This Row],[ORDEN]])-1,_xlfn.XMATCH(TablaSupervisores[REFERENCIA],TablaSeleccionSupervisores[#Headers])))</f>
        <v>40</v>
      </c>
      <c r="AA426" cm="1">
        <f t="array" ref="AA426">SUM(TablaSupervisores[OBJETOS]*INDEX(TablaSeleccionSupervisores[],ROW(TablaSeleccionSupervisores[[#This Row],[ORDEN]])-1,_xlfn.XMATCH(TablaSupervisores[REFERENCIA],TablaSeleccionSupervisores[#Headers])))</f>
        <v>10000</v>
      </c>
      <c r="AB426" s="28" cm="1">
        <f t="array" ref="AB426">SUM(TablaSupervisores[COSTE]*INDEX(TablaSeleccionSupervisores[],ROW(TablaSeleccionSupervisores[[#This Row],[ORDEN]])-1,_xlfn.XMATCH(TablaSupervisores[REFERENCIA],TablaSeleccionSupervisores[#Headers])))</f>
        <v>2993.4</v>
      </c>
      <c r="AC426" cm="1">
        <f t="array" ref="AC426">SUM(INDEX(TablaSeleccionSupervisores[],ROW(TablaSeleccionSupervisores[[#This Row],[ORDEN]])-1,_xlfn.XMATCH(TablaSupervisores[REFERENCIA],TablaSeleccionSupervisores[#Headers])))</f>
        <v>4</v>
      </c>
      <c r="AD426" t="str" cm="1">
        <f t="array" ref="AD426">IF(INDEX(TablaSeleccionSupervisores[],ROW(TablaSeleccionSupervisores[[#This Row],[ORDEN]])-1,_xlfn.XMATCH("ADMITIDO ADSLITE",TablaSeleccionSupervisores[#Headers])+1)=0,"Sí admitido","No admitido")</f>
        <v>Sí admitido</v>
      </c>
      <c r="AE426">
        <v>0</v>
      </c>
      <c r="AF426">
        <v>0</v>
      </c>
      <c r="AG426">
        <v>0</v>
      </c>
      <c r="AH426">
        <v>4</v>
      </c>
    </row>
    <row r="427" spans="22:34" x14ac:dyDescent="0.25">
      <c r="V427">
        <v>426</v>
      </c>
      <c r="W427" cm="1">
        <f t="array" ref="W427">SUM(TablaSupervisores[DISPOSITIVOS TOTAL]*INDEX(TablaSeleccionSupervisores[],ROW(TablaSeleccionSupervisores[[#This Row],[ORDEN]])-1,_xlfn.XMATCH(TablaSupervisores[REFERENCIA],TablaSeleccionSupervisores[#Headers])))</f>
        <v>616</v>
      </c>
      <c r="X427" cm="1">
        <f t="array" ref="X427">SUM(TablaSupervisores[DISPOSITIVOS BACNET MS/TP JC]*INDEX(TablaSeleccionSupervisores[],ROW(TablaSeleccionSupervisores[[#This Row],[ORDEN]])-1,_xlfn.XMATCH(TablaSupervisores[REFERENCIA],TablaSeleccionSupervisores[#Headers])))</f>
        <v>216</v>
      </c>
      <c r="Y427" cm="1">
        <f t="array" ref="Y427">SUM(TablaSupervisores[DISPOSITIVOS BACNET MS/TP COMPATIBLES]*INDEX(TablaSeleccionSupervisores[],ROW(TablaSeleccionSupervisores[[#This Row],[ORDEN]])-1,_xlfn.XMATCH(TablaSupervisores[REFERENCIA],TablaSeleccionSupervisores[#Headers])))</f>
        <v>144</v>
      </c>
      <c r="Z427" cm="1">
        <f t="array" ref="Z427">SUM(TablaSupervisores[DISPOSITIVOS BACNET IP]*INDEX(TablaSeleccionSupervisores[],ROW(TablaSeleccionSupervisores[[#This Row],[ORDEN]])-1,_xlfn.XMATCH(TablaSupervisores[REFERENCIA],TablaSeleccionSupervisores[#Headers])))</f>
        <v>440</v>
      </c>
      <c r="AA427" cm="1">
        <f t="array" ref="AA427">SUM(TablaSupervisores[OBJETOS]*INDEX(TablaSeleccionSupervisores[],ROW(TablaSeleccionSupervisores[[#This Row],[ORDEN]])-1,_xlfn.XMATCH(TablaSupervisores[REFERENCIA],TablaSeleccionSupervisores[#Headers])))</f>
        <v>15000</v>
      </c>
      <c r="AB427" s="28" cm="1">
        <f t="array" ref="AB427">SUM(TablaSupervisores[COSTE]*INDEX(TablaSeleccionSupervisores[],ROW(TablaSeleccionSupervisores[[#This Row],[ORDEN]])-1,_xlfn.XMATCH(TablaSupervisores[REFERENCIA],TablaSeleccionSupervisores[#Headers])))</f>
        <v>8660.0300000000007</v>
      </c>
      <c r="AC427" cm="1">
        <f t="array" ref="AC427">SUM(INDEX(TablaSeleccionSupervisores[],ROW(TablaSeleccionSupervisores[[#This Row],[ORDEN]])-1,_xlfn.XMATCH(TablaSupervisores[REFERENCIA],TablaSeleccionSupervisores[#Headers])))</f>
        <v>5</v>
      </c>
      <c r="AD427" t="str" cm="1">
        <f t="array" ref="AD427">IF(INDEX(TablaSeleccionSupervisores[],ROW(TablaSeleccionSupervisores[[#This Row],[ORDEN]])-1,_xlfn.XMATCH("ADMITIDO ADSLITE",TablaSeleccionSupervisores[#Headers])+1)=0,"Sí admitido","No admitido")</f>
        <v>No admitido</v>
      </c>
      <c r="AE427">
        <v>1</v>
      </c>
      <c r="AF427">
        <v>0</v>
      </c>
      <c r="AG427">
        <v>0</v>
      </c>
      <c r="AH427">
        <v>4</v>
      </c>
    </row>
    <row r="428" spans="22:34" x14ac:dyDescent="0.25">
      <c r="V428">
        <v>427</v>
      </c>
      <c r="W428" cm="1">
        <f t="array" ref="W428">SUM(TablaSupervisores[DISPOSITIVOS TOTAL]*INDEX(TablaSeleccionSupervisores[],ROW(TablaSeleccionSupervisores[[#This Row],[ORDEN]])-1,_xlfn.XMATCH(TablaSupervisores[REFERENCIA],TablaSeleccionSupervisores[#Headers])))</f>
        <v>1216</v>
      </c>
      <c r="X428" cm="1">
        <f t="array" ref="X428">SUM(TablaSupervisores[DISPOSITIVOS BACNET MS/TP JC]*INDEX(TablaSeleccionSupervisores[],ROW(TablaSeleccionSupervisores[[#This Row],[ORDEN]])-1,_xlfn.XMATCH(TablaSupervisores[REFERENCIA],TablaSeleccionSupervisores[#Headers])))</f>
        <v>416</v>
      </c>
      <c r="Y428" cm="1">
        <f t="array" ref="Y428">SUM(TablaSupervisores[DISPOSITIVOS BACNET MS/TP COMPATIBLES]*INDEX(TablaSeleccionSupervisores[],ROW(TablaSeleccionSupervisores[[#This Row],[ORDEN]])-1,_xlfn.XMATCH(TablaSupervisores[REFERENCIA],TablaSeleccionSupervisores[#Headers])))</f>
        <v>272</v>
      </c>
      <c r="Z428" cm="1">
        <f t="array" ref="Z428">SUM(TablaSupervisores[DISPOSITIVOS BACNET IP]*INDEX(TablaSeleccionSupervisores[],ROW(TablaSeleccionSupervisores[[#This Row],[ORDEN]])-1,_xlfn.XMATCH(TablaSupervisores[REFERENCIA],TablaSeleccionSupervisores[#Headers])))</f>
        <v>840</v>
      </c>
      <c r="AA428" cm="1">
        <f t="array" ref="AA428">SUM(TablaSupervisores[OBJETOS]*INDEX(TablaSeleccionSupervisores[],ROW(TablaSeleccionSupervisores[[#This Row],[ORDEN]])-1,_xlfn.XMATCH(TablaSupervisores[REFERENCIA],TablaSeleccionSupervisores[#Headers])))</f>
        <v>20000</v>
      </c>
      <c r="AB428" s="28" cm="1">
        <f t="array" ref="AB428">SUM(TablaSupervisores[COSTE]*INDEX(TablaSeleccionSupervisores[],ROW(TablaSeleccionSupervisores[[#This Row],[ORDEN]])-1,_xlfn.XMATCH(TablaSupervisores[REFERENCIA],TablaSeleccionSupervisores[#Headers])))</f>
        <v>14326.66</v>
      </c>
      <c r="AC428" cm="1">
        <f t="array" ref="AC428">SUM(INDEX(TablaSeleccionSupervisores[],ROW(TablaSeleccionSupervisores[[#This Row],[ORDEN]])-1,_xlfn.XMATCH(TablaSupervisores[REFERENCIA],TablaSeleccionSupervisores[#Headers])))</f>
        <v>6</v>
      </c>
      <c r="AD428" t="str" cm="1">
        <f t="array" ref="AD428">IF(INDEX(TablaSeleccionSupervisores[],ROW(TablaSeleccionSupervisores[[#This Row],[ORDEN]])-1,_xlfn.XMATCH("ADMITIDO ADSLITE",TablaSeleccionSupervisores[#Headers])+1)=0,"Sí admitido","No admitido")</f>
        <v>No admitido</v>
      </c>
      <c r="AE428">
        <v>2</v>
      </c>
      <c r="AF428">
        <v>0</v>
      </c>
      <c r="AG428">
        <v>0</v>
      </c>
      <c r="AH428">
        <v>4</v>
      </c>
    </row>
    <row r="429" spans="22:34" x14ac:dyDescent="0.25">
      <c r="V429">
        <v>428</v>
      </c>
      <c r="W429" cm="1">
        <f t="array" ref="W429">SUM(TablaSupervisores[DISPOSITIVOS TOTAL]*INDEX(TablaSeleccionSupervisores[],ROW(TablaSeleccionSupervisores[[#This Row],[ORDEN]])-1,_xlfn.XMATCH(TablaSupervisores[REFERENCIA],TablaSeleccionSupervisores[#Headers])))</f>
        <v>1816</v>
      </c>
      <c r="X429" cm="1">
        <f t="array" ref="X429">SUM(TablaSupervisores[DISPOSITIVOS BACNET MS/TP JC]*INDEX(TablaSeleccionSupervisores[],ROW(TablaSeleccionSupervisores[[#This Row],[ORDEN]])-1,_xlfn.XMATCH(TablaSupervisores[REFERENCIA],TablaSeleccionSupervisores[#Headers])))</f>
        <v>616</v>
      </c>
      <c r="Y429" cm="1">
        <f t="array" ref="Y429">SUM(TablaSupervisores[DISPOSITIVOS BACNET MS/TP COMPATIBLES]*INDEX(TablaSeleccionSupervisores[],ROW(TablaSeleccionSupervisores[[#This Row],[ORDEN]])-1,_xlfn.XMATCH(TablaSupervisores[REFERENCIA],TablaSeleccionSupervisores[#Headers])))</f>
        <v>400</v>
      </c>
      <c r="Z429" cm="1">
        <f t="array" ref="Z429">SUM(TablaSupervisores[DISPOSITIVOS BACNET IP]*INDEX(TablaSeleccionSupervisores[],ROW(TablaSeleccionSupervisores[[#This Row],[ORDEN]])-1,_xlfn.XMATCH(TablaSupervisores[REFERENCIA],TablaSeleccionSupervisores[#Headers])))</f>
        <v>1240</v>
      </c>
      <c r="AA429" cm="1">
        <f t="array" ref="AA429">SUM(TablaSupervisores[OBJETOS]*INDEX(TablaSeleccionSupervisores[],ROW(TablaSeleccionSupervisores[[#This Row],[ORDEN]])-1,_xlfn.XMATCH(TablaSupervisores[REFERENCIA],TablaSeleccionSupervisores[#Headers])))</f>
        <v>25000</v>
      </c>
      <c r="AB429" s="28" cm="1">
        <f t="array" ref="AB429">SUM(TablaSupervisores[COSTE]*INDEX(TablaSeleccionSupervisores[],ROW(TablaSeleccionSupervisores[[#This Row],[ORDEN]])-1,_xlfn.XMATCH(TablaSupervisores[REFERENCIA],TablaSeleccionSupervisores[#Headers])))</f>
        <v>19993.29</v>
      </c>
      <c r="AC429" cm="1">
        <f t="array" ref="AC429">SUM(INDEX(TablaSeleccionSupervisores[],ROW(TablaSeleccionSupervisores[[#This Row],[ORDEN]])-1,_xlfn.XMATCH(TablaSupervisores[REFERENCIA],TablaSeleccionSupervisores[#Headers])))</f>
        <v>7</v>
      </c>
      <c r="AD429" t="str" cm="1">
        <f t="array" ref="AD429">IF(INDEX(TablaSeleccionSupervisores[],ROW(TablaSeleccionSupervisores[[#This Row],[ORDEN]])-1,_xlfn.XMATCH("ADMITIDO ADSLITE",TablaSeleccionSupervisores[#Headers])+1)=0,"Sí admitido","No admitido")</f>
        <v>No admitido</v>
      </c>
      <c r="AE429">
        <v>3</v>
      </c>
      <c r="AF429">
        <v>0</v>
      </c>
      <c r="AG429">
        <v>0</v>
      </c>
      <c r="AH429">
        <v>4</v>
      </c>
    </row>
    <row r="430" spans="22:34" x14ac:dyDescent="0.25">
      <c r="V430">
        <v>429</v>
      </c>
      <c r="W430" cm="1">
        <f t="array" ref="W430">SUM(TablaSupervisores[DISPOSITIVOS TOTAL]*INDEX(TablaSeleccionSupervisores[],ROW(TablaSeleccionSupervisores[[#This Row],[ORDEN]])-1,_xlfn.XMATCH(TablaSupervisores[REFERENCIA],TablaSeleccionSupervisores[#Headers])))</f>
        <v>2416</v>
      </c>
      <c r="X430" cm="1">
        <f t="array" ref="X430">SUM(TablaSupervisores[DISPOSITIVOS BACNET MS/TP JC]*INDEX(TablaSeleccionSupervisores[],ROW(TablaSeleccionSupervisores[[#This Row],[ORDEN]])-1,_xlfn.XMATCH(TablaSupervisores[REFERENCIA],TablaSeleccionSupervisores[#Headers])))</f>
        <v>816</v>
      </c>
      <c r="Y430" cm="1">
        <f t="array" ref="Y430">SUM(TablaSupervisores[DISPOSITIVOS BACNET MS/TP COMPATIBLES]*INDEX(TablaSeleccionSupervisores[],ROW(TablaSeleccionSupervisores[[#This Row],[ORDEN]])-1,_xlfn.XMATCH(TablaSupervisores[REFERENCIA],TablaSeleccionSupervisores[#Headers])))</f>
        <v>528</v>
      </c>
      <c r="Z430" cm="1">
        <f t="array" ref="Z430">SUM(TablaSupervisores[DISPOSITIVOS BACNET IP]*INDEX(TablaSeleccionSupervisores[],ROW(TablaSeleccionSupervisores[[#This Row],[ORDEN]])-1,_xlfn.XMATCH(TablaSupervisores[REFERENCIA],TablaSeleccionSupervisores[#Headers])))</f>
        <v>1640</v>
      </c>
      <c r="AA430" cm="1">
        <f t="array" ref="AA430">SUM(TablaSupervisores[OBJETOS]*INDEX(TablaSeleccionSupervisores[],ROW(TablaSeleccionSupervisores[[#This Row],[ORDEN]])-1,_xlfn.XMATCH(TablaSupervisores[REFERENCIA],TablaSeleccionSupervisores[#Headers])))</f>
        <v>30000</v>
      </c>
      <c r="AB430" s="28" cm="1">
        <f t="array" ref="AB430">SUM(TablaSupervisores[COSTE]*INDEX(TablaSeleccionSupervisores[],ROW(TablaSeleccionSupervisores[[#This Row],[ORDEN]])-1,_xlfn.XMATCH(TablaSupervisores[REFERENCIA],TablaSeleccionSupervisores[#Headers])))</f>
        <v>25659.920000000002</v>
      </c>
      <c r="AC430" cm="1">
        <f t="array" ref="AC430">SUM(INDEX(TablaSeleccionSupervisores[],ROW(TablaSeleccionSupervisores[[#This Row],[ORDEN]])-1,_xlfn.XMATCH(TablaSupervisores[REFERENCIA],TablaSeleccionSupervisores[#Headers])))</f>
        <v>8</v>
      </c>
      <c r="AD430" t="str" cm="1">
        <f t="array" ref="AD430">IF(INDEX(TablaSeleccionSupervisores[],ROW(TablaSeleccionSupervisores[[#This Row],[ORDEN]])-1,_xlfn.XMATCH("ADMITIDO ADSLITE",TablaSeleccionSupervisores[#Headers])+1)=0,"Sí admitido","No admitido")</f>
        <v>No admitido</v>
      </c>
      <c r="AE430">
        <v>4</v>
      </c>
      <c r="AF430">
        <v>0</v>
      </c>
      <c r="AG430">
        <v>0</v>
      </c>
      <c r="AH430">
        <v>4</v>
      </c>
    </row>
    <row r="431" spans="22:34" x14ac:dyDescent="0.25">
      <c r="V431">
        <v>430</v>
      </c>
      <c r="W431" cm="1">
        <f t="array" ref="W431">SUM(TablaSupervisores[DISPOSITIVOS TOTAL]*INDEX(TablaSeleccionSupervisores[],ROW(TablaSeleccionSupervisores[[#This Row],[ORDEN]])-1,_xlfn.XMATCH(TablaSupervisores[REFERENCIA],TablaSeleccionSupervisores[#Headers])))</f>
        <v>166</v>
      </c>
      <c r="X431" cm="1">
        <f t="array" ref="X431">SUM(TablaSupervisores[DISPOSITIVOS BACNET MS/TP JC]*INDEX(TablaSeleccionSupervisores[],ROW(TablaSeleccionSupervisores[[#This Row],[ORDEN]])-1,_xlfn.XMATCH(TablaSupervisores[REFERENCIA],TablaSeleccionSupervisores[#Headers])))</f>
        <v>116</v>
      </c>
      <c r="Y431" cm="1">
        <f t="array" ref="Y431">SUM(TablaSupervisores[DISPOSITIVOS BACNET MS/TP COMPATIBLES]*INDEX(TablaSeleccionSupervisores[],ROW(TablaSeleccionSupervisores[[#This Row],[ORDEN]])-1,_xlfn.XMATCH(TablaSupervisores[REFERENCIA],TablaSeleccionSupervisores[#Headers])))</f>
        <v>80</v>
      </c>
      <c r="Z431" cm="1">
        <f t="array" ref="Z431">SUM(TablaSupervisores[DISPOSITIVOS BACNET IP]*INDEX(TablaSeleccionSupervisores[],ROW(TablaSeleccionSupervisores[[#This Row],[ORDEN]])-1,_xlfn.XMATCH(TablaSupervisores[REFERENCIA],TablaSeleccionSupervisores[#Headers])))</f>
        <v>240</v>
      </c>
      <c r="AA431" cm="1">
        <f t="array" ref="AA431">SUM(TablaSupervisores[OBJETOS]*INDEX(TablaSeleccionSupervisores[],ROW(TablaSeleccionSupervisores[[#This Row],[ORDEN]])-1,_xlfn.XMATCH(TablaSupervisores[REFERENCIA],TablaSeleccionSupervisores[#Headers])))</f>
        <v>12500</v>
      </c>
      <c r="AB431" s="28" cm="1">
        <f t="array" ref="AB431">SUM(TablaSupervisores[COSTE]*INDEX(TablaSeleccionSupervisores[],ROW(TablaSeleccionSupervisores[[#This Row],[ORDEN]])-1,_xlfn.XMATCH(TablaSupervisores[REFERENCIA],TablaSeleccionSupervisores[#Headers])))</f>
        <v>6982.13</v>
      </c>
      <c r="AC431" cm="1">
        <f t="array" ref="AC431">SUM(INDEX(TablaSeleccionSupervisores[],ROW(TablaSeleccionSupervisores[[#This Row],[ORDEN]])-1,_xlfn.XMATCH(TablaSupervisores[REFERENCIA],TablaSeleccionSupervisores[#Headers])))</f>
        <v>5</v>
      </c>
      <c r="AD431" t="str" cm="1">
        <f t="array" ref="AD431">IF(INDEX(TablaSeleccionSupervisores[],ROW(TablaSeleccionSupervisores[[#This Row],[ORDEN]])-1,_xlfn.XMATCH("ADMITIDO ADSLITE",TablaSeleccionSupervisores[#Headers])+1)=0,"Sí admitido","No admitido")</f>
        <v>Sí admitido</v>
      </c>
      <c r="AE431">
        <v>0</v>
      </c>
      <c r="AF431">
        <v>1</v>
      </c>
      <c r="AG431">
        <v>0</v>
      </c>
      <c r="AH431">
        <v>4</v>
      </c>
    </row>
    <row r="432" spans="22:34" x14ac:dyDescent="0.25">
      <c r="V432">
        <v>431</v>
      </c>
      <c r="W432" cm="1">
        <f t="array" ref="W432">SUM(TablaSupervisores[DISPOSITIVOS TOTAL]*INDEX(TablaSeleccionSupervisores[],ROW(TablaSeleccionSupervisores[[#This Row],[ORDEN]])-1,_xlfn.XMATCH(TablaSupervisores[REFERENCIA],TablaSeleccionSupervisores[#Headers])))</f>
        <v>766</v>
      </c>
      <c r="X432" cm="1">
        <f t="array" ref="X432">SUM(TablaSupervisores[DISPOSITIVOS BACNET MS/TP JC]*INDEX(TablaSeleccionSupervisores[],ROW(TablaSeleccionSupervisores[[#This Row],[ORDEN]])-1,_xlfn.XMATCH(TablaSupervisores[REFERENCIA],TablaSeleccionSupervisores[#Headers])))</f>
        <v>316</v>
      </c>
      <c r="Y432" cm="1">
        <f t="array" ref="Y432">SUM(TablaSupervisores[DISPOSITIVOS BACNET MS/TP COMPATIBLES]*INDEX(TablaSeleccionSupervisores[],ROW(TablaSeleccionSupervisores[[#This Row],[ORDEN]])-1,_xlfn.XMATCH(TablaSupervisores[REFERENCIA],TablaSeleccionSupervisores[#Headers])))</f>
        <v>208</v>
      </c>
      <c r="Z432" cm="1">
        <f t="array" ref="Z432">SUM(TablaSupervisores[DISPOSITIVOS BACNET IP]*INDEX(TablaSeleccionSupervisores[],ROW(TablaSeleccionSupervisores[[#This Row],[ORDEN]])-1,_xlfn.XMATCH(TablaSupervisores[REFERENCIA],TablaSeleccionSupervisores[#Headers])))</f>
        <v>640</v>
      </c>
      <c r="AA432" cm="1">
        <f t="array" ref="AA432">SUM(TablaSupervisores[OBJETOS]*INDEX(TablaSeleccionSupervisores[],ROW(TablaSeleccionSupervisores[[#This Row],[ORDEN]])-1,_xlfn.XMATCH(TablaSupervisores[REFERENCIA],TablaSeleccionSupervisores[#Headers])))</f>
        <v>17500</v>
      </c>
      <c r="AB432" s="28" cm="1">
        <f t="array" ref="AB432">SUM(TablaSupervisores[COSTE]*INDEX(TablaSeleccionSupervisores[],ROW(TablaSeleccionSupervisores[[#This Row],[ORDEN]])-1,_xlfn.XMATCH(TablaSupervisores[REFERENCIA],TablaSeleccionSupervisores[#Headers])))</f>
        <v>12648.76</v>
      </c>
      <c r="AC432" cm="1">
        <f t="array" ref="AC432">SUM(INDEX(TablaSeleccionSupervisores[],ROW(TablaSeleccionSupervisores[[#This Row],[ORDEN]])-1,_xlfn.XMATCH(TablaSupervisores[REFERENCIA],TablaSeleccionSupervisores[#Headers])))</f>
        <v>6</v>
      </c>
      <c r="AD432" t="str" cm="1">
        <f t="array" ref="AD432">IF(INDEX(TablaSeleccionSupervisores[],ROW(TablaSeleccionSupervisores[[#This Row],[ORDEN]])-1,_xlfn.XMATCH("ADMITIDO ADSLITE",TablaSeleccionSupervisores[#Headers])+1)=0,"Sí admitido","No admitido")</f>
        <v>No admitido</v>
      </c>
      <c r="AE432">
        <v>1</v>
      </c>
      <c r="AF432">
        <v>1</v>
      </c>
      <c r="AG432">
        <v>0</v>
      </c>
      <c r="AH432">
        <v>4</v>
      </c>
    </row>
    <row r="433" spans="22:34" x14ac:dyDescent="0.25">
      <c r="V433">
        <v>432</v>
      </c>
      <c r="W433" cm="1">
        <f t="array" ref="W433">SUM(TablaSupervisores[DISPOSITIVOS TOTAL]*INDEX(TablaSeleccionSupervisores[],ROW(TablaSeleccionSupervisores[[#This Row],[ORDEN]])-1,_xlfn.XMATCH(TablaSupervisores[REFERENCIA],TablaSeleccionSupervisores[#Headers])))</f>
        <v>1366</v>
      </c>
      <c r="X433" cm="1">
        <f t="array" ref="X433">SUM(TablaSupervisores[DISPOSITIVOS BACNET MS/TP JC]*INDEX(TablaSeleccionSupervisores[],ROW(TablaSeleccionSupervisores[[#This Row],[ORDEN]])-1,_xlfn.XMATCH(TablaSupervisores[REFERENCIA],TablaSeleccionSupervisores[#Headers])))</f>
        <v>516</v>
      </c>
      <c r="Y433" cm="1">
        <f t="array" ref="Y433">SUM(TablaSupervisores[DISPOSITIVOS BACNET MS/TP COMPATIBLES]*INDEX(TablaSeleccionSupervisores[],ROW(TablaSeleccionSupervisores[[#This Row],[ORDEN]])-1,_xlfn.XMATCH(TablaSupervisores[REFERENCIA],TablaSeleccionSupervisores[#Headers])))</f>
        <v>336</v>
      </c>
      <c r="Z433" cm="1">
        <f t="array" ref="Z433">SUM(TablaSupervisores[DISPOSITIVOS BACNET IP]*INDEX(TablaSeleccionSupervisores[],ROW(TablaSeleccionSupervisores[[#This Row],[ORDEN]])-1,_xlfn.XMATCH(TablaSupervisores[REFERENCIA],TablaSeleccionSupervisores[#Headers])))</f>
        <v>1040</v>
      </c>
      <c r="AA433" cm="1">
        <f t="array" ref="AA433">SUM(TablaSupervisores[OBJETOS]*INDEX(TablaSeleccionSupervisores[],ROW(TablaSeleccionSupervisores[[#This Row],[ORDEN]])-1,_xlfn.XMATCH(TablaSupervisores[REFERENCIA],TablaSeleccionSupervisores[#Headers])))</f>
        <v>22500</v>
      </c>
      <c r="AB433" s="28" cm="1">
        <f t="array" ref="AB433">SUM(TablaSupervisores[COSTE]*INDEX(TablaSeleccionSupervisores[],ROW(TablaSeleccionSupervisores[[#This Row],[ORDEN]])-1,_xlfn.XMATCH(TablaSupervisores[REFERENCIA],TablaSeleccionSupervisores[#Headers])))</f>
        <v>18315.39</v>
      </c>
      <c r="AC433" cm="1">
        <f t="array" ref="AC433">SUM(INDEX(TablaSeleccionSupervisores[],ROW(TablaSeleccionSupervisores[[#This Row],[ORDEN]])-1,_xlfn.XMATCH(TablaSupervisores[REFERENCIA],TablaSeleccionSupervisores[#Headers])))</f>
        <v>7</v>
      </c>
      <c r="AD433" t="str" cm="1">
        <f t="array" ref="AD433">IF(INDEX(TablaSeleccionSupervisores[],ROW(TablaSeleccionSupervisores[[#This Row],[ORDEN]])-1,_xlfn.XMATCH("ADMITIDO ADSLITE",TablaSeleccionSupervisores[#Headers])+1)=0,"Sí admitido","No admitido")</f>
        <v>No admitido</v>
      </c>
      <c r="AE433">
        <v>2</v>
      </c>
      <c r="AF433">
        <v>1</v>
      </c>
      <c r="AG433">
        <v>0</v>
      </c>
      <c r="AH433">
        <v>4</v>
      </c>
    </row>
    <row r="434" spans="22:34" x14ac:dyDescent="0.25">
      <c r="V434">
        <v>433</v>
      </c>
      <c r="W434" cm="1">
        <f t="array" ref="W434">SUM(TablaSupervisores[DISPOSITIVOS TOTAL]*INDEX(TablaSeleccionSupervisores[],ROW(TablaSeleccionSupervisores[[#This Row],[ORDEN]])-1,_xlfn.XMATCH(TablaSupervisores[REFERENCIA],TablaSeleccionSupervisores[#Headers])))</f>
        <v>1966</v>
      </c>
      <c r="X434" cm="1">
        <f t="array" ref="X434">SUM(TablaSupervisores[DISPOSITIVOS BACNET MS/TP JC]*INDEX(TablaSeleccionSupervisores[],ROW(TablaSeleccionSupervisores[[#This Row],[ORDEN]])-1,_xlfn.XMATCH(TablaSupervisores[REFERENCIA],TablaSeleccionSupervisores[#Headers])))</f>
        <v>716</v>
      </c>
      <c r="Y434" cm="1">
        <f t="array" ref="Y434">SUM(TablaSupervisores[DISPOSITIVOS BACNET MS/TP COMPATIBLES]*INDEX(TablaSeleccionSupervisores[],ROW(TablaSeleccionSupervisores[[#This Row],[ORDEN]])-1,_xlfn.XMATCH(TablaSupervisores[REFERENCIA],TablaSeleccionSupervisores[#Headers])))</f>
        <v>464</v>
      </c>
      <c r="Z434" cm="1">
        <f t="array" ref="Z434">SUM(TablaSupervisores[DISPOSITIVOS BACNET IP]*INDEX(TablaSeleccionSupervisores[],ROW(TablaSeleccionSupervisores[[#This Row],[ORDEN]])-1,_xlfn.XMATCH(TablaSupervisores[REFERENCIA],TablaSeleccionSupervisores[#Headers])))</f>
        <v>1440</v>
      </c>
      <c r="AA434" cm="1">
        <f t="array" ref="AA434">SUM(TablaSupervisores[OBJETOS]*INDEX(TablaSeleccionSupervisores[],ROW(TablaSeleccionSupervisores[[#This Row],[ORDEN]])-1,_xlfn.XMATCH(TablaSupervisores[REFERENCIA],TablaSeleccionSupervisores[#Headers])))</f>
        <v>27500</v>
      </c>
      <c r="AB434" s="28" cm="1">
        <f t="array" ref="AB434">SUM(TablaSupervisores[COSTE]*INDEX(TablaSeleccionSupervisores[],ROW(TablaSeleccionSupervisores[[#This Row],[ORDEN]])-1,_xlfn.XMATCH(TablaSupervisores[REFERENCIA],TablaSeleccionSupervisores[#Headers])))</f>
        <v>23982.02</v>
      </c>
      <c r="AC434" cm="1">
        <f t="array" ref="AC434">SUM(INDEX(TablaSeleccionSupervisores[],ROW(TablaSeleccionSupervisores[[#This Row],[ORDEN]])-1,_xlfn.XMATCH(TablaSupervisores[REFERENCIA],TablaSeleccionSupervisores[#Headers])))</f>
        <v>8</v>
      </c>
      <c r="AD434" t="str" cm="1">
        <f t="array" ref="AD434">IF(INDEX(TablaSeleccionSupervisores[],ROW(TablaSeleccionSupervisores[[#This Row],[ORDEN]])-1,_xlfn.XMATCH("ADMITIDO ADSLITE",TablaSeleccionSupervisores[#Headers])+1)=0,"Sí admitido","No admitido")</f>
        <v>No admitido</v>
      </c>
      <c r="AE434">
        <v>3</v>
      </c>
      <c r="AF434">
        <v>1</v>
      </c>
      <c r="AG434">
        <v>0</v>
      </c>
      <c r="AH434">
        <v>4</v>
      </c>
    </row>
    <row r="435" spans="22:34" x14ac:dyDescent="0.25">
      <c r="V435">
        <v>434</v>
      </c>
      <c r="W435" cm="1">
        <f t="array" ref="W435">SUM(TablaSupervisores[DISPOSITIVOS TOTAL]*INDEX(TablaSeleccionSupervisores[],ROW(TablaSeleccionSupervisores[[#This Row],[ORDEN]])-1,_xlfn.XMATCH(TablaSupervisores[REFERENCIA],TablaSeleccionSupervisores[#Headers])))</f>
        <v>316</v>
      </c>
      <c r="X435" cm="1">
        <f t="array" ref="X435">SUM(TablaSupervisores[DISPOSITIVOS BACNET MS/TP JC]*INDEX(TablaSeleccionSupervisores[],ROW(TablaSeleccionSupervisores[[#This Row],[ORDEN]])-1,_xlfn.XMATCH(TablaSupervisores[REFERENCIA],TablaSeleccionSupervisores[#Headers])))</f>
        <v>216</v>
      </c>
      <c r="Y435" cm="1">
        <f t="array" ref="Y435">SUM(TablaSupervisores[DISPOSITIVOS BACNET MS/TP COMPATIBLES]*INDEX(TablaSeleccionSupervisores[],ROW(TablaSeleccionSupervisores[[#This Row],[ORDEN]])-1,_xlfn.XMATCH(TablaSupervisores[REFERENCIA],TablaSeleccionSupervisores[#Headers])))</f>
        <v>144</v>
      </c>
      <c r="Z435" cm="1">
        <f t="array" ref="Z435">SUM(TablaSupervisores[DISPOSITIVOS BACNET IP]*INDEX(TablaSeleccionSupervisores[],ROW(TablaSeleccionSupervisores[[#This Row],[ORDEN]])-1,_xlfn.XMATCH(TablaSupervisores[REFERENCIA],TablaSeleccionSupervisores[#Headers])))</f>
        <v>440</v>
      </c>
      <c r="AA435" cm="1">
        <f t="array" ref="AA435">SUM(TablaSupervisores[OBJETOS]*INDEX(TablaSeleccionSupervisores[],ROW(TablaSeleccionSupervisores[[#This Row],[ORDEN]])-1,_xlfn.XMATCH(TablaSupervisores[REFERENCIA],TablaSeleccionSupervisores[#Headers])))</f>
        <v>15000</v>
      </c>
      <c r="AB435" s="28" cm="1">
        <f t="array" ref="AB435">SUM(TablaSupervisores[COSTE]*INDEX(TablaSeleccionSupervisores[],ROW(TablaSeleccionSupervisores[[#This Row],[ORDEN]])-1,_xlfn.XMATCH(TablaSupervisores[REFERENCIA],TablaSeleccionSupervisores[#Headers])))</f>
        <v>10970.86</v>
      </c>
      <c r="AC435" cm="1">
        <f t="array" ref="AC435">SUM(INDEX(TablaSeleccionSupervisores[],ROW(TablaSeleccionSupervisores[[#This Row],[ORDEN]])-1,_xlfn.XMATCH(TablaSupervisores[REFERENCIA],TablaSeleccionSupervisores[#Headers])))</f>
        <v>6</v>
      </c>
      <c r="AD435" t="str" cm="1">
        <f t="array" ref="AD435">IF(INDEX(TablaSeleccionSupervisores[],ROW(TablaSeleccionSupervisores[[#This Row],[ORDEN]])-1,_xlfn.XMATCH("ADMITIDO ADSLITE",TablaSeleccionSupervisores[#Headers])+1)=0,"Sí admitido","No admitido")</f>
        <v>Sí admitido</v>
      </c>
      <c r="AE435">
        <v>0</v>
      </c>
      <c r="AF435">
        <v>2</v>
      </c>
      <c r="AG435">
        <v>0</v>
      </c>
      <c r="AH435">
        <v>4</v>
      </c>
    </row>
    <row r="436" spans="22:34" x14ac:dyDescent="0.25">
      <c r="V436">
        <v>435</v>
      </c>
      <c r="W436" cm="1">
        <f t="array" ref="W436">SUM(TablaSupervisores[DISPOSITIVOS TOTAL]*INDEX(TablaSeleccionSupervisores[],ROW(TablaSeleccionSupervisores[[#This Row],[ORDEN]])-1,_xlfn.XMATCH(TablaSupervisores[REFERENCIA],TablaSeleccionSupervisores[#Headers])))</f>
        <v>916</v>
      </c>
      <c r="X436" cm="1">
        <f t="array" ref="X436">SUM(TablaSupervisores[DISPOSITIVOS BACNET MS/TP JC]*INDEX(TablaSeleccionSupervisores[],ROW(TablaSeleccionSupervisores[[#This Row],[ORDEN]])-1,_xlfn.XMATCH(TablaSupervisores[REFERENCIA],TablaSeleccionSupervisores[#Headers])))</f>
        <v>416</v>
      </c>
      <c r="Y436" cm="1">
        <f t="array" ref="Y436">SUM(TablaSupervisores[DISPOSITIVOS BACNET MS/TP COMPATIBLES]*INDEX(TablaSeleccionSupervisores[],ROW(TablaSeleccionSupervisores[[#This Row],[ORDEN]])-1,_xlfn.XMATCH(TablaSupervisores[REFERENCIA],TablaSeleccionSupervisores[#Headers])))</f>
        <v>272</v>
      </c>
      <c r="Z436" cm="1">
        <f t="array" ref="Z436">SUM(TablaSupervisores[DISPOSITIVOS BACNET IP]*INDEX(TablaSeleccionSupervisores[],ROW(TablaSeleccionSupervisores[[#This Row],[ORDEN]])-1,_xlfn.XMATCH(TablaSupervisores[REFERENCIA],TablaSeleccionSupervisores[#Headers])))</f>
        <v>840</v>
      </c>
      <c r="AA436" cm="1">
        <f t="array" ref="AA436">SUM(TablaSupervisores[OBJETOS]*INDEX(TablaSeleccionSupervisores[],ROW(TablaSeleccionSupervisores[[#This Row],[ORDEN]])-1,_xlfn.XMATCH(TablaSupervisores[REFERENCIA],TablaSeleccionSupervisores[#Headers])))</f>
        <v>20000</v>
      </c>
      <c r="AB436" s="28" cm="1">
        <f t="array" ref="AB436">SUM(TablaSupervisores[COSTE]*INDEX(TablaSeleccionSupervisores[],ROW(TablaSeleccionSupervisores[[#This Row],[ORDEN]])-1,_xlfn.XMATCH(TablaSupervisores[REFERENCIA],TablaSeleccionSupervisores[#Headers])))</f>
        <v>16637.490000000002</v>
      </c>
      <c r="AC436" cm="1">
        <f t="array" ref="AC436">SUM(INDEX(TablaSeleccionSupervisores[],ROW(TablaSeleccionSupervisores[[#This Row],[ORDEN]])-1,_xlfn.XMATCH(TablaSupervisores[REFERENCIA],TablaSeleccionSupervisores[#Headers])))</f>
        <v>7</v>
      </c>
      <c r="AD436" t="str" cm="1">
        <f t="array" ref="AD436">IF(INDEX(TablaSeleccionSupervisores[],ROW(TablaSeleccionSupervisores[[#This Row],[ORDEN]])-1,_xlfn.XMATCH("ADMITIDO ADSLITE",TablaSeleccionSupervisores[#Headers])+1)=0,"Sí admitido","No admitido")</f>
        <v>No admitido</v>
      </c>
      <c r="AE436">
        <v>1</v>
      </c>
      <c r="AF436">
        <v>2</v>
      </c>
      <c r="AG436">
        <v>0</v>
      </c>
      <c r="AH436">
        <v>4</v>
      </c>
    </row>
    <row r="437" spans="22:34" x14ac:dyDescent="0.25">
      <c r="V437">
        <v>436</v>
      </c>
      <c r="W437" cm="1">
        <f t="array" ref="W437">SUM(TablaSupervisores[DISPOSITIVOS TOTAL]*INDEX(TablaSeleccionSupervisores[],ROW(TablaSeleccionSupervisores[[#This Row],[ORDEN]])-1,_xlfn.XMATCH(TablaSupervisores[REFERENCIA],TablaSeleccionSupervisores[#Headers])))</f>
        <v>1516</v>
      </c>
      <c r="X437" cm="1">
        <f t="array" ref="X437">SUM(TablaSupervisores[DISPOSITIVOS BACNET MS/TP JC]*INDEX(TablaSeleccionSupervisores[],ROW(TablaSeleccionSupervisores[[#This Row],[ORDEN]])-1,_xlfn.XMATCH(TablaSupervisores[REFERENCIA],TablaSeleccionSupervisores[#Headers])))</f>
        <v>616</v>
      </c>
      <c r="Y437" cm="1">
        <f t="array" ref="Y437">SUM(TablaSupervisores[DISPOSITIVOS BACNET MS/TP COMPATIBLES]*INDEX(TablaSeleccionSupervisores[],ROW(TablaSeleccionSupervisores[[#This Row],[ORDEN]])-1,_xlfn.XMATCH(TablaSupervisores[REFERENCIA],TablaSeleccionSupervisores[#Headers])))</f>
        <v>400</v>
      </c>
      <c r="Z437" cm="1">
        <f t="array" ref="Z437">SUM(TablaSupervisores[DISPOSITIVOS BACNET IP]*INDEX(TablaSeleccionSupervisores[],ROW(TablaSeleccionSupervisores[[#This Row],[ORDEN]])-1,_xlfn.XMATCH(TablaSupervisores[REFERENCIA],TablaSeleccionSupervisores[#Headers])))</f>
        <v>1240</v>
      </c>
      <c r="AA437" cm="1">
        <f t="array" ref="AA437">SUM(TablaSupervisores[OBJETOS]*INDEX(TablaSeleccionSupervisores[],ROW(TablaSeleccionSupervisores[[#This Row],[ORDEN]])-1,_xlfn.XMATCH(TablaSupervisores[REFERENCIA],TablaSeleccionSupervisores[#Headers])))</f>
        <v>25000</v>
      </c>
      <c r="AB437" s="28" cm="1">
        <f t="array" ref="AB437">SUM(TablaSupervisores[COSTE]*INDEX(TablaSeleccionSupervisores[],ROW(TablaSeleccionSupervisores[[#This Row],[ORDEN]])-1,_xlfn.XMATCH(TablaSupervisores[REFERENCIA],TablaSeleccionSupervisores[#Headers])))</f>
        <v>22304.120000000003</v>
      </c>
      <c r="AC437" cm="1">
        <f t="array" ref="AC437">SUM(INDEX(TablaSeleccionSupervisores[],ROW(TablaSeleccionSupervisores[[#This Row],[ORDEN]])-1,_xlfn.XMATCH(TablaSupervisores[REFERENCIA],TablaSeleccionSupervisores[#Headers])))</f>
        <v>8</v>
      </c>
      <c r="AD437" t="str" cm="1">
        <f t="array" ref="AD437">IF(INDEX(TablaSeleccionSupervisores[],ROW(TablaSeleccionSupervisores[[#This Row],[ORDEN]])-1,_xlfn.XMATCH("ADMITIDO ADSLITE",TablaSeleccionSupervisores[#Headers])+1)=0,"Sí admitido","No admitido")</f>
        <v>No admitido</v>
      </c>
      <c r="AE437">
        <v>2</v>
      </c>
      <c r="AF437">
        <v>2</v>
      </c>
      <c r="AG437">
        <v>0</v>
      </c>
      <c r="AH437">
        <v>4</v>
      </c>
    </row>
    <row r="438" spans="22:34" x14ac:dyDescent="0.25">
      <c r="V438">
        <v>437</v>
      </c>
      <c r="W438" cm="1">
        <f t="array" ref="W438">SUM(TablaSupervisores[DISPOSITIVOS TOTAL]*INDEX(TablaSeleccionSupervisores[],ROW(TablaSeleccionSupervisores[[#This Row],[ORDEN]])-1,_xlfn.XMATCH(TablaSupervisores[REFERENCIA],TablaSeleccionSupervisores[#Headers])))</f>
        <v>466</v>
      </c>
      <c r="X438" cm="1">
        <f t="array" ref="X438">SUM(TablaSupervisores[DISPOSITIVOS BACNET MS/TP JC]*INDEX(TablaSeleccionSupervisores[],ROW(TablaSeleccionSupervisores[[#This Row],[ORDEN]])-1,_xlfn.XMATCH(TablaSupervisores[REFERENCIA],TablaSeleccionSupervisores[#Headers])))</f>
        <v>316</v>
      </c>
      <c r="Y438" cm="1">
        <f t="array" ref="Y438">SUM(TablaSupervisores[DISPOSITIVOS BACNET MS/TP COMPATIBLES]*INDEX(TablaSeleccionSupervisores[],ROW(TablaSeleccionSupervisores[[#This Row],[ORDEN]])-1,_xlfn.XMATCH(TablaSupervisores[REFERENCIA],TablaSeleccionSupervisores[#Headers])))</f>
        <v>208</v>
      </c>
      <c r="Z438" cm="1">
        <f t="array" ref="Z438">SUM(TablaSupervisores[DISPOSITIVOS BACNET IP]*INDEX(TablaSeleccionSupervisores[],ROW(TablaSeleccionSupervisores[[#This Row],[ORDEN]])-1,_xlfn.XMATCH(TablaSupervisores[REFERENCIA],TablaSeleccionSupervisores[#Headers])))</f>
        <v>640</v>
      </c>
      <c r="AA438" cm="1">
        <f t="array" ref="AA438">SUM(TablaSupervisores[OBJETOS]*INDEX(TablaSeleccionSupervisores[],ROW(TablaSeleccionSupervisores[[#This Row],[ORDEN]])-1,_xlfn.XMATCH(TablaSupervisores[REFERENCIA],TablaSeleccionSupervisores[#Headers])))</f>
        <v>17500</v>
      </c>
      <c r="AB438" s="28" cm="1">
        <f t="array" ref="AB438">SUM(TablaSupervisores[COSTE]*INDEX(TablaSeleccionSupervisores[],ROW(TablaSeleccionSupervisores[[#This Row],[ORDEN]])-1,_xlfn.XMATCH(TablaSupervisores[REFERENCIA],TablaSeleccionSupervisores[#Headers])))</f>
        <v>14959.59</v>
      </c>
      <c r="AC438" cm="1">
        <f t="array" ref="AC438">SUM(INDEX(TablaSeleccionSupervisores[],ROW(TablaSeleccionSupervisores[[#This Row],[ORDEN]])-1,_xlfn.XMATCH(TablaSupervisores[REFERENCIA],TablaSeleccionSupervisores[#Headers])))</f>
        <v>7</v>
      </c>
      <c r="AD438" t="str" cm="1">
        <f t="array" ref="AD438">IF(INDEX(TablaSeleccionSupervisores[],ROW(TablaSeleccionSupervisores[[#This Row],[ORDEN]])-1,_xlfn.XMATCH("ADMITIDO ADSLITE",TablaSeleccionSupervisores[#Headers])+1)=0,"Sí admitido","No admitido")</f>
        <v>Sí admitido</v>
      </c>
      <c r="AE438">
        <v>0</v>
      </c>
      <c r="AF438">
        <v>3</v>
      </c>
      <c r="AG438">
        <v>0</v>
      </c>
      <c r="AH438">
        <v>4</v>
      </c>
    </row>
    <row r="439" spans="22:34" x14ac:dyDescent="0.25">
      <c r="V439">
        <v>438</v>
      </c>
      <c r="W439" cm="1">
        <f t="array" ref="W439">SUM(TablaSupervisores[DISPOSITIVOS TOTAL]*INDEX(TablaSeleccionSupervisores[],ROW(TablaSeleccionSupervisores[[#This Row],[ORDEN]])-1,_xlfn.XMATCH(TablaSupervisores[REFERENCIA],TablaSeleccionSupervisores[#Headers])))</f>
        <v>1066</v>
      </c>
      <c r="X439" cm="1">
        <f t="array" ref="X439">SUM(TablaSupervisores[DISPOSITIVOS BACNET MS/TP JC]*INDEX(TablaSeleccionSupervisores[],ROW(TablaSeleccionSupervisores[[#This Row],[ORDEN]])-1,_xlfn.XMATCH(TablaSupervisores[REFERENCIA],TablaSeleccionSupervisores[#Headers])))</f>
        <v>516</v>
      </c>
      <c r="Y439" cm="1">
        <f t="array" ref="Y439">SUM(TablaSupervisores[DISPOSITIVOS BACNET MS/TP COMPATIBLES]*INDEX(TablaSeleccionSupervisores[],ROW(TablaSeleccionSupervisores[[#This Row],[ORDEN]])-1,_xlfn.XMATCH(TablaSupervisores[REFERENCIA],TablaSeleccionSupervisores[#Headers])))</f>
        <v>336</v>
      </c>
      <c r="Z439" cm="1">
        <f t="array" ref="Z439">SUM(TablaSupervisores[DISPOSITIVOS BACNET IP]*INDEX(TablaSeleccionSupervisores[],ROW(TablaSeleccionSupervisores[[#This Row],[ORDEN]])-1,_xlfn.XMATCH(TablaSupervisores[REFERENCIA],TablaSeleccionSupervisores[#Headers])))</f>
        <v>1040</v>
      </c>
      <c r="AA439" cm="1">
        <f t="array" ref="AA439">SUM(TablaSupervisores[OBJETOS]*INDEX(TablaSeleccionSupervisores[],ROW(TablaSeleccionSupervisores[[#This Row],[ORDEN]])-1,_xlfn.XMATCH(TablaSupervisores[REFERENCIA],TablaSeleccionSupervisores[#Headers])))</f>
        <v>22500</v>
      </c>
      <c r="AB439" s="28" cm="1">
        <f t="array" ref="AB439">SUM(TablaSupervisores[COSTE]*INDEX(TablaSeleccionSupervisores[],ROW(TablaSeleccionSupervisores[[#This Row],[ORDEN]])-1,_xlfn.XMATCH(TablaSupervisores[REFERENCIA],TablaSeleccionSupervisores[#Headers])))</f>
        <v>20626.22</v>
      </c>
      <c r="AC439" cm="1">
        <f t="array" ref="AC439">SUM(INDEX(TablaSeleccionSupervisores[],ROW(TablaSeleccionSupervisores[[#This Row],[ORDEN]])-1,_xlfn.XMATCH(TablaSupervisores[REFERENCIA],TablaSeleccionSupervisores[#Headers])))</f>
        <v>8</v>
      </c>
      <c r="AD439" t="str" cm="1">
        <f t="array" ref="AD439">IF(INDEX(TablaSeleccionSupervisores[],ROW(TablaSeleccionSupervisores[[#This Row],[ORDEN]])-1,_xlfn.XMATCH("ADMITIDO ADSLITE",TablaSeleccionSupervisores[#Headers])+1)=0,"Sí admitido","No admitido")</f>
        <v>No admitido</v>
      </c>
      <c r="AE439">
        <v>1</v>
      </c>
      <c r="AF439">
        <v>3</v>
      </c>
      <c r="AG439">
        <v>0</v>
      </c>
      <c r="AH439">
        <v>4</v>
      </c>
    </row>
    <row r="440" spans="22:34" x14ac:dyDescent="0.25">
      <c r="V440">
        <v>439</v>
      </c>
      <c r="W440" cm="1">
        <f t="array" ref="W440">SUM(TablaSupervisores[DISPOSITIVOS TOTAL]*INDEX(TablaSeleccionSupervisores[],ROW(TablaSeleccionSupervisores[[#This Row],[ORDEN]])-1,_xlfn.XMATCH(TablaSupervisores[REFERENCIA],TablaSeleccionSupervisores[#Headers])))</f>
        <v>616</v>
      </c>
      <c r="X440" cm="1">
        <f t="array" ref="X440">SUM(TablaSupervisores[DISPOSITIVOS BACNET MS/TP JC]*INDEX(TablaSeleccionSupervisores[],ROW(TablaSeleccionSupervisores[[#This Row],[ORDEN]])-1,_xlfn.XMATCH(TablaSupervisores[REFERENCIA],TablaSeleccionSupervisores[#Headers])))</f>
        <v>416</v>
      </c>
      <c r="Y440" cm="1">
        <f t="array" ref="Y440">SUM(TablaSupervisores[DISPOSITIVOS BACNET MS/TP COMPATIBLES]*INDEX(TablaSeleccionSupervisores[],ROW(TablaSeleccionSupervisores[[#This Row],[ORDEN]])-1,_xlfn.XMATCH(TablaSupervisores[REFERENCIA],TablaSeleccionSupervisores[#Headers])))</f>
        <v>272</v>
      </c>
      <c r="Z440" cm="1">
        <f t="array" ref="Z440">SUM(TablaSupervisores[DISPOSITIVOS BACNET IP]*INDEX(TablaSeleccionSupervisores[],ROW(TablaSeleccionSupervisores[[#This Row],[ORDEN]])-1,_xlfn.XMATCH(TablaSupervisores[REFERENCIA],TablaSeleccionSupervisores[#Headers])))</f>
        <v>840</v>
      </c>
      <c r="AA440" cm="1">
        <f t="array" ref="AA440">SUM(TablaSupervisores[OBJETOS]*INDEX(TablaSeleccionSupervisores[],ROW(TablaSeleccionSupervisores[[#This Row],[ORDEN]])-1,_xlfn.XMATCH(TablaSupervisores[REFERENCIA],TablaSeleccionSupervisores[#Headers])))</f>
        <v>20000</v>
      </c>
      <c r="AB440" s="28" cm="1">
        <f t="array" ref="AB440">SUM(TablaSupervisores[COSTE]*INDEX(TablaSeleccionSupervisores[],ROW(TablaSeleccionSupervisores[[#This Row],[ORDEN]])-1,_xlfn.XMATCH(TablaSupervisores[REFERENCIA],TablaSeleccionSupervisores[#Headers])))</f>
        <v>18948.32</v>
      </c>
      <c r="AC440" cm="1">
        <f t="array" ref="AC440">SUM(INDEX(TablaSeleccionSupervisores[],ROW(TablaSeleccionSupervisores[[#This Row],[ORDEN]])-1,_xlfn.XMATCH(TablaSupervisores[REFERENCIA],TablaSeleccionSupervisores[#Headers])))</f>
        <v>8</v>
      </c>
      <c r="AD440" t="str" cm="1">
        <f t="array" ref="AD440">IF(INDEX(TablaSeleccionSupervisores[],ROW(TablaSeleccionSupervisores[[#This Row],[ORDEN]])-1,_xlfn.XMATCH("ADMITIDO ADSLITE",TablaSeleccionSupervisores[#Headers])+1)=0,"Sí admitido","No admitido")</f>
        <v>Sí admitido</v>
      </c>
      <c r="AE440">
        <v>0</v>
      </c>
      <c r="AF440">
        <v>4</v>
      </c>
      <c r="AG440">
        <v>0</v>
      </c>
      <c r="AH440">
        <v>4</v>
      </c>
    </row>
    <row r="441" spans="22:34" x14ac:dyDescent="0.25">
      <c r="V441">
        <v>440</v>
      </c>
      <c r="W441" cm="1">
        <f t="array" ref="W441">SUM(TablaSupervisores[DISPOSITIVOS TOTAL]*INDEX(TablaSeleccionSupervisores[],ROW(TablaSeleccionSupervisores[[#This Row],[ORDEN]])-1,_xlfn.XMATCH(TablaSupervisores[REFERENCIA],TablaSeleccionSupervisores[#Headers])))</f>
        <v>76</v>
      </c>
      <c r="X441" cm="1">
        <f t="array" ref="X441">SUM(TablaSupervisores[DISPOSITIVOS BACNET MS/TP JC]*INDEX(TablaSeleccionSupervisores[],ROW(TablaSeleccionSupervisores[[#This Row],[ORDEN]])-1,_xlfn.XMATCH(TablaSupervisores[REFERENCIA],TablaSeleccionSupervisores[#Headers])))</f>
        <v>66</v>
      </c>
      <c r="Y441" cm="1">
        <f t="array" ref="Y441">SUM(TablaSupervisores[DISPOSITIVOS BACNET MS/TP COMPATIBLES]*INDEX(TablaSeleccionSupervisores[],ROW(TablaSeleccionSupervisores[[#This Row],[ORDEN]])-1,_xlfn.XMATCH(TablaSupervisores[REFERENCIA],TablaSeleccionSupervisores[#Headers])))</f>
        <v>48</v>
      </c>
      <c r="Z441" cm="1">
        <f t="array" ref="Z441">SUM(TablaSupervisores[DISPOSITIVOS BACNET IP]*INDEX(TablaSeleccionSupervisores[],ROW(TablaSeleccionSupervisores[[#This Row],[ORDEN]])-1,_xlfn.XMATCH(TablaSupervisores[REFERENCIA],TablaSeleccionSupervisores[#Headers])))</f>
        <v>140</v>
      </c>
      <c r="AA441" cm="1">
        <f t="array" ref="AA441">SUM(TablaSupervisores[OBJETOS]*INDEX(TablaSeleccionSupervisores[],ROW(TablaSeleccionSupervisores[[#This Row],[ORDEN]])-1,_xlfn.XMATCH(TablaSupervisores[REFERENCIA],TablaSeleccionSupervisores[#Headers])))</f>
        <v>12500</v>
      </c>
      <c r="AB441" s="28" cm="1">
        <f t="array" ref="AB441">SUM(TablaSupervisores[COSTE]*INDEX(TablaSeleccionSupervisores[],ROW(TablaSeleccionSupervisores[[#This Row],[ORDEN]])-1,_xlfn.XMATCH(TablaSupervisores[REFERENCIA],TablaSeleccionSupervisores[#Headers])))</f>
        <v>4416.88</v>
      </c>
      <c r="AC441" cm="1">
        <f t="array" ref="AC441">SUM(INDEX(TablaSeleccionSupervisores[],ROW(TablaSeleccionSupervisores[[#This Row],[ORDEN]])-1,_xlfn.XMATCH(TablaSupervisores[REFERENCIA],TablaSeleccionSupervisores[#Headers])))</f>
        <v>5</v>
      </c>
      <c r="AD441" t="str" cm="1">
        <f t="array" ref="AD441">IF(INDEX(TablaSeleccionSupervisores[],ROW(TablaSeleccionSupervisores[[#This Row],[ORDEN]])-1,_xlfn.XMATCH("ADMITIDO ADSLITE",TablaSeleccionSupervisores[#Headers])+1)=0,"Sí admitido","No admitido")</f>
        <v>Sí admitido</v>
      </c>
      <c r="AE441">
        <v>0</v>
      </c>
      <c r="AF441">
        <v>0</v>
      </c>
      <c r="AG441">
        <v>1</v>
      </c>
      <c r="AH441">
        <v>4</v>
      </c>
    </row>
    <row r="442" spans="22:34" x14ac:dyDescent="0.25">
      <c r="V442">
        <v>441</v>
      </c>
      <c r="W442" cm="1">
        <f t="array" ref="W442">SUM(TablaSupervisores[DISPOSITIVOS TOTAL]*INDEX(TablaSeleccionSupervisores[],ROW(TablaSeleccionSupervisores[[#This Row],[ORDEN]])-1,_xlfn.XMATCH(TablaSupervisores[REFERENCIA],TablaSeleccionSupervisores[#Headers])))</f>
        <v>676</v>
      </c>
      <c r="X442" cm="1">
        <f t="array" ref="X442">SUM(TablaSupervisores[DISPOSITIVOS BACNET MS/TP JC]*INDEX(TablaSeleccionSupervisores[],ROW(TablaSeleccionSupervisores[[#This Row],[ORDEN]])-1,_xlfn.XMATCH(TablaSupervisores[REFERENCIA],TablaSeleccionSupervisores[#Headers])))</f>
        <v>266</v>
      </c>
      <c r="Y442" cm="1">
        <f t="array" ref="Y442">SUM(TablaSupervisores[DISPOSITIVOS BACNET MS/TP COMPATIBLES]*INDEX(TablaSeleccionSupervisores[],ROW(TablaSeleccionSupervisores[[#This Row],[ORDEN]])-1,_xlfn.XMATCH(TablaSupervisores[REFERENCIA],TablaSeleccionSupervisores[#Headers])))</f>
        <v>176</v>
      </c>
      <c r="Z442" cm="1">
        <f t="array" ref="Z442">SUM(TablaSupervisores[DISPOSITIVOS BACNET IP]*INDEX(TablaSeleccionSupervisores[],ROW(TablaSeleccionSupervisores[[#This Row],[ORDEN]])-1,_xlfn.XMATCH(TablaSupervisores[REFERENCIA],TablaSeleccionSupervisores[#Headers])))</f>
        <v>540</v>
      </c>
      <c r="AA442" cm="1">
        <f t="array" ref="AA442">SUM(TablaSupervisores[OBJETOS]*INDEX(TablaSeleccionSupervisores[],ROW(TablaSeleccionSupervisores[[#This Row],[ORDEN]])-1,_xlfn.XMATCH(TablaSupervisores[REFERENCIA],TablaSeleccionSupervisores[#Headers])))</f>
        <v>17500</v>
      </c>
      <c r="AB442" s="28" cm="1">
        <f t="array" ref="AB442">SUM(TablaSupervisores[COSTE]*INDEX(TablaSeleccionSupervisores[],ROW(TablaSeleccionSupervisores[[#This Row],[ORDEN]])-1,_xlfn.XMATCH(TablaSupervisores[REFERENCIA],TablaSeleccionSupervisores[#Headers])))</f>
        <v>10083.51</v>
      </c>
      <c r="AC442" cm="1">
        <f t="array" ref="AC442">SUM(INDEX(TablaSeleccionSupervisores[],ROW(TablaSeleccionSupervisores[[#This Row],[ORDEN]])-1,_xlfn.XMATCH(TablaSupervisores[REFERENCIA],TablaSeleccionSupervisores[#Headers])))</f>
        <v>6</v>
      </c>
      <c r="AD442" t="str" cm="1">
        <f t="array" ref="AD442">IF(INDEX(TablaSeleccionSupervisores[],ROW(TablaSeleccionSupervisores[[#This Row],[ORDEN]])-1,_xlfn.XMATCH("ADMITIDO ADSLITE",TablaSeleccionSupervisores[#Headers])+1)=0,"Sí admitido","No admitido")</f>
        <v>No admitido</v>
      </c>
      <c r="AE442">
        <v>1</v>
      </c>
      <c r="AF442">
        <v>0</v>
      </c>
      <c r="AG442">
        <v>1</v>
      </c>
      <c r="AH442">
        <v>4</v>
      </c>
    </row>
    <row r="443" spans="22:34" x14ac:dyDescent="0.25">
      <c r="V443">
        <v>442</v>
      </c>
      <c r="W443" cm="1">
        <f t="array" ref="W443">SUM(TablaSupervisores[DISPOSITIVOS TOTAL]*INDEX(TablaSeleccionSupervisores[],ROW(TablaSeleccionSupervisores[[#This Row],[ORDEN]])-1,_xlfn.XMATCH(TablaSupervisores[REFERENCIA],TablaSeleccionSupervisores[#Headers])))</f>
        <v>1276</v>
      </c>
      <c r="X443" cm="1">
        <f t="array" ref="X443">SUM(TablaSupervisores[DISPOSITIVOS BACNET MS/TP JC]*INDEX(TablaSeleccionSupervisores[],ROW(TablaSeleccionSupervisores[[#This Row],[ORDEN]])-1,_xlfn.XMATCH(TablaSupervisores[REFERENCIA],TablaSeleccionSupervisores[#Headers])))</f>
        <v>466</v>
      </c>
      <c r="Y443" cm="1">
        <f t="array" ref="Y443">SUM(TablaSupervisores[DISPOSITIVOS BACNET MS/TP COMPATIBLES]*INDEX(TablaSeleccionSupervisores[],ROW(TablaSeleccionSupervisores[[#This Row],[ORDEN]])-1,_xlfn.XMATCH(TablaSupervisores[REFERENCIA],TablaSeleccionSupervisores[#Headers])))</f>
        <v>304</v>
      </c>
      <c r="Z443" cm="1">
        <f t="array" ref="Z443">SUM(TablaSupervisores[DISPOSITIVOS BACNET IP]*INDEX(TablaSeleccionSupervisores[],ROW(TablaSeleccionSupervisores[[#This Row],[ORDEN]])-1,_xlfn.XMATCH(TablaSupervisores[REFERENCIA],TablaSeleccionSupervisores[#Headers])))</f>
        <v>940</v>
      </c>
      <c r="AA443" cm="1">
        <f t="array" ref="AA443">SUM(TablaSupervisores[OBJETOS]*INDEX(TablaSeleccionSupervisores[],ROW(TablaSeleccionSupervisores[[#This Row],[ORDEN]])-1,_xlfn.XMATCH(TablaSupervisores[REFERENCIA],TablaSeleccionSupervisores[#Headers])))</f>
        <v>22500</v>
      </c>
      <c r="AB443" s="28" cm="1">
        <f t="array" ref="AB443">SUM(TablaSupervisores[COSTE]*INDEX(TablaSeleccionSupervisores[],ROW(TablaSeleccionSupervisores[[#This Row],[ORDEN]])-1,_xlfn.XMATCH(TablaSupervisores[REFERENCIA],TablaSeleccionSupervisores[#Headers])))</f>
        <v>15750.14</v>
      </c>
      <c r="AC443" cm="1">
        <f t="array" ref="AC443">SUM(INDEX(TablaSeleccionSupervisores[],ROW(TablaSeleccionSupervisores[[#This Row],[ORDEN]])-1,_xlfn.XMATCH(TablaSupervisores[REFERENCIA],TablaSeleccionSupervisores[#Headers])))</f>
        <v>7</v>
      </c>
      <c r="AD443" t="str" cm="1">
        <f t="array" ref="AD443">IF(INDEX(TablaSeleccionSupervisores[],ROW(TablaSeleccionSupervisores[[#This Row],[ORDEN]])-1,_xlfn.XMATCH("ADMITIDO ADSLITE",TablaSeleccionSupervisores[#Headers])+1)=0,"Sí admitido","No admitido")</f>
        <v>No admitido</v>
      </c>
      <c r="AE443">
        <v>2</v>
      </c>
      <c r="AF443">
        <v>0</v>
      </c>
      <c r="AG443">
        <v>1</v>
      </c>
      <c r="AH443">
        <v>4</v>
      </c>
    </row>
    <row r="444" spans="22:34" x14ac:dyDescent="0.25">
      <c r="V444">
        <v>443</v>
      </c>
      <c r="W444" cm="1">
        <f t="array" ref="W444">SUM(TablaSupervisores[DISPOSITIVOS TOTAL]*INDEX(TablaSeleccionSupervisores[],ROW(TablaSeleccionSupervisores[[#This Row],[ORDEN]])-1,_xlfn.XMATCH(TablaSupervisores[REFERENCIA],TablaSeleccionSupervisores[#Headers])))</f>
        <v>1876</v>
      </c>
      <c r="X444" cm="1">
        <f t="array" ref="X444">SUM(TablaSupervisores[DISPOSITIVOS BACNET MS/TP JC]*INDEX(TablaSeleccionSupervisores[],ROW(TablaSeleccionSupervisores[[#This Row],[ORDEN]])-1,_xlfn.XMATCH(TablaSupervisores[REFERENCIA],TablaSeleccionSupervisores[#Headers])))</f>
        <v>666</v>
      </c>
      <c r="Y444" cm="1">
        <f t="array" ref="Y444">SUM(TablaSupervisores[DISPOSITIVOS BACNET MS/TP COMPATIBLES]*INDEX(TablaSeleccionSupervisores[],ROW(TablaSeleccionSupervisores[[#This Row],[ORDEN]])-1,_xlfn.XMATCH(TablaSupervisores[REFERENCIA],TablaSeleccionSupervisores[#Headers])))</f>
        <v>432</v>
      </c>
      <c r="Z444" cm="1">
        <f t="array" ref="Z444">SUM(TablaSupervisores[DISPOSITIVOS BACNET IP]*INDEX(TablaSeleccionSupervisores[],ROW(TablaSeleccionSupervisores[[#This Row],[ORDEN]])-1,_xlfn.XMATCH(TablaSupervisores[REFERENCIA],TablaSeleccionSupervisores[#Headers])))</f>
        <v>1340</v>
      </c>
      <c r="AA444" cm="1">
        <f t="array" ref="AA444">SUM(TablaSupervisores[OBJETOS]*INDEX(TablaSeleccionSupervisores[],ROW(TablaSeleccionSupervisores[[#This Row],[ORDEN]])-1,_xlfn.XMATCH(TablaSupervisores[REFERENCIA],TablaSeleccionSupervisores[#Headers])))</f>
        <v>27500</v>
      </c>
      <c r="AB444" s="28" cm="1">
        <f t="array" ref="AB444">SUM(TablaSupervisores[COSTE]*INDEX(TablaSeleccionSupervisores[],ROW(TablaSeleccionSupervisores[[#This Row],[ORDEN]])-1,_xlfn.XMATCH(TablaSupervisores[REFERENCIA],TablaSeleccionSupervisores[#Headers])))</f>
        <v>21416.77</v>
      </c>
      <c r="AC444" cm="1">
        <f t="array" ref="AC444">SUM(INDEX(TablaSeleccionSupervisores[],ROW(TablaSeleccionSupervisores[[#This Row],[ORDEN]])-1,_xlfn.XMATCH(TablaSupervisores[REFERENCIA],TablaSeleccionSupervisores[#Headers])))</f>
        <v>8</v>
      </c>
      <c r="AD444" t="str" cm="1">
        <f t="array" ref="AD444">IF(INDEX(TablaSeleccionSupervisores[],ROW(TablaSeleccionSupervisores[[#This Row],[ORDEN]])-1,_xlfn.XMATCH("ADMITIDO ADSLITE",TablaSeleccionSupervisores[#Headers])+1)=0,"Sí admitido","No admitido")</f>
        <v>No admitido</v>
      </c>
      <c r="AE444">
        <v>3</v>
      </c>
      <c r="AF444">
        <v>0</v>
      </c>
      <c r="AG444">
        <v>1</v>
      </c>
      <c r="AH444">
        <v>4</v>
      </c>
    </row>
    <row r="445" spans="22:34" x14ac:dyDescent="0.25">
      <c r="V445">
        <v>444</v>
      </c>
      <c r="W445" cm="1">
        <f t="array" ref="W445">SUM(TablaSupervisores[DISPOSITIVOS TOTAL]*INDEX(TablaSeleccionSupervisores[],ROW(TablaSeleccionSupervisores[[#This Row],[ORDEN]])-1,_xlfn.XMATCH(TablaSupervisores[REFERENCIA],TablaSeleccionSupervisores[#Headers])))</f>
        <v>226</v>
      </c>
      <c r="X445" cm="1">
        <f t="array" ref="X445">SUM(TablaSupervisores[DISPOSITIVOS BACNET MS/TP JC]*INDEX(TablaSeleccionSupervisores[],ROW(TablaSeleccionSupervisores[[#This Row],[ORDEN]])-1,_xlfn.XMATCH(TablaSupervisores[REFERENCIA],TablaSeleccionSupervisores[#Headers])))</f>
        <v>166</v>
      </c>
      <c r="Y445" cm="1">
        <f t="array" ref="Y445">SUM(TablaSupervisores[DISPOSITIVOS BACNET MS/TP COMPATIBLES]*INDEX(TablaSeleccionSupervisores[],ROW(TablaSeleccionSupervisores[[#This Row],[ORDEN]])-1,_xlfn.XMATCH(TablaSupervisores[REFERENCIA],TablaSeleccionSupervisores[#Headers])))</f>
        <v>112</v>
      </c>
      <c r="Z445" cm="1">
        <f t="array" ref="Z445">SUM(TablaSupervisores[DISPOSITIVOS BACNET IP]*INDEX(TablaSeleccionSupervisores[],ROW(TablaSeleccionSupervisores[[#This Row],[ORDEN]])-1,_xlfn.XMATCH(TablaSupervisores[REFERENCIA],TablaSeleccionSupervisores[#Headers])))</f>
        <v>340</v>
      </c>
      <c r="AA445" cm="1">
        <f t="array" ref="AA445">SUM(TablaSupervisores[OBJETOS]*INDEX(TablaSeleccionSupervisores[],ROW(TablaSeleccionSupervisores[[#This Row],[ORDEN]])-1,_xlfn.XMATCH(TablaSupervisores[REFERENCIA],TablaSeleccionSupervisores[#Headers])))</f>
        <v>15000</v>
      </c>
      <c r="AB445" s="28" cm="1">
        <f t="array" ref="AB445">SUM(TablaSupervisores[COSTE]*INDEX(TablaSeleccionSupervisores[],ROW(TablaSeleccionSupervisores[[#This Row],[ORDEN]])-1,_xlfn.XMATCH(TablaSupervisores[REFERENCIA],TablaSeleccionSupervisores[#Headers])))</f>
        <v>8405.61</v>
      </c>
      <c r="AC445" cm="1">
        <f t="array" ref="AC445">SUM(INDEX(TablaSeleccionSupervisores[],ROW(TablaSeleccionSupervisores[[#This Row],[ORDEN]])-1,_xlfn.XMATCH(TablaSupervisores[REFERENCIA],TablaSeleccionSupervisores[#Headers])))</f>
        <v>6</v>
      </c>
      <c r="AD445" t="str" cm="1">
        <f t="array" ref="AD445">IF(INDEX(TablaSeleccionSupervisores[],ROW(TablaSeleccionSupervisores[[#This Row],[ORDEN]])-1,_xlfn.XMATCH("ADMITIDO ADSLITE",TablaSeleccionSupervisores[#Headers])+1)=0,"Sí admitido","No admitido")</f>
        <v>Sí admitido</v>
      </c>
      <c r="AE445">
        <v>0</v>
      </c>
      <c r="AF445">
        <v>1</v>
      </c>
      <c r="AG445">
        <v>1</v>
      </c>
      <c r="AH445">
        <v>4</v>
      </c>
    </row>
    <row r="446" spans="22:34" x14ac:dyDescent="0.25">
      <c r="V446">
        <v>445</v>
      </c>
      <c r="W446" cm="1">
        <f t="array" ref="W446">SUM(TablaSupervisores[DISPOSITIVOS TOTAL]*INDEX(TablaSeleccionSupervisores[],ROW(TablaSeleccionSupervisores[[#This Row],[ORDEN]])-1,_xlfn.XMATCH(TablaSupervisores[REFERENCIA],TablaSeleccionSupervisores[#Headers])))</f>
        <v>826</v>
      </c>
      <c r="X446" cm="1">
        <f t="array" ref="X446">SUM(TablaSupervisores[DISPOSITIVOS BACNET MS/TP JC]*INDEX(TablaSeleccionSupervisores[],ROW(TablaSeleccionSupervisores[[#This Row],[ORDEN]])-1,_xlfn.XMATCH(TablaSupervisores[REFERENCIA],TablaSeleccionSupervisores[#Headers])))</f>
        <v>366</v>
      </c>
      <c r="Y446" cm="1">
        <f t="array" ref="Y446">SUM(TablaSupervisores[DISPOSITIVOS BACNET MS/TP COMPATIBLES]*INDEX(TablaSeleccionSupervisores[],ROW(TablaSeleccionSupervisores[[#This Row],[ORDEN]])-1,_xlfn.XMATCH(TablaSupervisores[REFERENCIA],TablaSeleccionSupervisores[#Headers])))</f>
        <v>240</v>
      </c>
      <c r="Z446" cm="1">
        <f t="array" ref="Z446">SUM(TablaSupervisores[DISPOSITIVOS BACNET IP]*INDEX(TablaSeleccionSupervisores[],ROW(TablaSeleccionSupervisores[[#This Row],[ORDEN]])-1,_xlfn.XMATCH(TablaSupervisores[REFERENCIA],TablaSeleccionSupervisores[#Headers])))</f>
        <v>740</v>
      </c>
      <c r="AA446" cm="1">
        <f t="array" ref="AA446">SUM(TablaSupervisores[OBJETOS]*INDEX(TablaSeleccionSupervisores[],ROW(TablaSeleccionSupervisores[[#This Row],[ORDEN]])-1,_xlfn.XMATCH(TablaSupervisores[REFERENCIA],TablaSeleccionSupervisores[#Headers])))</f>
        <v>20000</v>
      </c>
      <c r="AB446" s="28" cm="1">
        <f t="array" ref="AB446">SUM(TablaSupervisores[COSTE]*INDEX(TablaSeleccionSupervisores[],ROW(TablaSeleccionSupervisores[[#This Row],[ORDEN]])-1,_xlfn.XMATCH(TablaSupervisores[REFERENCIA],TablaSeleccionSupervisores[#Headers])))</f>
        <v>14072.24</v>
      </c>
      <c r="AC446" cm="1">
        <f t="array" ref="AC446">SUM(INDEX(TablaSeleccionSupervisores[],ROW(TablaSeleccionSupervisores[[#This Row],[ORDEN]])-1,_xlfn.XMATCH(TablaSupervisores[REFERENCIA],TablaSeleccionSupervisores[#Headers])))</f>
        <v>7</v>
      </c>
      <c r="AD446" t="str" cm="1">
        <f t="array" ref="AD446">IF(INDEX(TablaSeleccionSupervisores[],ROW(TablaSeleccionSupervisores[[#This Row],[ORDEN]])-1,_xlfn.XMATCH("ADMITIDO ADSLITE",TablaSeleccionSupervisores[#Headers])+1)=0,"Sí admitido","No admitido")</f>
        <v>No admitido</v>
      </c>
      <c r="AE446">
        <v>1</v>
      </c>
      <c r="AF446">
        <v>1</v>
      </c>
      <c r="AG446">
        <v>1</v>
      </c>
      <c r="AH446">
        <v>4</v>
      </c>
    </row>
    <row r="447" spans="22:34" x14ac:dyDescent="0.25">
      <c r="V447">
        <v>446</v>
      </c>
      <c r="W447" cm="1">
        <f t="array" ref="W447">SUM(TablaSupervisores[DISPOSITIVOS TOTAL]*INDEX(TablaSeleccionSupervisores[],ROW(TablaSeleccionSupervisores[[#This Row],[ORDEN]])-1,_xlfn.XMATCH(TablaSupervisores[REFERENCIA],TablaSeleccionSupervisores[#Headers])))</f>
        <v>1426</v>
      </c>
      <c r="X447" cm="1">
        <f t="array" ref="X447">SUM(TablaSupervisores[DISPOSITIVOS BACNET MS/TP JC]*INDEX(TablaSeleccionSupervisores[],ROW(TablaSeleccionSupervisores[[#This Row],[ORDEN]])-1,_xlfn.XMATCH(TablaSupervisores[REFERENCIA],TablaSeleccionSupervisores[#Headers])))</f>
        <v>566</v>
      </c>
      <c r="Y447" cm="1">
        <f t="array" ref="Y447">SUM(TablaSupervisores[DISPOSITIVOS BACNET MS/TP COMPATIBLES]*INDEX(TablaSeleccionSupervisores[],ROW(TablaSeleccionSupervisores[[#This Row],[ORDEN]])-1,_xlfn.XMATCH(TablaSupervisores[REFERENCIA],TablaSeleccionSupervisores[#Headers])))</f>
        <v>368</v>
      </c>
      <c r="Z447" cm="1">
        <f t="array" ref="Z447">SUM(TablaSupervisores[DISPOSITIVOS BACNET IP]*INDEX(TablaSeleccionSupervisores[],ROW(TablaSeleccionSupervisores[[#This Row],[ORDEN]])-1,_xlfn.XMATCH(TablaSupervisores[REFERENCIA],TablaSeleccionSupervisores[#Headers])))</f>
        <v>1140</v>
      </c>
      <c r="AA447" cm="1">
        <f t="array" ref="AA447">SUM(TablaSupervisores[OBJETOS]*INDEX(TablaSeleccionSupervisores[],ROW(TablaSeleccionSupervisores[[#This Row],[ORDEN]])-1,_xlfn.XMATCH(TablaSupervisores[REFERENCIA],TablaSeleccionSupervisores[#Headers])))</f>
        <v>25000</v>
      </c>
      <c r="AB447" s="28" cm="1">
        <f t="array" ref="AB447">SUM(TablaSupervisores[COSTE]*INDEX(TablaSeleccionSupervisores[],ROW(TablaSeleccionSupervisores[[#This Row],[ORDEN]])-1,_xlfn.XMATCH(TablaSupervisores[REFERENCIA],TablaSeleccionSupervisores[#Headers])))</f>
        <v>19738.870000000003</v>
      </c>
      <c r="AC447" cm="1">
        <f t="array" ref="AC447">SUM(INDEX(TablaSeleccionSupervisores[],ROW(TablaSeleccionSupervisores[[#This Row],[ORDEN]])-1,_xlfn.XMATCH(TablaSupervisores[REFERENCIA],TablaSeleccionSupervisores[#Headers])))</f>
        <v>8</v>
      </c>
      <c r="AD447" t="str" cm="1">
        <f t="array" ref="AD447">IF(INDEX(TablaSeleccionSupervisores[],ROW(TablaSeleccionSupervisores[[#This Row],[ORDEN]])-1,_xlfn.XMATCH("ADMITIDO ADSLITE",TablaSeleccionSupervisores[#Headers])+1)=0,"Sí admitido","No admitido")</f>
        <v>No admitido</v>
      </c>
      <c r="AE447">
        <v>2</v>
      </c>
      <c r="AF447">
        <v>1</v>
      </c>
      <c r="AG447">
        <v>1</v>
      </c>
      <c r="AH447">
        <v>4</v>
      </c>
    </row>
    <row r="448" spans="22:34" x14ac:dyDescent="0.25">
      <c r="V448">
        <v>447</v>
      </c>
      <c r="W448" cm="1">
        <f t="array" ref="W448">SUM(TablaSupervisores[DISPOSITIVOS TOTAL]*INDEX(TablaSeleccionSupervisores[],ROW(TablaSeleccionSupervisores[[#This Row],[ORDEN]])-1,_xlfn.XMATCH(TablaSupervisores[REFERENCIA],TablaSeleccionSupervisores[#Headers])))</f>
        <v>376</v>
      </c>
      <c r="X448" cm="1">
        <f t="array" ref="X448">SUM(TablaSupervisores[DISPOSITIVOS BACNET MS/TP JC]*INDEX(TablaSeleccionSupervisores[],ROW(TablaSeleccionSupervisores[[#This Row],[ORDEN]])-1,_xlfn.XMATCH(TablaSupervisores[REFERENCIA],TablaSeleccionSupervisores[#Headers])))</f>
        <v>266</v>
      </c>
      <c r="Y448" cm="1">
        <f t="array" ref="Y448">SUM(TablaSupervisores[DISPOSITIVOS BACNET MS/TP COMPATIBLES]*INDEX(TablaSeleccionSupervisores[],ROW(TablaSeleccionSupervisores[[#This Row],[ORDEN]])-1,_xlfn.XMATCH(TablaSupervisores[REFERENCIA],TablaSeleccionSupervisores[#Headers])))</f>
        <v>176</v>
      </c>
      <c r="Z448" cm="1">
        <f t="array" ref="Z448">SUM(TablaSupervisores[DISPOSITIVOS BACNET IP]*INDEX(TablaSeleccionSupervisores[],ROW(TablaSeleccionSupervisores[[#This Row],[ORDEN]])-1,_xlfn.XMATCH(TablaSupervisores[REFERENCIA],TablaSeleccionSupervisores[#Headers])))</f>
        <v>540</v>
      </c>
      <c r="AA448" cm="1">
        <f t="array" ref="AA448">SUM(TablaSupervisores[OBJETOS]*INDEX(TablaSeleccionSupervisores[],ROW(TablaSeleccionSupervisores[[#This Row],[ORDEN]])-1,_xlfn.XMATCH(TablaSupervisores[REFERENCIA],TablaSeleccionSupervisores[#Headers])))</f>
        <v>17500</v>
      </c>
      <c r="AB448" s="28" cm="1">
        <f t="array" ref="AB448">SUM(TablaSupervisores[COSTE]*INDEX(TablaSeleccionSupervisores[],ROW(TablaSeleccionSupervisores[[#This Row],[ORDEN]])-1,_xlfn.XMATCH(TablaSupervisores[REFERENCIA],TablaSeleccionSupervisores[#Headers])))</f>
        <v>12394.34</v>
      </c>
      <c r="AC448" cm="1">
        <f t="array" ref="AC448">SUM(INDEX(TablaSeleccionSupervisores[],ROW(TablaSeleccionSupervisores[[#This Row],[ORDEN]])-1,_xlfn.XMATCH(TablaSupervisores[REFERENCIA],TablaSeleccionSupervisores[#Headers])))</f>
        <v>7</v>
      </c>
      <c r="AD448" t="str" cm="1">
        <f t="array" ref="AD448">IF(INDEX(TablaSeleccionSupervisores[],ROW(TablaSeleccionSupervisores[[#This Row],[ORDEN]])-1,_xlfn.XMATCH("ADMITIDO ADSLITE",TablaSeleccionSupervisores[#Headers])+1)=0,"Sí admitido","No admitido")</f>
        <v>Sí admitido</v>
      </c>
      <c r="AE448">
        <v>0</v>
      </c>
      <c r="AF448">
        <v>2</v>
      </c>
      <c r="AG448">
        <v>1</v>
      </c>
      <c r="AH448">
        <v>4</v>
      </c>
    </row>
    <row r="449" spans="22:34" x14ac:dyDescent="0.25">
      <c r="V449">
        <v>448</v>
      </c>
      <c r="W449" cm="1">
        <f t="array" ref="W449">SUM(TablaSupervisores[DISPOSITIVOS TOTAL]*INDEX(TablaSeleccionSupervisores[],ROW(TablaSeleccionSupervisores[[#This Row],[ORDEN]])-1,_xlfn.XMATCH(TablaSupervisores[REFERENCIA],TablaSeleccionSupervisores[#Headers])))</f>
        <v>976</v>
      </c>
      <c r="X449" cm="1">
        <f t="array" ref="X449">SUM(TablaSupervisores[DISPOSITIVOS BACNET MS/TP JC]*INDEX(TablaSeleccionSupervisores[],ROW(TablaSeleccionSupervisores[[#This Row],[ORDEN]])-1,_xlfn.XMATCH(TablaSupervisores[REFERENCIA],TablaSeleccionSupervisores[#Headers])))</f>
        <v>466</v>
      </c>
      <c r="Y449" cm="1">
        <f t="array" ref="Y449">SUM(TablaSupervisores[DISPOSITIVOS BACNET MS/TP COMPATIBLES]*INDEX(TablaSeleccionSupervisores[],ROW(TablaSeleccionSupervisores[[#This Row],[ORDEN]])-1,_xlfn.XMATCH(TablaSupervisores[REFERENCIA],TablaSeleccionSupervisores[#Headers])))</f>
        <v>304</v>
      </c>
      <c r="Z449" cm="1">
        <f t="array" ref="Z449">SUM(TablaSupervisores[DISPOSITIVOS BACNET IP]*INDEX(TablaSeleccionSupervisores[],ROW(TablaSeleccionSupervisores[[#This Row],[ORDEN]])-1,_xlfn.XMATCH(TablaSupervisores[REFERENCIA],TablaSeleccionSupervisores[#Headers])))</f>
        <v>940</v>
      </c>
      <c r="AA449" cm="1">
        <f t="array" ref="AA449">SUM(TablaSupervisores[OBJETOS]*INDEX(TablaSeleccionSupervisores[],ROW(TablaSeleccionSupervisores[[#This Row],[ORDEN]])-1,_xlfn.XMATCH(TablaSupervisores[REFERENCIA],TablaSeleccionSupervisores[#Headers])))</f>
        <v>22500</v>
      </c>
      <c r="AB449" s="28" cm="1">
        <f t="array" ref="AB449">SUM(TablaSupervisores[COSTE]*INDEX(TablaSeleccionSupervisores[],ROW(TablaSeleccionSupervisores[[#This Row],[ORDEN]])-1,_xlfn.XMATCH(TablaSupervisores[REFERENCIA],TablaSeleccionSupervisores[#Headers])))</f>
        <v>18060.97</v>
      </c>
      <c r="AC449" cm="1">
        <f t="array" ref="AC449">SUM(INDEX(TablaSeleccionSupervisores[],ROW(TablaSeleccionSupervisores[[#This Row],[ORDEN]])-1,_xlfn.XMATCH(TablaSupervisores[REFERENCIA],TablaSeleccionSupervisores[#Headers])))</f>
        <v>8</v>
      </c>
      <c r="AD449" t="str" cm="1">
        <f t="array" ref="AD449">IF(INDEX(TablaSeleccionSupervisores[],ROW(TablaSeleccionSupervisores[[#This Row],[ORDEN]])-1,_xlfn.XMATCH("ADMITIDO ADSLITE",TablaSeleccionSupervisores[#Headers])+1)=0,"Sí admitido","No admitido")</f>
        <v>No admitido</v>
      </c>
      <c r="AE449">
        <v>1</v>
      </c>
      <c r="AF449">
        <v>2</v>
      </c>
      <c r="AG449">
        <v>1</v>
      </c>
      <c r="AH449">
        <v>4</v>
      </c>
    </row>
    <row r="450" spans="22:34" x14ac:dyDescent="0.25">
      <c r="V450">
        <v>449</v>
      </c>
      <c r="W450" cm="1">
        <f t="array" ref="W450">SUM(TablaSupervisores[DISPOSITIVOS TOTAL]*INDEX(TablaSeleccionSupervisores[],ROW(TablaSeleccionSupervisores[[#This Row],[ORDEN]])-1,_xlfn.XMATCH(TablaSupervisores[REFERENCIA],TablaSeleccionSupervisores[#Headers])))</f>
        <v>526</v>
      </c>
      <c r="X450" cm="1">
        <f t="array" ref="X450">SUM(TablaSupervisores[DISPOSITIVOS BACNET MS/TP JC]*INDEX(TablaSeleccionSupervisores[],ROW(TablaSeleccionSupervisores[[#This Row],[ORDEN]])-1,_xlfn.XMATCH(TablaSupervisores[REFERENCIA],TablaSeleccionSupervisores[#Headers])))</f>
        <v>366</v>
      </c>
      <c r="Y450" cm="1">
        <f t="array" ref="Y450">SUM(TablaSupervisores[DISPOSITIVOS BACNET MS/TP COMPATIBLES]*INDEX(TablaSeleccionSupervisores[],ROW(TablaSeleccionSupervisores[[#This Row],[ORDEN]])-1,_xlfn.XMATCH(TablaSupervisores[REFERENCIA],TablaSeleccionSupervisores[#Headers])))</f>
        <v>240</v>
      </c>
      <c r="Z450" cm="1">
        <f t="array" ref="Z450">SUM(TablaSupervisores[DISPOSITIVOS BACNET IP]*INDEX(TablaSeleccionSupervisores[],ROW(TablaSeleccionSupervisores[[#This Row],[ORDEN]])-1,_xlfn.XMATCH(TablaSupervisores[REFERENCIA],TablaSeleccionSupervisores[#Headers])))</f>
        <v>740</v>
      </c>
      <c r="AA450" cm="1">
        <f t="array" ref="AA450">SUM(TablaSupervisores[OBJETOS]*INDEX(TablaSeleccionSupervisores[],ROW(TablaSeleccionSupervisores[[#This Row],[ORDEN]])-1,_xlfn.XMATCH(TablaSupervisores[REFERENCIA],TablaSeleccionSupervisores[#Headers])))</f>
        <v>20000</v>
      </c>
      <c r="AB450" s="28" cm="1">
        <f t="array" ref="AB450">SUM(TablaSupervisores[COSTE]*INDEX(TablaSeleccionSupervisores[],ROW(TablaSeleccionSupervisores[[#This Row],[ORDEN]])-1,_xlfn.XMATCH(TablaSupervisores[REFERENCIA],TablaSeleccionSupervisores[#Headers])))</f>
        <v>16383.07</v>
      </c>
      <c r="AC450" cm="1">
        <f t="array" ref="AC450">SUM(INDEX(TablaSeleccionSupervisores[],ROW(TablaSeleccionSupervisores[[#This Row],[ORDEN]])-1,_xlfn.XMATCH(TablaSupervisores[REFERENCIA],TablaSeleccionSupervisores[#Headers])))</f>
        <v>8</v>
      </c>
      <c r="AD450" t="str" cm="1">
        <f t="array" ref="AD450">IF(INDEX(TablaSeleccionSupervisores[],ROW(TablaSeleccionSupervisores[[#This Row],[ORDEN]])-1,_xlfn.XMATCH("ADMITIDO ADSLITE",TablaSeleccionSupervisores[#Headers])+1)=0,"Sí admitido","No admitido")</f>
        <v>Sí admitido</v>
      </c>
      <c r="AE450">
        <v>0</v>
      </c>
      <c r="AF450">
        <v>3</v>
      </c>
      <c r="AG450">
        <v>1</v>
      </c>
      <c r="AH450">
        <v>4</v>
      </c>
    </row>
    <row r="451" spans="22:34" x14ac:dyDescent="0.25">
      <c r="V451">
        <v>450</v>
      </c>
      <c r="W451" cm="1">
        <f t="array" ref="W451">SUM(TablaSupervisores[DISPOSITIVOS TOTAL]*INDEX(TablaSeleccionSupervisores[],ROW(TablaSeleccionSupervisores[[#This Row],[ORDEN]])-1,_xlfn.XMATCH(TablaSupervisores[REFERENCIA],TablaSeleccionSupervisores[#Headers])))</f>
        <v>136</v>
      </c>
      <c r="X451" cm="1">
        <f t="array" ref="X451">SUM(TablaSupervisores[DISPOSITIVOS BACNET MS/TP JC]*INDEX(TablaSeleccionSupervisores[],ROW(TablaSeleccionSupervisores[[#This Row],[ORDEN]])-1,_xlfn.XMATCH(TablaSupervisores[REFERENCIA],TablaSeleccionSupervisores[#Headers])))</f>
        <v>116</v>
      </c>
      <c r="Y451" cm="1">
        <f t="array" ref="Y451">SUM(TablaSupervisores[DISPOSITIVOS BACNET MS/TP COMPATIBLES]*INDEX(TablaSeleccionSupervisores[],ROW(TablaSeleccionSupervisores[[#This Row],[ORDEN]])-1,_xlfn.XMATCH(TablaSupervisores[REFERENCIA],TablaSeleccionSupervisores[#Headers])))</f>
        <v>80</v>
      </c>
      <c r="Z451" cm="1">
        <f t="array" ref="Z451">SUM(TablaSupervisores[DISPOSITIVOS BACNET IP]*INDEX(TablaSeleccionSupervisores[],ROW(TablaSeleccionSupervisores[[#This Row],[ORDEN]])-1,_xlfn.XMATCH(TablaSupervisores[REFERENCIA],TablaSeleccionSupervisores[#Headers])))</f>
        <v>240</v>
      </c>
      <c r="AA451" cm="1">
        <f t="array" ref="AA451">SUM(TablaSupervisores[OBJETOS]*INDEX(TablaSeleccionSupervisores[],ROW(TablaSeleccionSupervisores[[#This Row],[ORDEN]])-1,_xlfn.XMATCH(TablaSupervisores[REFERENCIA],TablaSeleccionSupervisores[#Headers])))</f>
        <v>15000</v>
      </c>
      <c r="AB451" s="28" cm="1">
        <f t="array" ref="AB451">SUM(TablaSupervisores[COSTE]*INDEX(TablaSeleccionSupervisores[],ROW(TablaSeleccionSupervisores[[#This Row],[ORDEN]])-1,_xlfn.XMATCH(TablaSupervisores[REFERENCIA],TablaSeleccionSupervisores[#Headers])))</f>
        <v>5840.3600000000006</v>
      </c>
      <c r="AC451" cm="1">
        <f t="array" ref="AC451">SUM(INDEX(TablaSeleccionSupervisores[],ROW(TablaSeleccionSupervisores[[#This Row],[ORDEN]])-1,_xlfn.XMATCH(TablaSupervisores[REFERENCIA],TablaSeleccionSupervisores[#Headers])))</f>
        <v>6</v>
      </c>
      <c r="AD451" t="str" cm="1">
        <f t="array" ref="AD451">IF(INDEX(TablaSeleccionSupervisores[],ROW(TablaSeleccionSupervisores[[#This Row],[ORDEN]])-1,_xlfn.XMATCH("ADMITIDO ADSLITE",TablaSeleccionSupervisores[#Headers])+1)=0,"Sí admitido","No admitido")</f>
        <v>Sí admitido</v>
      </c>
      <c r="AE451">
        <v>0</v>
      </c>
      <c r="AF451">
        <v>0</v>
      </c>
      <c r="AG451">
        <v>2</v>
      </c>
      <c r="AH451">
        <v>4</v>
      </c>
    </row>
    <row r="452" spans="22:34" x14ac:dyDescent="0.25">
      <c r="V452">
        <v>451</v>
      </c>
      <c r="W452" cm="1">
        <f t="array" ref="W452">SUM(TablaSupervisores[DISPOSITIVOS TOTAL]*INDEX(TablaSeleccionSupervisores[],ROW(TablaSeleccionSupervisores[[#This Row],[ORDEN]])-1,_xlfn.XMATCH(TablaSupervisores[REFERENCIA],TablaSeleccionSupervisores[#Headers])))</f>
        <v>736</v>
      </c>
      <c r="X452" cm="1">
        <f t="array" ref="X452">SUM(TablaSupervisores[DISPOSITIVOS BACNET MS/TP JC]*INDEX(TablaSeleccionSupervisores[],ROW(TablaSeleccionSupervisores[[#This Row],[ORDEN]])-1,_xlfn.XMATCH(TablaSupervisores[REFERENCIA],TablaSeleccionSupervisores[#Headers])))</f>
        <v>316</v>
      </c>
      <c r="Y452" cm="1">
        <f t="array" ref="Y452">SUM(TablaSupervisores[DISPOSITIVOS BACNET MS/TP COMPATIBLES]*INDEX(TablaSeleccionSupervisores[],ROW(TablaSeleccionSupervisores[[#This Row],[ORDEN]])-1,_xlfn.XMATCH(TablaSupervisores[REFERENCIA],TablaSeleccionSupervisores[#Headers])))</f>
        <v>208</v>
      </c>
      <c r="Z452" cm="1">
        <f t="array" ref="Z452">SUM(TablaSupervisores[DISPOSITIVOS BACNET IP]*INDEX(TablaSeleccionSupervisores[],ROW(TablaSeleccionSupervisores[[#This Row],[ORDEN]])-1,_xlfn.XMATCH(TablaSupervisores[REFERENCIA],TablaSeleccionSupervisores[#Headers])))</f>
        <v>640</v>
      </c>
      <c r="AA452" cm="1">
        <f t="array" ref="AA452">SUM(TablaSupervisores[OBJETOS]*INDEX(TablaSeleccionSupervisores[],ROW(TablaSeleccionSupervisores[[#This Row],[ORDEN]])-1,_xlfn.XMATCH(TablaSupervisores[REFERENCIA],TablaSeleccionSupervisores[#Headers])))</f>
        <v>20000</v>
      </c>
      <c r="AB452" s="28" cm="1">
        <f t="array" ref="AB452">SUM(TablaSupervisores[COSTE]*INDEX(TablaSeleccionSupervisores[],ROW(TablaSeleccionSupervisores[[#This Row],[ORDEN]])-1,_xlfn.XMATCH(TablaSupervisores[REFERENCIA],TablaSeleccionSupervisores[#Headers])))</f>
        <v>11506.99</v>
      </c>
      <c r="AC452" cm="1">
        <f t="array" ref="AC452">SUM(INDEX(TablaSeleccionSupervisores[],ROW(TablaSeleccionSupervisores[[#This Row],[ORDEN]])-1,_xlfn.XMATCH(TablaSupervisores[REFERENCIA],TablaSeleccionSupervisores[#Headers])))</f>
        <v>7</v>
      </c>
      <c r="AD452" t="str" cm="1">
        <f t="array" ref="AD452">IF(INDEX(TablaSeleccionSupervisores[],ROW(TablaSeleccionSupervisores[[#This Row],[ORDEN]])-1,_xlfn.XMATCH("ADMITIDO ADSLITE",TablaSeleccionSupervisores[#Headers])+1)=0,"Sí admitido","No admitido")</f>
        <v>No admitido</v>
      </c>
      <c r="AE452">
        <v>1</v>
      </c>
      <c r="AF452">
        <v>0</v>
      </c>
      <c r="AG452">
        <v>2</v>
      </c>
      <c r="AH452">
        <v>4</v>
      </c>
    </row>
    <row r="453" spans="22:34" x14ac:dyDescent="0.25">
      <c r="V453">
        <v>452</v>
      </c>
      <c r="W453" cm="1">
        <f t="array" ref="W453">SUM(TablaSupervisores[DISPOSITIVOS TOTAL]*INDEX(TablaSeleccionSupervisores[],ROW(TablaSeleccionSupervisores[[#This Row],[ORDEN]])-1,_xlfn.XMATCH(TablaSupervisores[REFERENCIA],TablaSeleccionSupervisores[#Headers])))</f>
        <v>1336</v>
      </c>
      <c r="X453" cm="1">
        <f t="array" ref="X453">SUM(TablaSupervisores[DISPOSITIVOS BACNET MS/TP JC]*INDEX(TablaSeleccionSupervisores[],ROW(TablaSeleccionSupervisores[[#This Row],[ORDEN]])-1,_xlfn.XMATCH(TablaSupervisores[REFERENCIA],TablaSeleccionSupervisores[#Headers])))</f>
        <v>516</v>
      </c>
      <c r="Y453" cm="1">
        <f t="array" ref="Y453">SUM(TablaSupervisores[DISPOSITIVOS BACNET MS/TP COMPATIBLES]*INDEX(TablaSeleccionSupervisores[],ROW(TablaSeleccionSupervisores[[#This Row],[ORDEN]])-1,_xlfn.XMATCH(TablaSupervisores[REFERENCIA],TablaSeleccionSupervisores[#Headers])))</f>
        <v>336</v>
      </c>
      <c r="Z453" cm="1">
        <f t="array" ref="Z453">SUM(TablaSupervisores[DISPOSITIVOS BACNET IP]*INDEX(TablaSeleccionSupervisores[],ROW(TablaSeleccionSupervisores[[#This Row],[ORDEN]])-1,_xlfn.XMATCH(TablaSupervisores[REFERENCIA],TablaSeleccionSupervisores[#Headers])))</f>
        <v>1040</v>
      </c>
      <c r="AA453" cm="1">
        <f t="array" ref="AA453">SUM(TablaSupervisores[OBJETOS]*INDEX(TablaSeleccionSupervisores[],ROW(TablaSeleccionSupervisores[[#This Row],[ORDEN]])-1,_xlfn.XMATCH(TablaSupervisores[REFERENCIA],TablaSeleccionSupervisores[#Headers])))</f>
        <v>25000</v>
      </c>
      <c r="AB453" s="28" cm="1">
        <f t="array" ref="AB453">SUM(TablaSupervisores[COSTE]*INDEX(TablaSeleccionSupervisores[],ROW(TablaSeleccionSupervisores[[#This Row],[ORDEN]])-1,_xlfn.XMATCH(TablaSupervisores[REFERENCIA],TablaSeleccionSupervisores[#Headers])))</f>
        <v>17173.620000000003</v>
      </c>
      <c r="AC453" cm="1">
        <f t="array" ref="AC453">SUM(INDEX(TablaSeleccionSupervisores[],ROW(TablaSeleccionSupervisores[[#This Row],[ORDEN]])-1,_xlfn.XMATCH(TablaSupervisores[REFERENCIA],TablaSeleccionSupervisores[#Headers])))</f>
        <v>8</v>
      </c>
      <c r="AD453" t="str" cm="1">
        <f t="array" ref="AD453">IF(INDEX(TablaSeleccionSupervisores[],ROW(TablaSeleccionSupervisores[[#This Row],[ORDEN]])-1,_xlfn.XMATCH("ADMITIDO ADSLITE",TablaSeleccionSupervisores[#Headers])+1)=0,"Sí admitido","No admitido")</f>
        <v>No admitido</v>
      </c>
      <c r="AE453">
        <v>2</v>
      </c>
      <c r="AF453">
        <v>0</v>
      </c>
      <c r="AG453">
        <v>2</v>
      </c>
      <c r="AH453">
        <v>4</v>
      </c>
    </row>
    <row r="454" spans="22:34" x14ac:dyDescent="0.25">
      <c r="V454">
        <v>453</v>
      </c>
      <c r="W454" cm="1">
        <f t="array" ref="W454">SUM(TablaSupervisores[DISPOSITIVOS TOTAL]*INDEX(TablaSeleccionSupervisores[],ROW(TablaSeleccionSupervisores[[#This Row],[ORDEN]])-1,_xlfn.XMATCH(TablaSupervisores[REFERENCIA],TablaSeleccionSupervisores[#Headers])))</f>
        <v>286</v>
      </c>
      <c r="X454" cm="1">
        <f t="array" ref="X454">SUM(TablaSupervisores[DISPOSITIVOS BACNET MS/TP JC]*INDEX(TablaSeleccionSupervisores[],ROW(TablaSeleccionSupervisores[[#This Row],[ORDEN]])-1,_xlfn.XMATCH(TablaSupervisores[REFERENCIA],TablaSeleccionSupervisores[#Headers])))</f>
        <v>216</v>
      </c>
      <c r="Y454" cm="1">
        <f t="array" ref="Y454">SUM(TablaSupervisores[DISPOSITIVOS BACNET MS/TP COMPATIBLES]*INDEX(TablaSeleccionSupervisores[],ROW(TablaSeleccionSupervisores[[#This Row],[ORDEN]])-1,_xlfn.XMATCH(TablaSupervisores[REFERENCIA],TablaSeleccionSupervisores[#Headers])))</f>
        <v>144</v>
      </c>
      <c r="Z454" cm="1">
        <f t="array" ref="Z454">SUM(TablaSupervisores[DISPOSITIVOS BACNET IP]*INDEX(TablaSeleccionSupervisores[],ROW(TablaSeleccionSupervisores[[#This Row],[ORDEN]])-1,_xlfn.XMATCH(TablaSupervisores[REFERENCIA],TablaSeleccionSupervisores[#Headers])))</f>
        <v>440</v>
      </c>
      <c r="AA454" cm="1">
        <f t="array" ref="AA454">SUM(TablaSupervisores[OBJETOS]*INDEX(TablaSeleccionSupervisores[],ROW(TablaSeleccionSupervisores[[#This Row],[ORDEN]])-1,_xlfn.XMATCH(TablaSupervisores[REFERENCIA],TablaSeleccionSupervisores[#Headers])))</f>
        <v>17500</v>
      </c>
      <c r="AB454" s="28" cm="1">
        <f t="array" ref="AB454">SUM(TablaSupervisores[COSTE]*INDEX(TablaSeleccionSupervisores[],ROW(TablaSeleccionSupervisores[[#This Row],[ORDEN]])-1,_xlfn.XMATCH(TablaSupervisores[REFERENCIA],TablaSeleccionSupervisores[#Headers])))</f>
        <v>9829.09</v>
      </c>
      <c r="AC454" cm="1">
        <f t="array" ref="AC454">SUM(INDEX(TablaSeleccionSupervisores[],ROW(TablaSeleccionSupervisores[[#This Row],[ORDEN]])-1,_xlfn.XMATCH(TablaSupervisores[REFERENCIA],TablaSeleccionSupervisores[#Headers])))</f>
        <v>7</v>
      </c>
      <c r="AD454" t="str" cm="1">
        <f t="array" ref="AD454">IF(INDEX(TablaSeleccionSupervisores[],ROW(TablaSeleccionSupervisores[[#This Row],[ORDEN]])-1,_xlfn.XMATCH("ADMITIDO ADSLITE",TablaSeleccionSupervisores[#Headers])+1)=0,"Sí admitido","No admitido")</f>
        <v>Sí admitido</v>
      </c>
      <c r="AE454">
        <v>0</v>
      </c>
      <c r="AF454">
        <v>1</v>
      </c>
      <c r="AG454">
        <v>2</v>
      </c>
      <c r="AH454">
        <v>4</v>
      </c>
    </row>
    <row r="455" spans="22:34" x14ac:dyDescent="0.25">
      <c r="V455">
        <v>454</v>
      </c>
      <c r="W455" cm="1">
        <f t="array" ref="W455">SUM(TablaSupervisores[DISPOSITIVOS TOTAL]*INDEX(TablaSeleccionSupervisores[],ROW(TablaSeleccionSupervisores[[#This Row],[ORDEN]])-1,_xlfn.XMATCH(TablaSupervisores[REFERENCIA],TablaSeleccionSupervisores[#Headers])))</f>
        <v>886</v>
      </c>
      <c r="X455" cm="1">
        <f t="array" ref="X455">SUM(TablaSupervisores[DISPOSITIVOS BACNET MS/TP JC]*INDEX(TablaSeleccionSupervisores[],ROW(TablaSeleccionSupervisores[[#This Row],[ORDEN]])-1,_xlfn.XMATCH(TablaSupervisores[REFERENCIA],TablaSeleccionSupervisores[#Headers])))</f>
        <v>416</v>
      </c>
      <c r="Y455" cm="1">
        <f t="array" ref="Y455">SUM(TablaSupervisores[DISPOSITIVOS BACNET MS/TP COMPATIBLES]*INDEX(TablaSeleccionSupervisores[],ROW(TablaSeleccionSupervisores[[#This Row],[ORDEN]])-1,_xlfn.XMATCH(TablaSupervisores[REFERENCIA],TablaSeleccionSupervisores[#Headers])))</f>
        <v>272</v>
      </c>
      <c r="Z455" cm="1">
        <f t="array" ref="Z455">SUM(TablaSupervisores[DISPOSITIVOS BACNET IP]*INDEX(TablaSeleccionSupervisores[],ROW(TablaSeleccionSupervisores[[#This Row],[ORDEN]])-1,_xlfn.XMATCH(TablaSupervisores[REFERENCIA],TablaSeleccionSupervisores[#Headers])))</f>
        <v>840</v>
      </c>
      <c r="AA455" cm="1">
        <f t="array" ref="AA455">SUM(TablaSupervisores[OBJETOS]*INDEX(TablaSeleccionSupervisores[],ROW(TablaSeleccionSupervisores[[#This Row],[ORDEN]])-1,_xlfn.XMATCH(TablaSupervisores[REFERENCIA],TablaSeleccionSupervisores[#Headers])))</f>
        <v>22500</v>
      </c>
      <c r="AB455" s="28" cm="1">
        <f t="array" ref="AB455">SUM(TablaSupervisores[COSTE]*INDEX(TablaSeleccionSupervisores[],ROW(TablaSeleccionSupervisores[[#This Row],[ORDEN]])-1,_xlfn.XMATCH(TablaSupervisores[REFERENCIA],TablaSeleccionSupervisores[#Headers])))</f>
        <v>15495.72</v>
      </c>
      <c r="AC455" cm="1">
        <f t="array" ref="AC455">SUM(INDEX(TablaSeleccionSupervisores[],ROW(TablaSeleccionSupervisores[[#This Row],[ORDEN]])-1,_xlfn.XMATCH(TablaSupervisores[REFERENCIA],TablaSeleccionSupervisores[#Headers])))</f>
        <v>8</v>
      </c>
      <c r="AD455" t="str" cm="1">
        <f t="array" ref="AD455">IF(INDEX(TablaSeleccionSupervisores[],ROW(TablaSeleccionSupervisores[[#This Row],[ORDEN]])-1,_xlfn.XMATCH("ADMITIDO ADSLITE",TablaSeleccionSupervisores[#Headers])+1)=0,"Sí admitido","No admitido")</f>
        <v>No admitido</v>
      </c>
      <c r="AE455">
        <v>1</v>
      </c>
      <c r="AF455">
        <v>1</v>
      </c>
      <c r="AG455">
        <v>2</v>
      </c>
      <c r="AH455">
        <v>4</v>
      </c>
    </row>
    <row r="456" spans="22:34" x14ac:dyDescent="0.25">
      <c r="V456">
        <v>455</v>
      </c>
      <c r="W456" cm="1">
        <f t="array" ref="W456">SUM(TablaSupervisores[DISPOSITIVOS TOTAL]*INDEX(TablaSeleccionSupervisores[],ROW(TablaSeleccionSupervisores[[#This Row],[ORDEN]])-1,_xlfn.XMATCH(TablaSupervisores[REFERENCIA],TablaSeleccionSupervisores[#Headers])))</f>
        <v>436</v>
      </c>
      <c r="X456" cm="1">
        <f t="array" ref="X456">SUM(TablaSupervisores[DISPOSITIVOS BACNET MS/TP JC]*INDEX(TablaSeleccionSupervisores[],ROW(TablaSeleccionSupervisores[[#This Row],[ORDEN]])-1,_xlfn.XMATCH(TablaSupervisores[REFERENCIA],TablaSeleccionSupervisores[#Headers])))</f>
        <v>316</v>
      </c>
      <c r="Y456" cm="1">
        <f t="array" ref="Y456">SUM(TablaSupervisores[DISPOSITIVOS BACNET MS/TP COMPATIBLES]*INDEX(TablaSeleccionSupervisores[],ROW(TablaSeleccionSupervisores[[#This Row],[ORDEN]])-1,_xlfn.XMATCH(TablaSupervisores[REFERENCIA],TablaSeleccionSupervisores[#Headers])))</f>
        <v>208</v>
      </c>
      <c r="Z456" cm="1">
        <f t="array" ref="Z456">SUM(TablaSupervisores[DISPOSITIVOS BACNET IP]*INDEX(TablaSeleccionSupervisores[],ROW(TablaSeleccionSupervisores[[#This Row],[ORDEN]])-1,_xlfn.XMATCH(TablaSupervisores[REFERENCIA],TablaSeleccionSupervisores[#Headers])))</f>
        <v>640</v>
      </c>
      <c r="AA456" cm="1">
        <f t="array" ref="AA456">SUM(TablaSupervisores[OBJETOS]*INDEX(TablaSeleccionSupervisores[],ROW(TablaSeleccionSupervisores[[#This Row],[ORDEN]])-1,_xlfn.XMATCH(TablaSupervisores[REFERENCIA],TablaSeleccionSupervisores[#Headers])))</f>
        <v>20000</v>
      </c>
      <c r="AB456" s="28" cm="1">
        <f t="array" ref="AB456">SUM(TablaSupervisores[COSTE]*INDEX(TablaSeleccionSupervisores[],ROW(TablaSeleccionSupervisores[[#This Row],[ORDEN]])-1,_xlfn.XMATCH(TablaSupervisores[REFERENCIA],TablaSeleccionSupervisores[#Headers])))</f>
        <v>13817.82</v>
      </c>
      <c r="AC456" cm="1">
        <f t="array" ref="AC456">SUM(INDEX(TablaSeleccionSupervisores[],ROW(TablaSeleccionSupervisores[[#This Row],[ORDEN]])-1,_xlfn.XMATCH(TablaSupervisores[REFERENCIA],TablaSeleccionSupervisores[#Headers])))</f>
        <v>8</v>
      </c>
      <c r="AD456" t="str" cm="1">
        <f t="array" ref="AD456">IF(INDEX(TablaSeleccionSupervisores[],ROW(TablaSeleccionSupervisores[[#This Row],[ORDEN]])-1,_xlfn.XMATCH("ADMITIDO ADSLITE",TablaSeleccionSupervisores[#Headers])+1)=0,"Sí admitido","No admitido")</f>
        <v>Sí admitido</v>
      </c>
      <c r="AE456">
        <v>0</v>
      </c>
      <c r="AF456">
        <v>2</v>
      </c>
      <c r="AG456">
        <v>2</v>
      </c>
      <c r="AH456">
        <v>4</v>
      </c>
    </row>
    <row r="457" spans="22:34" x14ac:dyDescent="0.25">
      <c r="V457">
        <v>456</v>
      </c>
      <c r="W457" cm="1">
        <f t="array" ref="W457">SUM(TablaSupervisores[DISPOSITIVOS TOTAL]*INDEX(TablaSeleccionSupervisores[],ROW(TablaSeleccionSupervisores[[#This Row],[ORDEN]])-1,_xlfn.XMATCH(TablaSupervisores[REFERENCIA],TablaSeleccionSupervisores[#Headers])))</f>
        <v>196</v>
      </c>
      <c r="X457" cm="1">
        <f t="array" ref="X457">SUM(TablaSupervisores[DISPOSITIVOS BACNET MS/TP JC]*INDEX(TablaSeleccionSupervisores[],ROW(TablaSeleccionSupervisores[[#This Row],[ORDEN]])-1,_xlfn.XMATCH(TablaSupervisores[REFERENCIA],TablaSeleccionSupervisores[#Headers])))</f>
        <v>166</v>
      </c>
      <c r="Y457" cm="1">
        <f t="array" ref="Y457">SUM(TablaSupervisores[DISPOSITIVOS BACNET MS/TP COMPATIBLES]*INDEX(TablaSeleccionSupervisores[],ROW(TablaSeleccionSupervisores[[#This Row],[ORDEN]])-1,_xlfn.XMATCH(TablaSupervisores[REFERENCIA],TablaSeleccionSupervisores[#Headers])))</f>
        <v>112</v>
      </c>
      <c r="Z457" cm="1">
        <f t="array" ref="Z457">SUM(TablaSupervisores[DISPOSITIVOS BACNET IP]*INDEX(TablaSeleccionSupervisores[],ROW(TablaSeleccionSupervisores[[#This Row],[ORDEN]])-1,_xlfn.XMATCH(TablaSupervisores[REFERENCIA],TablaSeleccionSupervisores[#Headers])))</f>
        <v>340</v>
      </c>
      <c r="AA457" cm="1">
        <f t="array" ref="AA457">SUM(TablaSupervisores[OBJETOS]*INDEX(TablaSeleccionSupervisores[],ROW(TablaSeleccionSupervisores[[#This Row],[ORDEN]])-1,_xlfn.XMATCH(TablaSupervisores[REFERENCIA],TablaSeleccionSupervisores[#Headers])))</f>
        <v>17500</v>
      </c>
      <c r="AB457" s="28" cm="1">
        <f t="array" ref="AB457">SUM(TablaSupervisores[COSTE]*INDEX(TablaSeleccionSupervisores[],ROW(TablaSeleccionSupervisores[[#This Row],[ORDEN]])-1,_xlfn.XMATCH(TablaSupervisores[REFERENCIA],TablaSeleccionSupervisores[#Headers])))</f>
        <v>7263.84</v>
      </c>
      <c r="AC457" cm="1">
        <f t="array" ref="AC457">SUM(INDEX(TablaSeleccionSupervisores[],ROW(TablaSeleccionSupervisores[[#This Row],[ORDEN]])-1,_xlfn.XMATCH(TablaSupervisores[REFERENCIA],TablaSeleccionSupervisores[#Headers])))</f>
        <v>7</v>
      </c>
      <c r="AD457" t="str" cm="1">
        <f t="array" ref="AD457">IF(INDEX(TablaSeleccionSupervisores[],ROW(TablaSeleccionSupervisores[[#This Row],[ORDEN]])-1,_xlfn.XMATCH("ADMITIDO ADSLITE",TablaSeleccionSupervisores[#Headers])+1)=0,"Sí admitido","No admitido")</f>
        <v>Sí admitido</v>
      </c>
      <c r="AE457">
        <v>0</v>
      </c>
      <c r="AF457">
        <v>0</v>
      </c>
      <c r="AG457">
        <v>3</v>
      </c>
      <c r="AH457">
        <v>4</v>
      </c>
    </row>
    <row r="458" spans="22:34" x14ac:dyDescent="0.25">
      <c r="V458">
        <v>457</v>
      </c>
      <c r="W458" cm="1">
        <f t="array" ref="W458">SUM(TablaSupervisores[DISPOSITIVOS TOTAL]*INDEX(TablaSeleccionSupervisores[],ROW(TablaSeleccionSupervisores[[#This Row],[ORDEN]])-1,_xlfn.XMATCH(TablaSupervisores[REFERENCIA],TablaSeleccionSupervisores[#Headers])))</f>
        <v>796</v>
      </c>
      <c r="X458" cm="1">
        <f t="array" ref="X458">SUM(TablaSupervisores[DISPOSITIVOS BACNET MS/TP JC]*INDEX(TablaSeleccionSupervisores[],ROW(TablaSeleccionSupervisores[[#This Row],[ORDEN]])-1,_xlfn.XMATCH(TablaSupervisores[REFERENCIA],TablaSeleccionSupervisores[#Headers])))</f>
        <v>366</v>
      </c>
      <c r="Y458" cm="1">
        <f t="array" ref="Y458">SUM(TablaSupervisores[DISPOSITIVOS BACNET MS/TP COMPATIBLES]*INDEX(TablaSeleccionSupervisores[],ROW(TablaSeleccionSupervisores[[#This Row],[ORDEN]])-1,_xlfn.XMATCH(TablaSupervisores[REFERENCIA],TablaSeleccionSupervisores[#Headers])))</f>
        <v>240</v>
      </c>
      <c r="Z458" cm="1">
        <f t="array" ref="Z458">SUM(TablaSupervisores[DISPOSITIVOS BACNET IP]*INDEX(TablaSeleccionSupervisores[],ROW(TablaSeleccionSupervisores[[#This Row],[ORDEN]])-1,_xlfn.XMATCH(TablaSupervisores[REFERENCIA],TablaSeleccionSupervisores[#Headers])))</f>
        <v>740</v>
      </c>
      <c r="AA458" cm="1">
        <f t="array" ref="AA458">SUM(TablaSupervisores[OBJETOS]*INDEX(TablaSeleccionSupervisores[],ROW(TablaSeleccionSupervisores[[#This Row],[ORDEN]])-1,_xlfn.XMATCH(TablaSupervisores[REFERENCIA],TablaSeleccionSupervisores[#Headers])))</f>
        <v>22500</v>
      </c>
      <c r="AB458" s="28" cm="1">
        <f t="array" ref="AB458">SUM(TablaSupervisores[COSTE]*INDEX(TablaSeleccionSupervisores[],ROW(TablaSeleccionSupervisores[[#This Row],[ORDEN]])-1,_xlfn.XMATCH(TablaSupervisores[REFERENCIA],TablaSeleccionSupervisores[#Headers])))</f>
        <v>12930.47</v>
      </c>
      <c r="AC458" cm="1">
        <f t="array" ref="AC458">SUM(INDEX(TablaSeleccionSupervisores[],ROW(TablaSeleccionSupervisores[[#This Row],[ORDEN]])-1,_xlfn.XMATCH(TablaSupervisores[REFERENCIA],TablaSeleccionSupervisores[#Headers])))</f>
        <v>8</v>
      </c>
      <c r="AD458" t="str" cm="1">
        <f t="array" ref="AD458">IF(INDEX(TablaSeleccionSupervisores[],ROW(TablaSeleccionSupervisores[[#This Row],[ORDEN]])-1,_xlfn.XMATCH("ADMITIDO ADSLITE",TablaSeleccionSupervisores[#Headers])+1)=0,"Sí admitido","No admitido")</f>
        <v>No admitido</v>
      </c>
      <c r="AE458">
        <v>1</v>
      </c>
      <c r="AF458">
        <v>0</v>
      </c>
      <c r="AG458">
        <v>3</v>
      </c>
      <c r="AH458">
        <v>4</v>
      </c>
    </row>
    <row r="459" spans="22:34" x14ac:dyDescent="0.25">
      <c r="V459">
        <v>458</v>
      </c>
      <c r="W459" cm="1">
        <f t="array" ref="W459">SUM(TablaSupervisores[DISPOSITIVOS TOTAL]*INDEX(TablaSeleccionSupervisores[],ROW(TablaSeleccionSupervisores[[#This Row],[ORDEN]])-1,_xlfn.XMATCH(TablaSupervisores[REFERENCIA],TablaSeleccionSupervisores[#Headers])))</f>
        <v>346</v>
      </c>
      <c r="X459" cm="1">
        <f t="array" ref="X459">SUM(TablaSupervisores[DISPOSITIVOS BACNET MS/TP JC]*INDEX(TablaSeleccionSupervisores[],ROW(TablaSeleccionSupervisores[[#This Row],[ORDEN]])-1,_xlfn.XMATCH(TablaSupervisores[REFERENCIA],TablaSeleccionSupervisores[#Headers])))</f>
        <v>266</v>
      </c>
      <c r="Y459" cm="1">
        <f t="array" ref="Y459">SUM(TablaSupervisores[DISPOSITIVOS BACNET MS/TP COMPATIBLES]*INDEX(TablaSeleccionSupervisores[],ROW(TablaSeleccionSupervisores[[#This Row],[ORDEN]])-1,_xlfn.XMATCH(TablaSupervisores[REFERENCIA],TablaSeleccionSupervisores[#Headers])))</f>
        <v>176</v>
      </c>
      <c r="Z459" cm="1">
        <f t="array" ref="Z459">SUM(TablaSupervisores[DISPOSITIVOS BACNET IP]*INDEX(TablaSeleccionSupervisores[],ROW(TablaSeleccionSupervisores[[#This Row],[ORDEN]])-1,_xlfn.XMATCH(TablaSupervisores[REFERENCIA],TablaSeleccionSupervisores[#Headers])))</f>
        <v>540</v>
      </c>
      <c r="AA459" cm="1">
        <f t="array" ref="AA459">SUM(TablaSupervisores[OBJETOS]*INDEX(TablaSeleccionSupervisores[],ROW(TablaSeleccionSupervisores[[#This Row],[ORDEN]])-1,_xlfn.XMATCH(TablaSupervisores[REFERENCIA],TablaSeleccionSupervisores[#Headers])))</f>
        <v>20000</v>
      </c>
      <c r="AB459" s="28" cm="1">
        <f t="array" ref="AB459">SUM(TablaSupervisores[COSTE]*INDEX(TablaSeleccionSupervisores[],ROW(TablaSeleccionSupervisores[[#This Row],[ORDEN]])-1,_xlfn.XMATCH(TablaSupervisores[REFERENCIA],TablaSeleccionSupervisores[#Headers])))</f>
        <v>11252.57</v>
      </c>
      <c r="AC459" cm="1">
        <f t="array" ref="AC459">SUM(INDEX(TablaSeleccionSupervisores[],ROW(TablaSeleccionSupervisores[[#This Row],[ORDEN]])-1,_xlfn.XMATCH(TablaSupervisores[REFERENCIA],TablaSeleccionSupervisores[#Headers])))</f>
        <v>8</v>
      </c>
      <c r="AD459" t="str" cm="1">
        <f t="array" ref="AD459">IF(INDEX(TablaSeleccionSupervisores[],ROW(TablaSeleccionSupervisores[[#This Row],[ORDEN]])-1,_xlfn.XMATCH("ADMITIDO ADSLITE",TablaSeleccionSupervisores[#Headers])+1)=0,"Sí admitido","No admitido")</f>
        <v>Sí admitido</v>
      </c>
      <c r="AE459">
        <v>0</v>
      </c>
      <c r="AF459">
        <v>1</v>
      </c>
      <c r="AG459">
        <v>3</v>
      </c>
      <c r="AH459">
        <v>4</v>
      </c>
    </row>
    <row r="460" spans="22:34" x14ac:dyDescent="0.25">
      <c r="V460">
        <v>459</v>
      </c>
      <c r="W460" cm="1">
        <f t="array" ref="W460">SUM(TablaSupervisores[DISPOSITIVOS TOTAL]*INDEX(TablaSeleccionSupervisores[],ROW(TablaSeleccionSupervisores[[#This Row],[ORDEN]])-1,_xlfn.XMATCH(TablaSupervisores[REFERENCIA],TablaSeleccionSupervisores[#Headers])))</f>
        <v>256</v>
      </c>
      <c r="X460" cm="1">
        <f t="array" ref="X460">SUM(TablaSupervisores[DISPOSITIVOS BACNET MS/TP JC]*INDEX(TablaSeleccionSupervisores[],ROW(TablaSeleccionSupervisores[[#This Row],[ORDEN]])-1,_xlfn.XMATCH(TablaSupervisores[REFERENCIA],TablaSeleccionSupervisores[#Headers])))</f>
        <v>216</v>
      </c>
      <c r="Y460" cm="1">
        <f t="array" ref="Y460">SUM(TablaSupervisores[DISPOSITIVOS BACNET MS/TP COMPATIBLES]*INDEX(TablaSeleccionSupervisores[],ROW(TablaSeleccionSupervisores[[#This Row],[ORDEN]])-1,_xlfn.XMATCH(TablaSupervisores[REFERENCIA],TablaSeleccionSupervisores[#Headers])))</f>
        <v>144</v>
      </c>
      <c r="Z460" cm="1">
        <f t="array" ref="Z460">SUM(TablaSupervisores[DISPOSITIVOS BACNET IP]*INDEX(TablaSeleccionSupervisores[],ROW(TablaSeleccionSupervisores[[#This Row],[ORDEN]])-1,_xlfn.XMATCH(TablaSupervisores[REFERENCIA],TablaSeleccionSupervisores[#Headers])))</f>
        <v>440</v>
      </c>
      <c r="AA460" cm="1">
        <f t="array" ref="AA460">SUM(TablaSupervisores[OBJETOS]*INDEX(TablaSeleccionSupervisores[],ROW(TablaSeleccionSupervisores[[#This Row],[ORDEN]])-1,_xlfn.XMATCH(TablaSupervisores[REFERENCIA],TablaSeleccionSupervisores[#Headers])))</f>
        <v>20000</v>
      </c>
      <c r="AB460" s="28" cm="1">
        <f t="array" ref="AB460">SUM(TablaSupervisores[COSTE]*INDEX(TablaSeleccionSupervisores[],ROW(TablaSeleccionSupervisores[[#This Row],[ORDEN]])-1,_xlfn.XMATCH(TablaSupervisores[REFERENCIA],TablaSeleccionSupervisores[#Headers])))</f>
        <v>8687.32</v>
      </c>
      <c r="AC460" cm="1">
        <f t="array" ref="AC460">SUM(INDEX(TablaSeleccionSupervisores[],ROW(TablaSeleccionSupervisores[[#This Row],[ORDEN]])-1,_xlfn.XMATCH(TablaSupervisores[REFERENCIA],TablaSeleccionSupervisores[#Headers])))</f>
        <v>8</v>
      </c>
      <c r="AD460" t="str" cm="1">
        <f t="array" ref="AD460">IF(INDEX(TablaSeleccionSupervisores[],ROW(TablaSeleccionSupervisores[[#This Row],[ORDEN]])-1,_xlfn.XMATCH("ADMITIDO ADSLITE",TablaSeleccionSupervisores[#Headers])+1)=0,"Sí admitido","No admitido")</f>
        <v>Sí admitido</v>
      </c>
      <c r="AE460">
        <v>0</v>
      </c>
      <c r="AF460">
        <v>0</v>
      </c>
      <c r="AG460">
        <v>4</v>
      </c>
      <c r="AH460">
        <v>4</v>
      </c>
    </row>
    <row r="461" spans="22:34" x14ac:dyDescent="0.25">
      <c r="V461">
        <v>460</v>
      </c>
      <c r="W461" cm="1">
        <f t="array" ref="W461">SUM(TablaSupervisores[DISPOSITIVOS TOTAL]*INDEX(TablaSeleccionSupervisores[],ROW(TablaSeleccionSupervisores[[#This Row],[ORDEN]])-1,_xlfn.XMATCH(TablaSupervisores[REFERENCIA],TablaSeleccionSupervisores[#Headers])))</f>
        <v>20</v>
      </c>
      <c r="X461" cm="1">
        <f t="array" ref="X461">SUM(TablaSupervisores[DISPOSITIVOS BACNET MS/TP JC]*INDEX(TablaSeleccionSupervisores[],ROW(TablaSeleccionSupervisores[[#This Row],[ORDEN]])-1,_xlfn.XMATCH(TablaSupervisores[REFERENCIA],TablaSeleccionSupervisores[#Headers])))</f>
        <v>20</v>
      </c>
      <c r="Y461" cm="1">
        <f t="array" ref="Y461">SUM(TablaSupervisores[DISPOSITIVOS BACNET MS/TP COMPATIBLES]*INDEX(TablaSeleccionSupervisores[],ROW(TablaSeleccionSupervisores[[#This Row],[ORDEN]])-1,_xlfn.XMATCH(TablaSupervisores[REFERENCIA],TablaSeleccionSupervisores[#Headers])))</f>
        <v>20</v>
      </c>
      <c r="Z461" cm="1">
        <f t="array" ref="Z461">SUM(TablaSupervisores[DISPOSITIVOS BACNET IP]*INDEX(TablaSeleccionSupervisores[],ROW(TablaSeleccionSupervisores[[#This Row],[ORDEN]])-1,_xlfn.XMATCH(TablaSupervisores[REFERENCIA],TablaSeleccionSupervisores[#Headers])))</f>
        <v>50</v>
      </c>
      <c r="AA461" cm="1">
        <f t="array" ref="AA461">SUM(TablaSupervisores[OBJETOS]*INDEX(TablaSeleccionSupervisores[],ROW(TablaSeleccionSupervisores[[#This Row],[ORDEN]])-1,_xlfn.XMATCH(TablaSupervisores[REFERENCIA],TablaSeleccionSupervisores[#Headers])))</f>
        <v>12500</v>
      </c>
      <c r="AB461" s="28" cm="1">
        <f t="array" ref="AB461">SUM(TablaSupervisores[COSTE]*INDEX(TablaSeleccionSupervisores[],ROW(TablaSeleccionSupervisores[[#This Row],[ORDEN]])-1,_xlfn.XMATCH(TablaSupervisores[REFERENCIA],TablaSeleccionSupervisores[#Headers])))</f>
        <v>3741.75</v>
      </c>
      <c r="AC461" cm="1">
        <f t="array" ref="AC461">SUM(INDEX(TablaSeleccionSupervisores[],ROW(TablaSeleccionSupervisores[[#This Row],[ORDEN]])-1,_xlfn.XMATCH(TablaSupervisores[REFERENCIA],TablaSeleccionSupervisores[#Headers])))</f>
        <v>5</v>
      </c>
      <c r="AD461" t="str" cm="1">
        <f t="array" ref="AD461">IF(INDEX(TablaSeleccionSupervisores[],ROW(TablaSeleccionSupervisores[[#This Row],[ORDEN]])-1,_xlfn.XMATCH("ADMITIDO ADSLITE",TablaSeleccionSupervisores[#Headers])+1)=0,"Sí admitido","No admitido")</f>
        <v>Sí admitido</v>
      </c>
      <c r="AE461">
        <v>0</v>
      </c>
      <c r="AF461">
        <v>0</v>
      </c>
      <c r="AG461">
        <v>0</v>
      </c>
      <c r="AH461">
        <v>5</v>
      </c>
    </row>
    <row r="462" spans="22:34" x14ac:dyDescent="0.25">
      <c r="V462">
        <v>461</v>
      </c>
      <c r="W462" cm="1">
        <f t="array" ref="W462">SUM(TablaSupervisores[DISPOSITIVOS TOTAL]*INDEX(TablaSeleccionSupervisores[],ROW(TablaSeleccionSupervisores[[#This Row],[ORDEN]])-1,_xlfn.XMATCH(TablaSupervisores[REFERENCIA],TablaSeleccionSupervisores[#Headers])))</f>
        <v>620</v>
      </c>
      <c r="X462" cm="1">
        <f t="array" ref="X462">SUM(TablaSupervisores[DISPOSITIVOS BACNET MS/TP JC]*INDEX(TablaSeleccionSupervisores[],ROW(TablaSeleccionSupervisores[[#This Row],[ORDEN]])-1,_xlfn.XMATCH(TablaSupervisores[REFERENCIA],TablaSeleccionSupervisores[#Headers])))</f>
        <v>220</v>
      </c>
      <c r="Y462" cm="1">
        <f t="array" ref="Y462">SUM(TablaSupervisores[DISPOSITIVOS BACNET MS/TP COMPATIBLES]*INDEX(TablaSeleccionSupervisores[],ROW(TablaSeleccionSupervisores[[#This Row],[ORDEN]])-1,_xlfn.XMATCH(TablaSupervisores[REFERENCIA],TablaSeleccionSupervisores[#Headers])))</f>
        <v>148</v>
      </c>
      <c r="Z462" cm="1">
        <f t="array" ref="Z462">SUM(TablaSupervisores[DISPOSITIVOS BACNET IP]*INDEX(TablaSeleccionSupervisores[],ROW(TablaSeleccionSupervisores[[#This Row],[ORDEN]])-1,_xlfn.XMATCH(TablaSupervisores[REFERENCIA],TablaSeleccionSupervisores[#Headers])))</f>
        <v>450</v>
      </c>
      <c r="AA462" cm="1">
        <f t="array" ref="AA462">SUM(TablaSupervisores[OBJETOS]*INDEX(TablaSeleccionSupervisores[],ROW(TablaSeleccionSupervisores[[#This Row],[ORDEN]])-1,_xlfn.XMATCH(TablaSupervisores[REFERENCIA],TablaSeleccionSupervisores[#Headers])))</f>
        <v>17500</v>
      </c>
      <c r="AB462" s="28" cm="1">
        <f t="array" ref="AB462">SUM(TablaSupervisores[COSTE]*INDEX(TablaSeleccionSupervisores[],ROW(TablaSeleccionSupervisores[[#This Row],[ORDEN]])-1,_xlfn.XMATCH(TablaSupervisores[REFERENCIA],TablaSeleccionSupervisores[#Headers])))</f>
        <v>9408.380000000001</v>
      </c>
      <c r="AC462" cm="1">
        <f t="array" ref="AC462">SUM(INDEX(TablaSeleccionSupervisores[],ROW(TablaSeleccionSupervisores[[#This Row],[ORDEN]])-1,_xlfn.XMATCH(TablaSupervisores[REFERENCIA],TablaSeleccionSupervisores[#Headers])))</f>
        <v>6</v>
      </c>
      <c r="AD462" t="str" cm="1">
        <f t="array" ref="AD462">IF(INDEX(TablaSeleccionSupervisores[],ROW(TablaSeleccionSupervisores[[#This Row],[ORDEN]])-1,_xlfn.XMATCH("ADMITIDO ADSLITE",TablaSeleccionSupervisores[#Headers])+1)=0,"Sí admitido","No admitido")</f>
        <v>No admitido</v>
      </c>
      <c r="AE462">
        <v>1</v>
      </c>
      <c r="AF462">
        <v>0</v>
      </c>
      <c r="AG462">
        <v>0</v>
      </c>
      <c r="AH462">
        <v>5</v>
      </c>
    </row>
    <row r="463" spans="22:34" x14ac:dyDescent="0.25">
      <c r="V463">
        <v>462</v>
      </c>
      <c r="W463" cm="1">
        <f t="array" ref="W463">SUM(TablaSupervisores[DISPOSITIVOS TOTAL]*INDEX(TablaSeleccionSupervisores[],ROW(TablaSeleccionSupervisores[[#This Row],[ORDEN]])-1,_xlfn.XMATCH(TablaSupervisores[REFERENCIA],TablaSeleccionSupervisores[#Headers])))</f>
        <v>1220</v>
      </c>
      <c r="X463" cm="1">
        <f t="array" ref="X463">SUM(TablaSupervisores[DISPOSITIVOS BACNET MS/TP JC]*INDEX(TablaSeleccionSupervisores[],ROW(TablaSeleccionSupervisores[[#This Row],[ORDEN]])-1,_xlfn.XMATCH(TablaSupervisores[REFERENCIA],TablaSeleccionSupervisores[#Headers])))</f>
        <v>420</v>
      </c>
      <c r="Y463" cm="1">
        <f t="array" ref="Y463">SUM(TablaSupervisores[DISPOSITIVOS BACNET MS/TP COMPATIBLES]*INDEX(TablaSeleccionSupervisores[],ROW(TablaSeleccionSupervisores[[#This Row],[ORDEN]])-1,_xlfn.XMATCH(TablaSupervisores[REFERENCIA],TablaSeleccionSupervisores[#Headers])))</f>
        <v>276</v>
      </c>
      <c r="Z463" cm="1">
        <f t="array" ref="Z463">SUM(TablaSupervisores[DISPOSITIVOS BACNET IP]*INDEX(TablaSeleccionSupervisores[],ROW(TablaSeleccionSupervisores[[#This Row],[ORDEN]])-1,_xlfn.XMATCH(TablaSupervisores[REFERENCIA],TablaSeleccionSupervisores[#Headers])))</f>
        <v>850</v>
      </c>
      <c r="AA463" cm="1">
        <f t="array" ref="AA463">SUM(TablaSupervisores[OBJETOS]*INDEX(TablaSeleccionSupervisores[],ROW(TablaSeleccionSupervisores[[#This Row],[ORDEN]])-1,_xlfn.XMATCH(TablaSupervisores[REFERENCIA],TablaSeleccionSupervisores[#Headers])))</f>
        <v>22500</v>
      </c>
      <c r="AB463" s="28" cm="1">
        <f t="array" ref="AB463">SUM(TablaSupervisores[COSTE]*INDEX(TablaSeleccionSupervisores[],ROW(TablaSeleccionSupervisores[[#This Row],[ORDEN]])-1,_xlfn.XMATCH(TablaSupervisores[REFERENCIA],TablaSeleccionSupervisores[#Headers])))</f>
        <v>15075.01</v>
      </c>
      <c r="AC463" cm="1">
        <f t="array" ref="AC463">SUM(INDEX(TablaSeleccionSupervisores[],ROW(TablaSeleccionSupervisores[[#This Row],[ORDEN]])-1,_xlfn.XMATCH(TablaSupervisores[REFERENCIA],TablaSeleccionSupervisores[#Headers])))</f>
        <v>7</v>
      </c>
      <c r="AD463" t="str" cm="1">
        <f t="array" ref="AD463">IF(INDEX(TablaSeleccionSupervisores[],ROW(TablaSeleccionSupervisores[[#This Row],[ORDEN]])-1,_xlfn.XMATCH("ADMITIDO ADSLITE",TablaSeleccionSupervisores[#Headers])+1)=0,"Sí admitido","No admitido")</f>
        <v>No admitido</v>
      </c>
      <c r="AE463">
        <v>2</v>
      </c>
      <c r="AF463">
        <v>0</v>
      </c>
      <c r="AG463">
        <v>0</v>
      </c>
      <c r="AH463">
        <v>5</v>
      </c>
    </row>
    <row r="464" spans="22:34" x14ac:dyDescent="0.25">
      <c r="V464">
        <v>463</v>
      </c>
      <c r="W464" cm="1">
        <f t="array" ref="W464">SUM(TablaSupervisores[DISPOSITIVOS TOTAL]*INDEX(TablaSeleccionSupervisores[],ROW(TablaSeleccionSupervisores[[#This Row],[ORDEN]])-1,_xlfn.XMATCH(TablaSupervisores[REFERENCIA],TablaSeleccionSupervisores[#Headers])))</f>
        <v>1820</v>
      </c>
      <c r="X464" cm="1">
        <f t="array" ref="X464">SUM(TablaSupervisores[DISPOSITIVOS BACNET MS/TP JC]*INDEX(TablaSeleccionSupervisores[],ROW(TablaSeleccionSupervisores[[#This Row],[ORDEN]])-1,_xlfn.XMATCH(TablaSupervisores[REFERENCIA],TablaSeleccionSupervisores[#Headers])))</f>
        <v>620</v>
      </c>
      <c r="Y464" cm="1">
        <f t="array" ref="Y464">SUM(TablaSupervisores[DISPOSITIVOS BACNET MS/TP COMPATIBLES]*INDEX(TablaSeleccionSupervisores[],ROW(TablaSeleccionSupervisores[[#This Row],[ORDEN]])-1,_xlfn.XMATCH(TablaSupervisores[REFERENCIA],TablaSeleccionSupervisores[#Headers])))</f>
        <v>404</v>
      </c>
      <c r="Z464" cm="1">
        <f t="array" ref="Z464">SUM(TablaSupervisores[DISPOSITIVOS BACNET IP]*INDEX(TablaSeleccionSupervisores[],ROW(TablaSeleccionSupervisores[[#This Row],[ORDEN]])-1,_xlfn.XMATCH(TablaSupervisores[REFERENCIA],TablaSeleccionSupervisores[#Headers])))</f>
        <v>1250</v>
      </c>
      <c r="AA464" cm="1">
        <f t="array" ref="AA464">SUM(TablaSupervisores[OBJETOS]*INDEX(TablaSeleccionSupervisores[],ROW(TablaSeleccionSupervisores[[#This Row],[ORDEN]])-1,_xlfn.XMATCH(TablaSupervisores[REFERENCIA],TablaSeleccionSupervisores[#Headers])))</f>
        <v>27500</v>
      </c>
      <c r="AB464" s="28" cm="1">
        <f t="array" ref="AB464">SUM(TablaSupervisores[COSTE]*INDEX(TablaSeleccionSupervisores[],ROW(TablaSeleccionSupervisores[[#This Row],[ORDEN]])-1,_xlfn.XMATCH(TablaSupervisores[REFERENCIA],TablaSeleccionSupervisores[#Headers])))</f>
        <v>20741.64</v>
      </c>
      <c r="AC464" cm="1">
        <f t="array" ref="AC464">SUM(INDEX(TablaSeleccionSupervisores[],ROW(TablaSeleccionSupervisores[[#This Row],[ORDEN]])-1,_xlfn.XMATCH(TablaSupervisores[REFERENCIA],TablaSeleccionSupervisores[#Headers])))</f>
        <v>8</v>
      </c>
      <c r="AD464" t="str" cm="1">
        <f t="array" ref="AD464">IF(INDEX(TablaSeleccionSupervisores[],ROW(TablaSeleccionSupervisores[[#This Row],[ORDEN]])-1,_xlfn.XMATCH("ADMITIDO ADSLITE",TablaSeleccionSupervisores[#Headers])+1)=0,"Sí admitido","No admitido")</f>
        <v>No admitido</v>
      </c>
      <c r="AE464">
        <v>3</v>
      </c>
      <c r="AF464">
        <v>0</v>
      </c>
      <c r="AG464">
        <v>0</v>
      </c>
      <c r="AH464">
        <v>5</v>
      </c>
    </row>
    <row r="465" spans="22:34" x14ac:dyDescent="0.25">
      <c r="V465">
        <v>464</v>
      </c>
      <c r="W465" cm="1">
        <f t="array" ref="W465">SUM(TablaSupervisores[DISPOSITIVOS TOTAL]*INDEX(TablaSeleccionSupervisores[],ROW(TablaSeleccionSupervisores[[#This Row],[ORDEN]])-1,_xlfn.XMATCH(TablaSupervisores[REFERENCIA],TablaSeleccionSupervisores[#Headers])))</f>
        <v>170</v>
      </c>
      <c r="X465" cm="1">
        <f t="array" ref="X465">SUM(TablaSupervisores[DISPOSITIVOS BACNET MS/TP JC]*INDEX(TablaSeleccionSupervisores[],ROW(TablaSeleccionSupervisores[[#This Row],[ORDEN]])-1,_xlfn.XMATCH(TablaSupervisores[REFERENCIA],TablaSeleccionSupervisores[#Headers])))</f>
        <v>120</v>
      </c>
      <c r="Y465" cm="1">
        <f t="array" ref="Y465">SUM(TablaSupervisores[DISPOSITIVOS BACNET MS/TP COMPATIBLES]*INDEX(TablaSeleccionSupervisores[],ROW(TablaSeleccionSupervisores[[#This Row],[ORDEN]])-1,_xlfn.XMATCH(TablaSupervisores[REFERENCIA],TablaSeleccionSupervisores[#Headers])))</f>
        <v>84</v>
      </c>
      <c r="Z465" cm="1">
        <f t="array" ref="Z465">SUM(TablaSupervisores[DISPOSITIVOS BACNET IP]*INDEX(TablaSeleccionSupervisores[],ROW(TablaSeleccionSupervisores[[#This Row],[ORDEN]])-1,_xlfn.XMATCH(TablaSupervisores[REFERENCIA],TablaSeleccionSupervisores[#Headers])))</f>
        <v>250</v>
      </c>
      <c r="AA465" cm="1">
        <f t="array" ref="AA465">SUM(TablaSupervisores[OBJETOS]*INDEX(TablaSeleccionSupervisores[],ROW(TablaSeleccionSupervisores[[#This Row],[ORDEN]])-1,_xlfn.XMATCH(TablaSupervisores[REFERENCIA],TablaSeleccionSupervisores[#Headers])))</f>
        <v>15000</v>
      </c>
      <c r="AB465" s="28" cm="1">
        <f t="array" ref="AB465">SUM(TablaSupervisores[COSTE]*INDEX(TablaSeleccionSupervisores[],ROW(TablaSeleccionSupervisores[[#This Row],[ORDEN]])-1,_xlfn.XMATCH(TablaSupervisores[REFERENCIA],TablaSeleccionSupervisores[#Headers])))</f>
        <v>7730.48</v>
      </c>
      <c r="AC465" cm="1">
        <f t="array" ref="AC465">SUM(INDEX(TablaSeleccionSupervisores[],ROW(TablaSeleccionSupervisores[[#This Row],[ORDEN]])-1,_xlfn.XMATCH(TablaSupervisores[REFERENCIA],TablaSeleccionSupervisores[#Headers])))</f>
        <v>6</v>
      </c>
      <c r="AD465" t="str" cm="1">
        <f t="array" ref="AD465">IF(INDEX(TablaSeleccionSupervisores[],ROW(TablaSeleccionSupervisores[[#This Row],[ORDEN]])-1,_xlfn.XMATCH("ADMITIDO ADSLITE",TablaSeleccionSupervisores[#Headers])+1)=0,"Sí admitido","No admitido")</f>
        <v>Sí admitido</v>
      </c>
      <c r="AE465">
        <v>0</v>
      </c>
      <c r="AF465">
        <v>1</v>
      </c>
      <c r="AG465">
        <v>0</v>
      </c>
      <c r="AH465">
        <v>5</v>
      </c>
    </row>
    <row r="466" spans="22:34" x14ac:dyDescent="0.25">
      <c r="V466">
        <v>465</v>
      </c>
      <c r="W466" cm="1">
        <f t="array" ref="W466">SUM(TablaSupervisores[DISPOSITIVOS TOTAL]*INDEX(TablaSeleccionSupervisores[],ROW(TablaSeleccionSupervisores[[#This Row],[ORDEN]])-1,_xlfn.XMATCH(TablaSupervisores[REFERENCIA],TablaSeleccionSupervisores[#Headers])))</f>
        <v>770</v>
      </c>
      <c r="X466" cm="1">
        <f t="array" ref="X466">SUM(TablaSupervisores[DISPOSITIVOS BACNET MS/TP JC]*INDEX(TablaSeleccionSupervisores[],ROW(TablaSeleccionSupervisores[[#This Row],[ORDEN]])-1,_xlfn.XMATCH(TablaSupervisores[REFERENCIA],TablaSeleccionSupervisores[#Headers])))</f>
        <v>320</v>
      </c>
      <c r="Y466" cm="1">
        <f t="array" ref="Y466">SUM(TablaSupervisores[DISPOSITIVOS BACNET MS/TP COMPATIBLES]*INDEX(TablaSeleccionSupervisores[],ROW(TablaSeleccionSupervisores[[#This Row],[ORDEN]])-1,_xlfn.XMATCH(TablaSupervisores[REFERENCIA],TablaSeleccionSupervisores[#Headers])))</f>
        <v>212</v>
      </c>
      <c r="Z466" cm="1">
        <f t="array" ref="Z466">SUM(TablaSupervisores[DISPOSITIVOS BACNET IP]*INDEX(TablaSeleccionSupervisores[],ROW(TablaSeleccionSupervisores[[#This Row],[ORDEN]])-1,_xlfn.XMATCH(TablaSupervisores[REFERENCIA],TablaSeleccionSupervisores[#Headers])))</f>
        <v>650</v>
      </c>
      <c r="AA466" cm="1">
        <f t="array" ref="AA466">SUM(TablaSupervisores[OBJETOS]*INDEX(TablaSeleccionSupervisores[],ROW(TablaSeleccionSupervisores[[#This Row],[ORDEN]])-1,_xlfn.XMATCH(TablaSupervisores[REFERENCIA],TablaSeleccionSupervisores[#Headers])))</f>
        <v>20000</v>
      </c>
      <c r="AB466" s="28" cm="1">
        <f t="array" ref="AB466">SUM(TablaSupervisores[COSTE]*INDEX(TablaSeleccionSupervisores[],ROW(TablaSeleccionSupervisores[[#This Row],[ORDEN]])-1,_xlfn.XMATCH(TablaSupervisores[REFERENCIA],TablaSeleccionSupervisores[#Headers])))</f>
        <v>13397.11</v>
      </c>
      <c r="AC466" cm="1">
        <f t="array" ref="AC466">SUM(INDEX(TablaSeleccionSupervisores[],ROW(TablaSeleccionSupervisores[[#This Row],[ORDEN]])-1,_xlfn.XMATCH(TablaSupervisores[REFERENCIA],TablaSeleccionSupervisores[#Headers])))</f>
        <v>7</v>
      </c>
      <c r="AD466" t="str" cm="1">
        <f t="array" ref="AD466">IF(INDEX(TablaSeleccionSupervisores[],ROW(TablaSeleccionSupervisores[[#This Row],[ORDEN]])-1,_xlfn.XMATCH("ADMITIDO ADSLITE",TablaSeleccionSupervisores[#Headers])+1)=0,"Sí admitido","No admitido")</f>
        <v>No admitido</v>
      </c>
      <c r="AE466">
        <v>1</v>
      </c>
      <c r="AF466">
        <v>1</v>
      </c>
      <c r="AG466">
        <v>0</v>
      </c>
      <c r="AH466">
        <v>5</v>
      </c>
    </row>
    <row r="467" spans="22:34" x14ac:dyDescent="0.25">
      <c r="V467">
        <v>466</v>
      </c>
      <c r="W467" cm="1">
        <f t="array" ref="W467">SUM(TablaSupervisores[DISPOSITIVOS TOTAL]*INDEX(TablaSeleccionSupervisores[],ROW(TablaSeleccionSupervisores[[#This Row],[ORDEN]])-1,_xlfn.XMATCH(TablaSupervisores[REFERENCIA],TablaSeleccionSupervisores[#Headers])))</f>
        <v>1370</v>
      </c>
      <c r="X467" cm="1">
        <f t="array" ref="X467">SUM(TablaSupervisores[DISPOSITIVOS BACNET MS/TP JC]*INDEX(TablaSeleccionSupervisores[],ROW(TablaSeleccionSupervisores[[#This Row],[ORDEN]])-1,_xlfn.XMATCH(TablaSupervisores[REFERENCIA],TablaSeleccionSupervisores[#Headers])))</f>
        <v>520</v>
      </c>
      <c r="Y467" cm="1">
        <f t="array" ref="Y467">SUM(TablaSupervisores[DISPOSITIVOS BACNET MS/TP COMPATIBLES]*INDEX(TablaSeleccionSupervisores[],ROW(TablaSeleccionSupervisores[[#This Row],[ORDEN]])-1,_xlfn.XMATCH(TablaSupervisores[REFERENCIA],TablaSeleccionSupervisores[#Headers])))</f>
        <v>340</v>
      </c>
      <c r="Z467" cm="1">
        <f t="array" ref="Z467">SUM(TablaSupervisores[DISPOSITIVOS BACNET IP]*INDEX(TablaSeleccionSupervisores[],ROW(TablaSeleccionSupervisores[[#This Row],[ORDEN]])-1,_xlfn.XMATCH(TablaSupervisores[REFERENCIA],TablaSeleccionSupervisores[#Headers])))</f>
        <v>1050</v>
      </c>
      <c r="AA467" cm="1">
        <f t="array" ref="AA467">SUM(TablaSupervisores[OBJETOS]*INDEX(TablaSeleccionSupervisores[],ROW(TablaSeleccionSupervisores[[#This Row],[ORDEN]])-1,_xlfn.XMATCH(TablaSupervisores[REFERENCIA],TablaSeleccionSupervisores[#Headers])))</f>
        <v>25000</v>
      </c>
      <c r="AB467" s="28" cm="1">
        <f t="array" ref="AB467">SUM(TablaSupervisores[COSTE]*INDEX(TablaSeleccionSupervisores[],ROW(TablaSeleccionSupervisores[[#This Row],[ORDEN]])-1,_xlfn.XMATCH(TablaSupervisores[REFERENCIA],TablaSeleccionSupervisores[#Headers])))</f>
        <v>19063.739999999998</v>
      </c>
      <c r="AC467" cm="1">
        <f t="array" ref="AC467">SUM(INDEX(TablaSeleccionSupervisores[],ROW(TablaSeleccionSupervisores[[#This Row],[ORDEN]])-1,_xlfn.XMATCH(TablaSupervisores[REFERENCIA],TablaSeleccionSupervisores[#Headers])))</f>
        <v>8</v>
      </c>
      <c r="AD467" t="str" cm="1">
        <f t="array" ref="AD467">IF(INDEX(TablaSeleccionSupervisores[],ROW(TablaSeleccionSupervisores[[#This Row],[ORDEN]])-1,_xlfn.XMATCH("ADMITIDO ADSLITE",TablaSeleccionSupervisores[#Headers])+1)=0,"Sí admitido","No admitido")</f>
        <v>No admitido</v>
      </c>
      <c r="AE467">
        <v>2</v>
      </c>
      <c r="AF467">
        <v>1</v>
      </c>
      <c r="AG467">
        <v>0</v>
      </c>
      <c r="AH467">
        <v>5</v>
      </c>
    </row>
    <row r="468" spans="22:34" x14ac:dyDescent="0.25">
      <c r="V468">
        <v>467</v>
      </c>
      <c r="W468" cm="1">
        <f t="array" ref="W468">SUM(TablaSupervisores[DISPOSITIVOS TOTAL]*INDEX(TablaSeleccionSupervisores[],ROW(TablaSeleccionSupervisores[[#This Row],[ORDEN]])-1,_xlfn.XMATCH(TablaSupervisores[REFERENCIA],TablaSeleccionSupervisores[#Headers])))</f>
        <v>320</v>
      </c>
      <c r="X468" cm="1">
        <f t="array" ref="X468">SUM(TablaSupervisores[DISPOSITIVOS BACNET MS/TP JC]*INDEX(TablaSeleccionSupervisores[],ROW(TablaSeleccionSupervisores[[#This Row],[ORDEN]])-1,_xlfn.XMATCH(TablaSupervisores[REFERENCIA],TablaSeleccionSupervisores[#Headers])))</f>
        <v>220</v>
      </c>
      <c r="Y468" cm="1">
        <f t="array" ref="Y468">SUM(TablaSupervisores[DISPOSITIVOS BACNET MS/TP COMPATIBLES]*INDEX(TablaSeleccionSupervisores[],ROW(TablaSeleccionSupervisores[[#This Row],[ORDEN]])-1,_xlfn.XMATCH(TablaSupervisores[REFERENCIA],TablaSeleccionSupervisores[#Headers])))</f>
        <v>148</v>
      </c>
      <c r="Z468" cm="1">
        <f t="array" ref="Z468">SUM(TablaSupervisores[DISPOSITIVOS BACNET IP]*INDEX(TablaSeleccionSupervisores[],ROW(TablaSeleccionSupervisores[[#This Row],[ORDEN]])-1,_xlfn.XMATCH(TablaSupervisores[REFERENCIA],TablaSeleccionSupervisores[#Headers])))</f>
        <v>450</v>
      </c>
      <c r="AA468" cm="1">
        <f t="array" ref="AA468">SUM(TablaSupervisores[OBJETOS]*INDEX(TablaSeleccionSupervisores[],ROW(TablaSeleccionSupervisores[[#This Row],[ORDEN]])-1,_xlfn.XMATCH(TablaSupervisores[REFERENCIA],TablaSeleccionSupervisores[#Headers])))</f>
        <v>17500</v>
      </c>
      <c r="AB468" s="28" cm="1">
        <f t="array" ref="AB468">SUM(TablaSupervisores[COSTE]*INDEX(TablaSeleccionSupervisores[],ROW(TablaSeleccionSupervisores[[#This Row],[ORDEN]])-1,_xlfn.XMATCH(TablaSupervisores[REFERENCIA],TablaSeleccionSupervisores[#Headers])))</f>
        <v>11719.21</v>
      </c>
      <c r="AC468" cm="1">
        <f t="array" ref="AC468">SUM(INDEX(TablaSeleccionSupervisores[],ROW(TablaSeleccionSupervisores[[#This Row],[ORDEN]])-1,_xlfn.XMATCH(TablaSupervisores[REFERENCIA],TablaSeleccionSupervisores[#Headers])))</f>
        <v>7</v>
      </c>
      <c r="AD468" t="str" cm="1">
        <f t="array" ref="AD468">IF(INDEX(TablaSeleccionSupervisores[],ROW(TablaSeleccionSupervisores[[#This Row],[ORDEN]])-1,_xlfn.XMATCH("ADMITIDO ADSLITE",TablaSeleccionSupervisores[#Headers])+1)=0,"Sí admitido","No admitido")</f>
        <v>Sí admitido</v>
      </c>
      <c r="AE468">
        <v>0</v>
      </c>
      <c r="AF468">
        <v>2</v>
      </c>
      <c r="AG468">
        <v>0</v>
      </c>
      <c r="AH468">
        <v>5</v>
      </c>
    </row>
    <row r="469" spans="22:34" x14ac:dyDescent="0.25">
      <c r="V469">
        <v>468</v>
      </c>
      <c r="W469" cm="1">
        <f t="array" ref="W469">SUM(TablaSupervisores[DISPOSITIVOS TOTAL]*INDEX(TablaSeleccionSupervisores[],ROW(TablaSeleccionSupervisores[[#This Row],[ORDEN]])-1,_xlfn.XMATCH(TablaSupervisores[REFERENCIA],TablaSeleccionSupervisores[#Headers])))</f>
        <v>920</v>
      </c>
      <c r="X469" cm="1">
        <f t="array" ref="X469">SUM(TablaSupervisores[DISPOSITIVOS BACNET MS/TP JC]*INDEX(TablaSeleccionSupervisores[],ROW(TablaSeleccionSupervisores[[#This Row],[ORDEN]])-1,_xlfn.XMATCH(TablaSupervisores[REFERENCIA],TablaSeleccionSupervisores[#Headers])))</f>
        <v>420</v>
      </c>
      <c r="Y469" cm="1">
        <f t="array" ref="Y469">SUM(TablaSupervisores[DISPOSITIVOS BACNET MS/TP COMPATIBLES]*INDEX(TablaSeleccionSupervisores[],ROW(TablaSeleccionSupervisores[[#This Row],[ORDEN]])-1,_xlfn.XMATCH(TablaSupervisores[REFERENCIA],TablaSeleccionSupervisores[#Headers])))</f>
        <v>276</v>
      </c>
      <c r="Z469" cm="1">
        <f t="array" ref="Z469">SUM(TablaSupervisores[DISPOSITIVOS BACNET IP]*INDEX(TablaSeleccionSupervisores[],ROW(TablaSeleccionSupervisores[[#This Row],[ORDEN]])-1,_xlfn.XMATCH(TablaSupervisores[REFERENCIA],TablaSeleccionSupervisores[#Headers])))</f>
        <v>850</v>
      </c>
      <c r="AA469" cm="1">
        <f t="array" ref="AA469">SUM(TablaSupervisores[OBJETOS]*INDEX(TablaSeleccionSupervisores[],ROW(TablaSeleccionSupervisores[[#This Row],[ORDEN]])-1,_xlfn.XMATCH(TablaSupervisores[REFERENCIA],TablaSeleccionSupervisores[#Headers])))</f>
        <v>22500</v>
      </c>
      <c r="AB469" s="28" cm="1">
        <f t="array" ref="AB469">SUM(TablaSupervisores[COSTE]*INDEX(TablaSeleccionSupervisores[],ROW(TablaSeleccionSupervisores[[#This Row],[ORDEN]])-1,_xlfn.XMATCH(TablaSupervisores[REFERENCIA],TablaSeleccionSupervisores[#Headers])))</f>
        <v>17385.84</v>
      </c>
      <c r="AC469" cm="1">
        <f t="array" ref="AC469">SUM(INDEX(TablaSeleccionSupervisores[],ROW(TablaSeleccionSupervisores[[#This Row],[ORDEN]])-1,_xlfn.XMATCH(TablaSupervisores[REFERENCIA],TablaSeleccionSupervisores[#Headers])))</f>
        <v>8</v>
      </c>
      <c r="AD469" t="str" cm="1">
        <f t="array" ref="AD469">IF(INDEX(TablaSeleccionSupervisores[],ROW(TablaSeleccionSupervisores[[#This Row],[ORDEN]])-1,_xlfn.XMATCH("ADMITIDO ADSLITE",TablaSeleccionSupervisores[#Headers])+1)=0,"Sí admitido","No admitido")</f>
        <v>No admitido</v>
      </c>
      <c r="AE469">
        <v>1</v>
      </c>
      <c r="AF469">
        <v>2</v>
      </c>
      <c r="AG469">
        <v>0</v>
      </c>
      <c r="AH469">
        <v>5</v>
      </c>
    </row>
    <row r="470" spans="22:34" x14ac:dyDescent="0.25">
      <c r="V470">
        <v>469</v>
      </c>
      <c r="W470" cm="1">
        <f t="array" ref="W470">SUM(TablaSupervisores[DISPOSITIVOS TOTAL]*INDEX(TablaSeleccionSupervisores[],ROW(TablaSeleccionSupervisores[[#This Row],[ORDEN]])-1,_xlfn.XMATCH(TablaSupervisores[REFERENCIA],TablaSeleccionSupervisores[#Headers])))</f>
        <v>470</v>
      </c>
      <c r="X470" cm="1">
        <f t="array" ref="X470">SUM(TablaSupervisores[DISPOSITIVOS BACNET MS/TP JC]*INDEX(TablaSeleccionSupervisores[],ROW(TablaSeleccionSupervisores[[#This Row],[ORDEN]])-1,_xlfn.XMATCH(TablaSupervisores[REFERENCIA],TablaSeleccionSupervisores[#Headers])))</f>
        <v>320</v>
      </c>
      <c r="Y470" cm="1">
        <f t="array" ref="Y470">SUM(TablaSupervisores[DISPOSITIVOS BACNET MS/TP COMPATIBLES]*INDEX(TablaSeleccionSupervisores[],ROW(TablaSeleccionSupervisores[[#This Row],[ORDEN]])-1,_xlfn.XMATCH(TablaSupervisores[REFERENCIA],TablaSeleccionSupervisores[#Headers])))</f>
        <v>212</v>
      </c>
      <c r="Z470" cm="1">
        <f t="array" ref="Z470">SUM(TablaSupervisores[DISPOSITIVOS BACNET IP]*INDEX(TablaSeleccionSupervisores[],ROW(TablaSeleccionSupervisores[[#This Row],[ORDEN]])-1,_xlfn.XMATCH(TablaSupervisores[REFERENCIA],TablaSeleccionSupervisores[#Headers])))</f>
        <v>650</v>
      </c>
      <c r="AA470" cm="1">
        <f t="array" ref="AA470">SUM(TablaSupervisores[OBJETOS]*INDEX(TablaSeleccionSupervisores[],ROW(TablaSeleccionSupervisores[[#This Row],[ORDEN]])-1,_xlfn.XMATCH(TablaSupervisores[REFERENCIA],TablaSeleccionSupervisores[#Headers])))</f>
        <v>20000</v>
      </c>
      <c r="AB470" s="28" cm="1">
        <f t="array" ref="AB470">SUM(TablaSupervisores[COSTE]*INDEX(TablaSeleccionSupervisores[],ROW(TablaSeleccionSupervisores[[#This Row],[ORDEN]])-1,_xlfn.XMATCH(TablaSupervisores[REFERENCIA],TablaSeleccionSupervisores[#Headers])))</f>
        <v>15707.94</v>
      </c>
      <c r="AC470" cm="1">
        <f t="array" ref="AC470">SUM(INDEX(TablaSeleccionSupervisores[],ROW(TablaSeleccionSupervisores[[#This Row],[ORDEN]])-1,_xlfn.XMATCH(TablaSupervisores[REFERENCIA],TablaSeleccionSupervisores[#Headers])))</f>
        <v>8</v>
      </c>
      <c r="AD470" t="str" cm="1">
        <f t="array" ref="AD470">IF(INDEX(TablaSeleccionSupervisores[],ROW(TablaSeleccionSupervisores[[#This Row],[ORDEN]])-1,_xlfn.XMATCH("ADMITIDO ADSLITE",TablaSeleccionSupervisores[#Headers])+1)=0,"Sí admitido","No admitido")</f>
        <v>Sí admitido</v>
      </c>
      <c r="AE470">
        <v>0</v>
      </c>
      <c r="AF470">
        <v>3</v>
      </c>
      <c r="AG470">
        <v>0</v>
      </c>
      <c r="AH470">
        <v>5</v>
      </c>
    </row>
    <row r="471" spans="22:34" x14ac:dyDescent="0.25">
      <c r="V471">
        <v>470</v>
      </c>
      <c r="W471" cm="1">
        <f t="array" ref="W471">SUM(TablaSupervisores[DISPOSITIVOS TOTAL]*INDEX(TablaSeleccionSupervisores[],ROW(TablaSeleccionSupervisores[[#This Row],[ORDEN]])-1,_xlfn.XMATCH(TablaSupervisores[REFERENCIA],TablaSeleccionSupervisores[#Headers])))</f>
        <v>80</v>
      </c>
      <c r="X471" cm="1">
        <f t="array" ref="X471">SUM(TablaSupervisores[DISPOSITIVOS BACNET MS/TP JC]*INDEX(TablaSeleccionSupervisores[],ROW(TablaSeleccionSupervisores[[#This Row],[ORDEN]])-1,_xlfn.XMATCH(TablaSupervisores[REFERENCIA],TablaSeleccionSupervisores[#Headers])))</f>
        <v>70</v>
      </c>
      <c r="Y471" cm="1">
        <f t="array" ref="Y471">SUM(TablaSupervisores[DISPOSITIVOS BACNET MS/TP COMPATIBLES]*INDEX(TablaSeleccionSupervisores[],ROW(TablaSeleccionSupervisores[[#This Row],[ORDEN]])-1,_xlfn.XMATCH(TablaSupervisores[REFERENCIA],TablaSeleccionSupervisores[#Headers])))</f>
        <v>52</v>
      </c>
      <c r="Z471" cm="1">
        <f t="array" ref="Z471">SUM(TablaSupervisores[DISPOSITIVOS BACNET IP]*INDEX(TablaSeleccionSupervisores[],ROW(TablaSeleccionSupervisores[[#This Row],[ORDEN]])-1,_xlfn.XMATCH(TablaSupervisores[REFERENCIA],TablaSeleccionSupervisores[#Headers])))</f>
        <v>150</v>
      </c>
      <c r="AA471" cm="1">
        <f t="array" ref="AA471">SUM(TablaSupervisores[OBJETOS]*INDEX(TablaSeleccionSupervisores[],ROW(TablaSeleccionSupervisores[[#This Row],[ORDEN]])-1,_xlfn.XMATCH(TablaSupervisores[REFERENCIA],TablaSeleccionSupervisores[#Headers])))</f>
        <v>15000</v>
      </c>
      <c r="AB471" s="28" cm="1">
        <f t="array" ref="AB471">SUM(TablaSupervisores[COSTE]*INDEX(TablaSeleccionSupervisores[],ROW(TablaSeleccionSupervisores[[#This Row],[ORDEN]])-1,_xlfn.XMATCH(TablaSupervisores[REFERENCIA],TablaSeleccionSupervisores[#Headers])))</f>
        <v>5165.2299999999996</v>
      </c>
      <c r="AC471" cm="1">
        <f t="array" ref="AC471">SUM(INDEX(TablaSeleccionSupervisores[],ROW(TablaSeleccionSupervisores[[#This Row],[ORDEN]])-1,_xlfn.XMATCH(TablaSupervisores[REFERENCIA],TablaSeleccionSupervisores[#Headers])))</f>
        <v>6</v>
      </c>
      <c r="AD471" t="str" cm="1">
        <f t="array" ref="AD471">IF(INDEX(TablaSeleccionSupervisores[],ROW(TablaSeleccionSupervisores[[#This Row],[ORDEN]])-1,_xlfn.XMATCH("ADMITIDO ADSLITE",TablaSeleccionSupervisores[#Headers])+1)=0,"Sí admitido","No admitido")</f>
        <v>Sí admitido</v>
      </c>
      <c r="AE471">
        <v>0</v>
      </c>
      <c r="AF471">
        <v>0</v>
      </c>
      <c r="AG471">
        <v>1</v>
      </c>
      <c r="AH471">
        <v>5</v>
      </c>
    </row>
    <row r="472" spans="22:34" x14ac:dyDescent="0.25">
      <c r="V472">
        <v>471</v>
      </c>
      <c r="W472" cm="1">
        <f t="array" ref="W472">SUM(TablaSupervisores[DISPOSITIVOS TOTAL]*INDEX(TablaSeleccionSupervisores[],ROW(TablaSeleccionSupervisores[[#This Row],[ORDEN]])-1,_xlfn.XMATCH(TablaSupervisores[REFERENCIA],TablaSeleccionSupervisores[#Headers])))</f>
        <v>680</v>
      </c>
      <c r="X472" cm="1">
        <f t="array" ref="X472">SUM(TablaSupervisores[DISPOSITIVOS BACNET MS/TP JC]*INDEX(TablaSeleccionSupervisores[],ROW(TablaSeleccionSupervisores[[#This Row],[ORDEN]])-1,_xlfn.XMATCH(TablaSupervisores[REFERENCIA],TablaSeleccionSupervisores[#Headers])))</f>
        <v>270</v>
      </c>
      <c r="Y472" cm="1">
        <f t="array" ref="Y472">SUM(TablaSupervisores[DISPOSITIVOS BACNET MS/TP COMPATIBLES]*INDEX(TablaSeleccionSupervisores[],ROW(TablaSeleccionSupervisores[[#This Row],[ORDEN]])-1,_xlfn.XMATCH(TablaSupervisores[REFERENCIA],TablaSeleccionSupervisores[#Headers])))</f>
        <v>180</v>
      </c>
      <c r="Z472" cm="1">
        <f t="array" ref="Z472">SUM(TablaSupervisores[DISPOSITIVOS BACNET IP]*INDEX(TablaSeleccionSupervisores[],ROW(TablaSeleccionSupervisores[[#This Row],[ORDEN]])-1,_xlfn.XMATCH(TablaSupervisores[REFERENCIA],TablaSeleccionSupervisores[#Headers])))</f>
        <v>550</v>
      </c>
      <c r="AA472" cm="1">
        <f t="array" ref="AA472">SUM(TablaSupervisores[OBJETOS]*INDEX(TablaSeleccionSupervisores[],ROW(TablaSeleccionSupervisores[[#This Row],[ORDEN]])-1,_xlfn.XMATCH(TablaSupervisores[REFERENCIA],TablaSeleccionSupervisores[#Headers])))</f>
        <v>20000</v>
      </c>
      <c r="AB472" s="28" cm="1">
        <f t="array" ref="AB472">SUM(TablaSupervisores[COSTE]*INDEX(TablaSeleccionSupervisores[],ROW(TablaSeleccionSupervisores[[#This Row],[ORDEN]])-1,_xlfn.XMATCH(TablaSupervisores[REFERENCIA],TablaSeleccionSupervisores[#Headers])))</f>
        <v>10831.86</v>
      </c>
      <c r="AC472" cm="1">
        <f t="array" ref="AC472">SUM(INDEX(TablaSeleccionSupervisores[],ROW(TablaSeleccionSupervisores[[#This Row],[ORDEN]])-1,_xlfn.XMATCH(TablaSupervisores[REFERENCIA],TablaSeleccionSupervisores[#Headers])))</f>
        <v>7</v>
      </c>
      <c r="AD472" t="str" cm="1">
        <f t="array" ref="AD472">IF(INDEX(TablaSeleccionSupervisores[],ROW(TablaSeleccionSupervisores[[#This Row],[ORDEN]])-1,_xlfn.XMATCH("ADMITIDO ADSLITE",TablaSeleccionSupervisores[#Headers])+1)=0,"Sí admitido","No admitido")</f>
        <v>No admitido</v>
      </c>
      <c r="AE472">
        <v>1</v>
      </c>
      <c r="AF472">
        <v>0</v>
      </c>
      <c r="AG472">
        <v>1</v>
      </c>
      <c r="AH472">
        <v>5</v>
      </c>
    </row>
    <row r="473" spans="22:34" x14ac:dyDescent="0.25">
      <c r="V473">
        <v>472</v>
      </c>
      <c r="W473" cm="1">
        <f t="array" ref="W473">SUM(TablaSupervisores[DISPOSITIVOS TOTAL]*INDEX(TablaSeleccionSupervisores[],ROW(TablaSeleccionSupervisores[[#This Row],[ORDEN]])-1,_xlfn.XMATCH(TablaSupervisores[REFERENCIA],TablaSeleccionSupervisores[#Headers])))</f>
        <v>1280</v>
      </c>
      <c r="X473" cm="1">
        <f t="array" ref="X473">SUM(TablaSupervisores[DISPOSITIVOS BACNET MS/TP JC]*INDEX(TablaSeleccionSupervisores[],ROW(TablaSeleccionSupervisores[[#This Row],[ORDEN]])-1,_xlfn.XMATCH(TablaSupervisores[REFERENCIA],TablaSeleccionSupervisores[#Headers])))</f>
        <v>470</v>
      </c>
      <c r="Y473" cm="1">
        <f t="array" ref="Y473">SUM(TablaSupervisores[DISPOSITIVOS BACNET MS/TP COMPATIBLES]*INDEX(TablaSeleccionSupervisores[],ROW(TablaSeleccionSupervisores[[#This Row],[ORDEN]])-1,_xlfn.XMATCH(TablaSupervisores[REFERENCIA],TablaSeleccionSupervisores[#Headers])))</f>
        <v>308</v>
      </c>
      <c r="Z473" cm="1">
        <f t="array" ref="Z473">SUM(TablaSupervisores[DISPOSITIVOS BACNET IP]*INDEX(TablaSeleccionSupervisores[],ROW(TablaSeleccionSupervisores[[#This Row],[ORDEN]])-1,_xlfn.XMATCH(TablaSupervisores[REFERENCIA],TablaSeleccionSupervisores[#Headers])))</f>
        <v>950</v>
      </c>
      <c r="AA473" cm="1">
        <f t="array" ref="AA473">SUM(TablaSupervisores[OBJETOS]*INDEX(TablaSeleccionSupervisores[],ROW(TablaSeleccionSupervisores[[#This Row],[ORDEN]])-1,_xlfn.XMATCH(TablaSupervisores[REFERENCIA],TablaSeleccionSupervisores[#Headers])))</f>
        <v>25000</v>
      </c>
      <c r="AB473" s="28" cm="1">
        <f t="array" ref="AB473">SUM(TablaSupervisores[COSTE]*INDEX(TablaSeleccionSupervisores[],ROW(TablaSeleccionSupervisores[[#This Row],[ORDEN]])-1,_xlfn.XMATCH(TablaSupervisores[REFERENCIA],TablaSeleccionSupervisores[#Headers])))</f>
        <v>16498.489999999998</v>
      </c>
      <c r="AC473" cm="1">
        <f t="array" ref="AC473">SUM(INDEX(TablaSeleccionSupervisores[],ROW(TablaSeleccionSupervisores[[#This Row],[ORDEN]])-1,_xlfn.XMATCH(TablaSupervisores[REFERENCIA],TablaSeleccionSupervisores[#Headers])))</f>
        <v>8</v>
      </c>
      <c r="AD473" t="str" cm="1">
        <f t="array" ref="AD473">IF(INDEX(TablaSeleccionSupervisores[],ROW(TablaSeleccionSupervisores[[#This Row],[ORDEN]])-1,_xlfn.XMATCH("ADMITIDO ADSLITE",TablaSeleccionSupervisores[#Headers])+1)=0,"Sí admitido","No admitido")</f>
        <v>No admitido</v>
      </c>
      <c r="AE473">
        <v>2</v>
      </c>
      <c r="AF473">
        <v>0</v>
      </c>
      <c r="AG473">
        <v>1</v>
      </c>
      <c r="AH473">
        <v>5</v>
      </c>
    </row>
    <row r="474" spans="22:34" x14ac:dyDescent="0.25">
      <c r="V474">
        <v>473</v>
      </c>
      <c r="W474" cm="1">
        <f t="array" ref="W474">SUM(TablaSupervisores[DISPOSITIVOS TOTAL]*INDEX(TablaSeleccionSupervisores[],ROW(TablaSeleccionSupervisores[[#This Row],[ORDEN]])-1,_xlfn.XMATCH(TablaSupervisores[REFERENCIA],TablaSeleccionSupervisores[#Headers])))</f>
        <v>230</v>
      </c>
      <c r="X474" cm="1">
        <f t="array" ref="X474">SUM(TablaSupervisores[DISPOSITIVOS BACNET MS/TP JC]*INDEX(TablaSeleccionSupervisores[],ROW(TablaSeleccionSupervisores[[#This Row],[ORDEN]])-1,_xlfn.XMATCH(TablaSupervisores[REFERENCIA],TablaSeleccionSupervisores[#Headers])))</f>
        <v>170</v>
      </c>
      <c r="Y474" cm="1">
        <f t="array" ref="Y474">SUM(TablaSupervisores[DISPOSITIVOS BACNET MS/TP COMPATIBLES]*INDEX(TablaSeleccionSupervisores[],ROW(TablaSeleccionSupervisores[[#This Row],[ORDEN]])-1,_xlfn.XMATCH(TablaSupervisores[REFERENCIA],TablaSeleccionSupervisores[#Headers])))</f>
        <v>116</v>
      </c>
      <c r="Z474" cm="1">
        <f t="array" ref="Z474">SUM(TablaSupervisores[DISPOSITIVOS BACNET IP]*INDEX(TablaSeleccionSupervisores[],ROW(TablaSeleccionSupervisores[[#This Row],[ORDEN]])-1,_xlfn.XMATCH(TablaSupervisores[REFERENCIA],TablaSeleccionSupervisores[#Headers])))</f>
        <v>350</v>
      </c>
      <c r="AA474" cm="1">
        <f t="array" ref="AA474">SUM(TablaSupervisores[OBJETOS]*INDEX(TablaSeleccionSupervisores[],ROW(TablaSeleccionSupervisores[[#This Row],[ORDEN]])-1,_xlfn.XMATCH(TablaSupervisores[REFERENCIA],TablaSeleccionSupervisores[#Headers])))</f>
        <v>17500</v>
      </c>
      <c r="AB474" s="28" cm="1">
        <f t="array" ref="AB474">SUM(TablaSupervisores[COSTE]*INDEX(TablaSeleccionSupervisores[],ROW(TablaSeleccionSupervisores[[#This Row],[ORDEN]])-1,_xlfn.XMATCH(TablaSupervisores[REFERENCIA],TablaSeleccionSupervisores[#Headers])))</f>
        <v>9153.9599999999991</v>
      </c>
      <c r="AC474" cm="1">
        <f t="array" ref="AC474">SUM(INDEX(TablaSeleccionSupervisores[],ROW(TablaSeleccionSupervisores[[#This Row],[ORDEN]])-1,_xlfn.XMATCH(TablaSupervisores[REFERENCIA],TablaSeleccionSupervisores[#Headers])))</f>
        <v>7</v>
      </c>
      <c r="AD474" t="str" cm="1">
        <f t="array" ref="AD474">IF(INDEX(TablaSeleccionSupervisores[],ROW(TablaSeleccionSupervisores[[#This Row],[ORDEN]])-1,_xlfn.XMATCH("ADMITIDO ADSLITE",TablaSeleccionSupervisores[#Headers])+1)=0,"Sí admitido","No admitido")</f>
        <v>Sí admitido</v>
      </c>
      <c r="AE474">
        <v>0</v>
      </c>
      <c r="AF474">
        <v>1</v>
      </c>
      <c r="AG474">
        <v>1</v>
      </c>
      <c r="AH474">
        <v>5</v>
      </c>
    </row>
    <row r="475" spans="22:34" x14ac:dyDescent="0.25">
      <c r="V475">
        <v>474</v>
      </c>
      <c r="W475" cm="1">
        <f t="array" ref="W475">SUM(TablaSupervisores[DISPOSITIVOS TOTAL]*INDEX(TablaSeleccionSupervisores[],ROW(TablaSeleccionSupervisores[[#This Row],[ORDEN]])-1,_xlfn.XMATCH(TablaSupervisores[REFERENCIA],TablaSeleccionSupervisores[#Headers])))</f>
        <v>830</v>
      </c>
      <c r="X475" cm="1">
        <f t="array" ref="X475">SUM(TablaSupervisores[DISPOSITIVOS BACNET MS/TP JC]*INDEX(TablaSeleccionSupervisores[],ROW(TablaSeleccionSupervisores[[#This Row],[ORDEN]])-1,_xlfn.XMATCH(TablaSupervisores[REFERENCIA],TablaSeleccionSupervisores[#Headers])))</f>
        <v>370</v>
      </c>
      <c r="Y475" cm="1">
        <f t="array" ref="Y475">SUM(TablaSupervisores[DISPOSITIVOS BACNET MS/TP COMPATIBLES]*INDEX(TablaSeleccionSupervisores[],ROW(TablaSeleccionSupervisores[[#This Row],[ORDEN]])-1,_xlfn.XMATCH(TablaSupervisores[REFERENCIA],TablaSeleccionSupervisores[#Headers])))</f>
        <v>244</v>
      </c>
      <c r="Z475" cm="1">
        <f t="array" ref="Z475">SUM(TablaSupervisores[DISPOSITIVOS BACNET IP]*INDEX(TablaSeleccionSupervisores[],ROW(TablaSeleccionSupervisores[[#This Row],[ORDEN]])-1,_xlfn.XMATCH(TablaSupervisores[REFERENCIA],TablaSeleccionSupervisores[#Headers])))</f>
        <v>750</v>
      </c>
      <c r="AA475" cm="1">
        <f t="array" ref="AA475">SUM(TablaSupervisores[OBJETOS]*INDEX(TablaSeleccionSupervisores[],ROW(TablaSeleccionSupervisores[[#This Row],[ORDEN]])-1,_xlfn.XMATCH(TablaSupervisores[REFERENCIA],TablaSeleccionSupervisores[#Headers])))</f>
        <v>22500</v>
      </c>
      <c r="AB475" s="28" cm="1">
        <f t="array" ref="AB475">SUM(TablaSupervisores[COSTE]*INDEX(TablaSeleccionSupervisores[],ROW(TablaSeleccionSupervisores[[#This Row],[ORDEN]])-1,_xlfn.XMATCH(TablaSupervisores[REFERENCIA],TablaSeleccionSupervisores[#Headers])))</f>
        <v>14820.59</v>
      </c>
      <c r="AC475" cm="1">
        <f t="array" ref="AC475">SUM(INDEX(TablaSeleccionSupervisores[],ROW(TablaSeleccionSupervisores[[#This Row],[ORDEN]])-1,_xlfn.XMATCH(TablaSupervisores[REFERENCIA],TablaSeleccionSupervisores[#Headers])))</f>
        <v>8</v>
      </c>
      <c r="AD475" t="str" cm="1">
        <f t="array" ref="AD475">IF(INDEX(TablaSeleccionSupervisores[],ROW(TablaSeleccionSupervisores[[#This Row],[ORDEN]])-1,_xlfn.XMATCH("ADMITIDO ADSLITE",TablaSeleccionSupervisores[#Headers])+1)=0,"Sí admitido","No admitido")</f>
        <v>No admitido</v>
      </c>
      <c r="AE475">
        <v>1</v>
      </c>
      <c r="AF475">
        <v>1</v>
      </c>
      <c r="AG475">
        <v>1</v>
      </c>
      <c r="AH475">
        <v>5</v>
      </c>
    </row>
    <row r="476" spans="22:34" x14ac:dyDescent="0.25">
      <c r="V476">
        <v>475</v>
      </c>
      <c r="W476" cm="1">
        <f t="array" ref="W476">SUM(TablaSupervisores[DISPOSITIVOS TOTAL]*INDEX(TablaSeleccionSupervisores[],ROW(TablaSeleccionSupervisores[[#This Row],[ORDEN]])-1,_xlfn.XMATCH(TablaSupervisores[REFERENCIA],TablaSeleccionSupervisores[#Headers])))</f>
        <v>380</v>
      </c>
      <c r="X476" cm="1">
        <f t="array" ref="X476">SUM(TablaSupervisores[DISPOSITIVOS BACNET MS/TP JC]*INDEX(TablaSeleccionSupervisores[],ROW(TablaSeleccionSupervisores[[#This Row],[ORDEN]])-1,_xlfn.XMATCH(TablaSupervisores[REFERENCIA],TablaSeleccionSupervisores[#Headers])))</f>
        <v>270</v>
      </c>
      <c r="Y476" cm="1">
        <f t="array" ref="Y476">SUM(TablaSupervisores[DISPOSITIVOS BACNET MS/TP COMPATIBLES]*INDEX(TablaSeleccionSupervisores[],ROW(TablaSeleccionSupervisores[[#This Row],[ORDEN]])-1,_xlfn.XMATCH(TablaSupervisores[REFERENCIA],TablaSeleccionSupervisores[#Headers])))</f>
        <v>180</v>
      </c>
      <c r="Z476" cm="1">
        <f t="array" ref="Z476">SUM(TablaSupervisores[DISPOSITIVOS BACNET IP]*INDEX(TablaSeleccionSupervisores[],ROW(TablaSeleccionSupervisores[[#This Row],[ORDEN]])-1,_xlfn.XMATCH(TablaSupervisores[REFERENCIA],TablaSeleccionSupervisores[#Headers])))</f>
        <v>550</v>
      </c>
      <c r="AA476" cm="1">
        <f t="array" ref="AA476">SUM(TablaSupervisores[OBJETOS]*INDEX(TablaSeleccionSupervisores[],ROW(TablaSeleccionSupervisores[[#This Row],[ORDEN]])-1,_xlfn.XMATCH(TablaSupervisores[REFERENCIA],TablaSeleccionSupervisores[#Headers])))</f>
        <v>20000</v>
      </c>
      <c r="AB476" s="28" cm="1">
        <f t="array" ref="AB476">SUM(TablaSupervisores[COSTE]*INDEX(TablaSeleccionSupervisores[],ROW(TablaSeleccionSupervisores[[#This Row],[ORDEN]])-1,_xlfn.XMATCH(TablaSupervisores[REFERENCIA],TablaSeleccionSupervisores[#Headers])))</f>
        <v>13142.69</v>
      </c>
      <c r="AC476" cm="1">
        <f t="array" ref="AC476">SUM(INDEX(TablaSeleccionSupervisores[],ROW(TablaSeleccionSupervisores[[#This Row],[ORDEN]])-1,_xlfn.XMATCH(TablaSupervisores[REFERENCIA],TablaSeleccionSupervisores[#Headers])))</f>
        <v>8</v>
      </c>
      <c r="AD476" t="str" cm="1">
        <f t="array" ref="AD476">IF(INDEX(TablaSeleccionSupervisores[],ROW(TablaSeleccionSupervisores[[#This Row],[ORDEN]])-1,_xlfn.XMATCH("ADMITIDO ADSLITE",TablaSeleccionSupervisores[#Headers])+1)=0,"Sí admitido","No admitido")</f>
        <v>Sí admitido</v>
      </c>
      <c r="AE476">
        <v>0</v>
      </c>
      <c r="AF476">
        <v>2</v>
      </c>
      <c r="AG476">
        <v>1</v>
      </c>
      <c r="AH476">
        <v>5</v>
      </c>
    </row>
    <row r="477" spans="22:34" x14ac:dyDescent="0.25">
      <c r="V477">
        <v>476</v>
      </c>
      <c r="W477" cm="1">
        <f t="array" ref="W477">SUM(TablaSupervisores[DISPOSITIVOS TOTAL]*INDEX(TablaSeleccionSupervisores[],ROW(TablaSeleccionSupervisores[[#This Row],[ORDEN]])-1,_xlfn.XMATCH(TablaSupervisores[REFERENCIA],TablaSeleccionSupervisores[#Headers])))</f>
        <v>140</v>
      </c>
      <c r="X477" cm="1">
        <f t="array" ref="X477">SUM(TablaSupervisores[DISPOSITIVOS BACNET MS/TP JC]*INDEX(TablaSeleccionSupervisores[],ROW(TablaSeleccionSupervisores[[#This Row],[ORDEN]])-1,_xlfn.XMATCH(TablaSupervisores[REFERENCIA],TablaSeleccionSupervisores[#Headers])))</f>
        <v>120</v>
      </c>
      <c r="Y477" cm="1">
        <f t="array" ref="Y477">SUM(TablaSupervisores[DISPOSITIVOS BACNET MS/TP COMPATIBLES]*INDEX(TablaSeleccionSupervisores[],ROW(TablaSeleccionSupervisores[[#This Row],[ORDEN]])-1,_xlfn.XMATCH(TablaSupervisores[REFERENCIA],TablaSeleccionSupervisores[#Headers])))</f>
        <v>84</v>
      </c>
      <c r="Z477" cm="1">
        <f t="array" ref="Z477">SUM(TablaSupervisores[DISPOSITIVOS BACNET IP]*INDEX(TablaSeleccionSupervisores[],ROW(TablaSeleccionSupervisores[[#This Row],[ORDEN]])-1,_xlfn.XMATCH(TablaSupervisores[REFERENCIA],TablaSeleccionSupervisores[#Headers])))</f>
        <v>250</v>
      </c>
      <c r="AA477" cm="1">
        <f t="array" ref="AA477">SUM(TablaSupervisores[OBJETOS]*INDEX(TablaSeleccionSupervisores[],ROW(TablaSeleccionSupervisores[[#This Row],[ORDEN]])-1,_xlfn.XMATCH(TablaSupervisores[REFERENCIA],TablaSeleccionSupervisores[#Headers])))</f>
        <v>17500</v>
      </c>
      <c r="AB477" s="28" cm="1">
        <f t="array" ref="AB477">SUM(TablaSupervisores[COSTE]*INDEX(TablaSeleccionSupervisores[],ROW(TablaSeleccionSupervisores[[#This Row],[ORDEN]])-1,_xlfn.XMATCH(TablaSupervisores[REFERENCIA],TablaSeleccionSupervisores[#Headers])))</f>
        <v>6588.71</v>
      </c>
      <c r="AC477" cm="1">
        <f t="array" ref="AC477">SUM(INDEX(TablaSeleccionSupervisores[],ROW(TablaSeleccionSupervisores[[#This Row],[ORDEN]])-1,_xlfn.XMATCH(TablaSupervisores[REFERENCIA],TablaSeleccionSupervisores[#Headers])))</f>
        <v>7</v>
      </c>
      <c r="AD477" t="str" cm="1">
        <f t="array" ref="AD477">IF(INDEX(TablaSeleccionSupervisores[],ROW(TablaSeleccionSupervisores[[#This Row],[ORDEN]])-1,_xlfn.XMATCH("ADMITIDO ADSLITE",TablaSeleccionSupervisores[#Headers])+1)=0,"Sí admitido","No admitido")</f>
        <v>Sí admitido</v>
      </c>
      <c r="AE477">
        <v>0</v>
      </c>
      <c r="AF477">
        <v>0</v>
      </c>
      <c r="AG477">
        <v>2</v>
      </c>
      <c r="AH477">
        <v>5</v>
      </c>
    </row>
    <row r="478" spans="22:34" x14ac:dyDescent="0.25">
      <c r="V478">
        <v>477</v>
      </c>
      <c r="W478" cm="1">
        <f t="array" ref="W478">SUM(TablaSupervisores[DISPOSITIVOS TOTAL]*INDEX(TablaSeleccionSupervisores[],ROW(TablaSeleccionSupervisores[[#This Row],[ORDEN]])-1,_xlfn.XMATCH(TablaSupervisores[REFERENCIA],TablaSeleccionSupervisores[#Headers])))</f>
        <v>740</v>
      </c>
      <c r="X478" cm="1">
        <f t="array" ref="X478">SUM(TablaSupervisores[DISPOSITIVOS BACNET MS/TP JC]*INDEX(TablaSeleccionSupervisores[],ROW(TablaSeleccionSupervisores[[#This Row],[ORDEN]])-1,_xlfn.XMATCH(TablaSupervisores[REFERENCIA],TablaSeleccionSupervisores[#Headers])))</f>
        <v>320</v>
      </c>
      <c r="Y478" cm="1">
        <f t="array" ref="Y478">SUM(TablaSupervisores[DISPOSITIVOS BACNET MS/TP COMPATIBLES]*INDEX(TablaSeleccionSupervisores[],ROW(TablaSeleccionSupervisores[[#This Row],[ORDEN]])-1,_xlfn.XMATCH(TablaSupervisores[REFERENCIA],TablaSeleccionSupervisores[#Headers])))</f>
        <v>212</v>
      </c>
      <c r="Z478" cm="1">
        <f t="array" ref="Z478">SUM(TablaSupervisores[DISPOSITIVOS BACNET IP]*INDEX(TablaSeleccionSupervisores[],ROW(TablaSeleccionSupervisores[[#This Row],[ORDEN]])-1,_xlfn.XMATCH(TablaSupervisores[REFERENCIA],TablaSeleccionSupervisores[#Headers])))</f>
        <v>650</v>
      </c>
      <c r="AA478" cm="1">
        <f t="array" ref="AA478">SUM(TablaSupervisores[OBJETOS]*INDEX(TablaSeleccionSupervisores[],ROW(TablaSeleccionSupervisores[[#This Row],[ORDEN]])-1,_xlfn.XMATCH(TablaSupervisores[REFERENCIA],TablaSeleccionSupervisores[#Headers])))</f>
        <v>22500</v>
      </c>
      <c r="AB478" s="28" cm="1">
        <f t="array" ref="AB478">SUM(TablaSupervisores[COSTE]*INDEX(TablaSeleccionSupervisores[],ROW(TablaSeleccionSupervisores[[#This Row],[ORDEN]])-1,_xlfn.XMATCH(TablaSupervisores[REFERENCIA],TablaSeleccionSupervisores[#Headers])))</f>
        <v>12255.34</v>
      </c>
      <c r="AC478" cm="1">
        <f t="array" ref="AC478">SUM(INDEX(TablaSeleccionSupervisores[],ROW(TablaSeleccionSupervisores[[#This Row],[ORDEN]])-1,_xlfn.XMATCH(TablaSupervisores[REFERENCIA],TablaSeleccionSupervisores[#Headers])))</f>
        <v>8</v>
      </c>
      <c r="AD478" t="str" cm="1">
        <f t="array" ref="AD478">IF(INDEX(TablaSeleccionSupervisores[],ROW(TablaSeleccionSupervisores[[#This Row],[ORDEN]])-1,_xlfn.XMATCH("ADMITIDO ADSLITE",TablaSeleccionSupervisores[#Headers])+1)=0,"Sí admitido","No admitido")</f>
        <v>No admitido</v>
      </c>
      <c r="AE478">
        <v>1</v>
      </c>
      <c r="AF478">
        <v>0</v>
      </c>
      <c r="AG478">
        <v>2</v>
      </c>
      <c r="AH478">
        <v>5</v>
      </c>
    </row>
    <row r="479" spans="22:34" x14ac:dyDescent="0.25">
      <c r="V479">
        <v>478</v>
      </c>
      <c r="W479" cm="1">
        <f t="array" ref="W479">SUM(TablaSupervisores[DISPOSITIVOS TOTAL]*INDEX(TablaSeleccionSupervisores[],ROW(TablaSeleccionSupervisores[[#This Row],[ORDEN]])-1,_xlfn.XMATCH(TablaSupervisores[REFERENCIA],TablaSeleccionSupervisores[#Headers])))</f>
        <v>290</v>
      </c>
      <c r="X479" cm="1">
        <f t="array" ref="X479">SUM(TablaSupervisores[DISPOSITIVOS BACNET MS/TP JC]*INDEX(TablaSeleccionSupervisores[],ROW(TablaSeleccionSupervisores[[#This Row],[ORDEN]])-1,_xlfn.XMATCH(TablaSupervisores[REFERENCIA],TablaSeleccionSupervisores[#Headers])))</f>
        <v>220</v>
      </c>
      <c r="Y479" cm="1">
        <f t="array" ref="Y479">SUM(TablaSupervisores[DISPOSITIVOS BACNET MS/TP COMPATIBLES]*INDEX(TablaSeleccionSupervisores[],ROW(TablaSeleccionSupervisores[[#This Row],[ORDEN]])-1,_xlfn.XMATCH(TablaSupervisores[REFERENCIA],TablaSeleccionSupervisores[#Headers])))</f>
        <v>148</v>
      </c>
      <c r="Z479" cm="1">
        <f t="array" ref="Z479">SUM(TablaSupervisores[DISPOSITIVOS BACNET IP]*INDEX(TablaSeleccionSupervisores[],ROW(TablaSeleccionSupervisores[[#This Row],[ORDEN]])-1,_xlfn.XMATCH(TablaSupervisores[REFERENCIA],TablaSeleccionSupervisores[#Headers])))</f>
        <v>450</v>
      </c>
      <c r="AA479" cm="1">
        <f t="array" ref="AA479">SUM(TablaSupervisores[OBJETOS]*INDEX(TablaSeleccionSupervisores[],ROW(TablaSeleccionSupervisores[[#This Row],[ORDEN]])-1,_xlfn.XMATCH(TablaSupervisores[REFERENCIA],TablaSeleccionSupervisores[#Headers])))</f>
        <v>20000</v>
      </c>
      <c r="AB479" s="28" cm="1">
        <f t="array" ref="AB479">SUM(TablaSupervisores[COSTE]*INDEX(TablaSeleccionSupervisores[],ROW(TablaSeleccionSupervisores[[#This Row],[ORDEN]])-1,_xlfn.XMATCH(TablaSupervisores[REFERENCIA],TablaSeleccionSupervisores[#Headers])))</f>
        <v>10577.44</v>
      </c>
      <c r="AC479" cm="1">
        <f t="array" ref="AC479">SUM(INDEX(TablaSeleccionSupervisores[],ROW(TablaSeleccionSupervisores[[#This Row],[ORDEN]])-1,_xlfn.XMATCH(TablaSupervisores[REFERENCIA],TablaSeleccionSupervisores[#Headers])))</f>
        <v>8</v>
      </c>
      <c r="AD479" t="str" cm="1">
        <f t="array" ref="AD479">IF(INDEX(TablaSeleccionSupervisores[],ROW(TablaSeleccionSupervisores[[#This Row],[ORDEN]])-1,_xlfn.XMATCH("ADMITIDO ADSLITE",TablaSeleccionSupervisores[#Headers])+1)=0,"Sí admitido","No admitido")</f>
        <v>Sí admitido</v>
      </c>
      <c r="AE479">
        <v>0</v>
      </c>
      <c r="AF479">
        <v>1</v>
      </c>
      <c r="AG479">
        <v>2</v>
      </c>
      <c r="AH479">
        <v>5</v>
      </c>
    </row>
    <row r="480" spans="22:34" x14ac:dyDescent="0.25">
      <c r="V480">
        <v>479</v>
      </c>
      <c r="W480" cm="1">
        <f t="array" ref="W480">SUM(TablaSupervisores[DISPOSITIVOS TOTAL]*INDEX(TablaSeleccionSupervisores[],ROW(TablaSeleccionSupervisores[[#This Row],[ORDEN]])-1,_xlfn.XMATCH(TablaSupervisores[REFERENCIA],TablaSeleccionSupervisores[#Headers])))</f>
        <v>200</v>
      </c>
      <c r="X480" cm="1">
        <f t="array" ref="X480">SUM(TablaSupervisores[DISPOSITIVOS BACNET MS/TP JC]*INDEX(TablaSeleccionSupervisores[],ROW(TablaSeleccionSupervisores[[#This Row],[ORDEN]])-1,_xlfn.XMATCH(TablaSupervisores[REFERENCIA],TablaSeleccionSupervisores[#Headers])))</f>
        <v>170</v>
      </c>
      <c r="Y480" cm="1">
        <f t="array" ref="Y480">SUM(TablaSupervisores[DISPOSITIVOS BACNET MS/TP COMPATIBLES]*INDEX(TablaSeleccionSupervisores[],ROW(TablaSeleccionSupervisores[[#This Row],[ORDEN]])-1,_xlfn.XMATCH(TablaSupervisores[REFERENCIA],TablaSeleccionSupervisores[#Headers])))</f>
        <v>116</v>
      </c>
      <c r="Z480" cm="1">
        <f t="array" ref="Z480">SUM(TablaSupervisores[DISPOSITIVOS BACNET IP]*INDEX(TablaSeleccionSupervisores[],ROW(TablaSeleccionSupervisores[[#This Row],[ORDEN]])-1,_xlfn.XMATCH(TablaSupervisores[REFERENCIA],TablaSeleccionSupervisores[#Headers])))</f>
        <v>350</v>
      </c>
      <c r="AA480" cm="1">
        <f t="array" ref="AA480">SUM(TablaSupervisores[OBJETOS]*INDEX(TablaSeleccionSupervisores[],ROW(TablaSeleccionSupervisores[[#This Row],[ORDEN]])-1,_xlfn.XMATCH(TablaSupervisores[REFERENCIA],TablaSeleccionSupervisores[#Headers])))</f>
        <v>20000</v>
      </c>
      <c r="AB480" s="28" cm="1">
        <f t="array" ref="AB480">SUM(TablaSupervisores[COSTE]*INDEX(TablaSeleccionSupervisores[],ROW(TablaSeleccionSupervisores[[#This Row],[ORDEN]])-1,_xlfn.XMATCH(TablaSupervisores[REFERENCIA],TablaSeleccionSupervisores[#Headers])))</f>
        <v>8012.1900000000005</v>
      </c>
      <c r="AC480" cm="1">
        <f t="array" ref="AC480">SUM(INDEX(TablaSeleccionSupervisores[],ROW(TablaSeleccionSupervisores[[#This Row],[ORDEN]])-1,_xlfn.XMATCH(TablaSupervisores[REFERENCIA],TablaSeleccionSupervisores[#Headers])))</f>
        <v>8</v>
      </c>
      <c r="AD480" t="str" cm="1">
        <f t="array" ref="AD480">IF(INDEX(TablaSeleccionSupervisores[],ROW(TablaSeleccionSupervisores[[#This Row],[ORDEN]])-1,_xlfn.XMATCH("ADMITIDO ADSLITE",TablaSeleccionSupervisores[#Headers])+1)=0,"Sí admitido","No admitido")</f>
        <v>Sí admitido</v>
      </c>
      <c r="AE480">
        <v>0</v>
      </c>
      <c r="AF480">
        <v>0</v>
      </c>
      <c r="AG480">
        <v>3</v>
      </c>
      <c r="AH480">
        <v>5</v>
      </c>
    </row>
    <row r="481" spans="22:34" x14ac:dyDescent="0.25">
      <c r="V481">
        <v>480</v>
      </c>
      <c r="W481" cm="1">
        <f t="array" ref="W481">SUM(TablaSupervisores[DISPOSITIVOS TOTAL]*INDEX(TablaSeleccionSupervisores[],ROW(TablaSeleccionSupervisores[[#This Row],[ORDEN]])-1,_xlfn.XMATCH(TablaSupervisores[REFERENCIA],TablaSeleccionSupervisores[#Headers])))</f>
        <v>24</v>
      </c>
      <c r="X481" cm="1">
        <f t="array" ref="X481">SUM(TablaSupervisores[DISPOSITIVOS BACNET MS/TP JC]*INDEX(TablaSeleccionSupervisores[],ROW(TablaSeleccionSupervisores[[#This Row],[ORDEN]])-1,_xlfn.XMATCH(TablaSupervisores[REFERENCIA],TablaSeleccionSupervisores[#Headers])))</f>
        <v>24</v>
      </c>
      <c r="Y481" cm="1">
        <f t="array" ref="Y481">SUM(TablaSupervisores[DISPOSITIVOS BACNET MS/TP COMPATIBLES]*INDEX(TablaSeleccionSupervisores[],ROW(TablaSeleccionSupervisores[[#This Row],[ORDEN]])-1,_xlfn.XMATCH(TablaSupervisores[REFERENCIA],TablaSeleccionSupervisores[#Headers])))</f>
        <v>24</v>
      </c>
      <c r="Z481" cm="1">
        <f t="array" ref="Z481">SUM(TablaSupervisores[DISPOSITIVOS BACNET IP]*INDEX(TablaSeleccionSupervisores[],ROW(TablaSeleccionSupervisores[[#This Row],[ORDEN]])-1,_xlfn.XMATCH(TablaSupervisores[REFERENCIA],TablaSeleccionSupervisores[#Headers])))</f>
        <v>60</v>
      </c>
      <c r="AA481" cm="1">
        <f t="array" ref="AA481">SUM(TablaSupervisores[OBJETOS]*INDEX(TablaSeleccionSupervisores[],ROW(TablaSeleccionSupervisores[[#This Row],[ORDEN]])-1,_xlfn.XMATCH(TablaSupervisores[REFERENCIA],TablaSeleccionSupervisores[#Headers])))</f>
        <v>15000</v>
      </c>
      <c r="AB481" s="28" cm="1">
        <f t="array" ref="AB481">SUM(TablaSupervisores[COSTE]*INDEX(TablaSeleccionSupervisores[],ROW(TablaSeleccionSupervisores[[#This Row],[ORDEN]])-1,_xlfn.XMATCH(TablaSupervisores[REFERENCIA],TablaSeleccionSupervisores[#Headers])))</f>
        <v>4490.1000000000004</v>
      </c>
      <c r="AC481" cm="1">
        <f t="array" ref="AC481">SUM(INDEX(TablaSeleccionSupervisores[],ROW(TablaSeleccionSupervisores[[#This Row],[ORDEN]])-1,_xlfn.XMATCH(TablaSupervisores[REFERENCIA],TablaSeleccionSupervisores[#Headers])))</f>
        <v>6</v>
      </c>
      <c r="AD481" t="str" cm="1">
        <f t="array" ref="AD481">IF(INDEX(TablaSeleccionSupervisores[],ROW(TablaSeleccionSupervisores[[#This Row],[ORDEN]])-1,_xlfn.XMATCH("ADMITIDO ADSLITE",TablaSeleccionSupervisores[#Headers])+1)=0,"Sí admitido","No admitido")</f>
        <v>Sí admitido</v>
      </c>
      <c r="AE481">
        <v>0</v>
      </c>
      <c r="AF481">
        <v>0</v>
      </c>
      <c r="AG481">
        <v>0</v>
      </c>
      <c r="AH481">
        <v>6</v>
      </c>
    </row>
    <row r="482" spans="22:34" x14ac:dyDescent="0.25">
      <c r="V482">
        <v>481</v>
      </c>
      <c r="W482" cm="1">
        <f t="array" ref="W482">SUM(TablaSupervisores[DISPOSITIVOS TOTAL]*INDEX(TablaSeleccionSupervisores[],ROW(TablaSeleccionSupervisores[[#This Row],[ORDEN]])-1,_xlfn.XMATCH(TablaSupervisores[REFERENCIA],TablaSeleccionSupervisores[#Headers])))</f>
        <v>624</v>
      </c>
      <c r="X482" cm="1">
        <f t="array" ref="X482">SUM(TablaSupervisores[DISPOSITIVOS BACNET MS/TP JC]*INDEX(TablaSeleccionSupervisores[],ROW(TablaSeleccionSupervisores[[#This Row],[ORDEN]])-1,_xlfn.XMATCH(TablaSupervisores[REFERENCIA],TablaSeleccionSupervisores[#Headers])))</f>
        <v>224</v>
      </c>
      <c r="Y482" cm="1">
        <f t="array" ref="Y482">SUM(TablaSupervisores[DISPOSITIVOS BACNET MS/TP COMPATIBLES]*INDEX(TablaSeleccionSupervisores[],ROW(TablaSeleccionSupervisores[[#This Row],[ORDEN]])-1,_xlfn.XMATCH(TablaSupervisores[REFERENCIA],TablaSeleccionSupervisores[#Headers])))</f>
        <v>152</v>
      </c>
      <c r="Z482" cm="1">
        <f t="array" ref="Z482">SUM(TablaSupervisores[DISPOSITIVOS BACNET IP]*INDEX(TablaSeleccionSupervisores[],ROW(TablaSeleccionSupervisores[[#This Row],[ORDEN]])-1,_xlfn.XMATCH(TablaSupervisores[REFERENCIA],TablaSeleccionSupervisores[#Headers])))</f>
        <v>460</v>
      </c>
      <c r="AA482" cm="1">
        <f t="array" ref="AA482">SUM(TablaSupervisores[OBJETOS]*INDEX(TablaSeleccionSupervisores[],ROW(TablaSeleccionSupervisores[[#This Row],[ORDEN]])-1,_xlfn.XMATCH(TablaSupervisores[REFERENCIA],TablaSeleccionSupervisores[#Headers])))</f>
        <v>20000</v>
      </c>
      <c r="AB482" s="28" cm="1">
        <f t="array" ref="AB482">SUM(TablaSupervisores[COSTE]*INDEX(TablaSeleccionSupervisores[],ROW(TablaSeleccionSupervisores[[#This Row],[ORDEN]])-1,_xlfn.XMATCH(TablaSupervisores[REFERENCIA],TablaSeleccionSupervisores[#Headers])))</f>
        <v>10156.73</v>
      </c>
      <c r="AC482" cm="1">
        <f t="array" ref="AC482">SUM(INDEX(TablaSeleccionSupervisores[],ROW(TablaSeleccionSupervisores[[#This Row],[ORDEN]])-1,_xlfn.XMATCH(TablaSupervisores[REFERENCIA],TablaSeleccionSupervisores[#Headers])))</f>
        <v>7</v>
      </c>
      <c r="AD482" t="str" cm="1">
        <f t="array" ref="AD482">IF(INDEX(TablaSeleccionSupervisores[],ROW(TablaSeleccionSupervisores[[#This Row],[ORDEN]])-1,_xlfn.XMATCH("ADMITIDO ADSLITE",TablaSeleccionSupervisores[#Headers])+1)=0,"Sí admitido","No admitido")</f>
        <v>No admitido</v>
      </c>
      <c r="AE482">
        <v>1</v>
      </c>
      <c r="AF482">
        <v>0</v>
      </c>
      <c r="AG482">
        <v>0</v>
      </c>
      <c r="AH482">
        <v>6</v>
      </c>
    </row>
    <row r="483" spans="22:34" x14ac:dyDescent="0.25">
      <c r="V483">
        <v>482</v>
      </c>
      <c r="W483" cm="1">
        <f t="array" ref="W483">SUM(TablaSupervisores[DISPOSITIVOS TOTAL]*INDEX(TablaSeleccionSupervisores[],ROW(TablaSeleccionSupervisores[[#This Row],[ORDEN]])-1,_xlfn.XMATCH(TablaSupervisores[REFERENCIA],TablaSeleccionSupervisores[#Headers])))</f>
        <v>1224</v>
      </c>
      <c r="X483" cm="1">
        <f t="array" ref="X483">SUM(TablaSupervisores[DISPOSITIVOS BACNET MS/TP JC]*INDEX(TablaSeleccionSupervisores[],ROW(TablaSeleccionSupervisores[[#This Row],[ORDEN]])-1,_xlfn.XMATCH(TablaSupervisores[REFERENCIA],TablaSeleccionSupervisores[#Headers])))</f>
        <v>424</v>
      </c>
      <c r="Y483" cm="1">
        <f t="array" ref="Y483">SUM(TablaSupervisores[DISPOSITIVOS BACNET MS/TP COMPATIBLES]*INDEX(TablaSeleccionSupervisores[],ROW(TablaSeleccionSupervisores[[#This Row],[ORDEN]])-1,_xlfn.XMATCH(TablaSupervisores[REFERENCIA],TablaSeleccionSupervisores[#Headers])))</f>
        <v>280</v>
      </c>
      <c r="Z483" cm="1">
        <f t="array" ref="Z483">SUM(TablaSupervisores[DISPOSITIVOS BACNET IP]*INDEX(TablaSeleccionSupervisores[],ROW(TablaSeleccionSupervisores[[#This Row],[ORDEN]])-1,_xlfn.XMATCH(TablaSupervisores[REFERENCIA],TablaSeleccionSupervisores[#Headers])))</f>
        <v>860</v>
      </c>
      <c r="AA483" cm="1">
        <f t="array" ref="AA483">SUM(TablaSupervisores[OBJETOS]*INDEX(TablaSeleccionSupervisores[],ROW(TablaSeleccionSupervisores[[#This Row],[ORDEN]])-1,_xlfn.XMATCH(TablaSupervisores[REFERENCIA],TablaSeleccionSupervisores[#Headers])))</f>
        <v>25000</v>
      </c>
      <c r="AB483" s="28" cm="1">
        <f t="array" ref="AB483">SUM(TablaSupervisores[COSTE]*INDEX(TablaSeleccionSupervisores[],ROW(TablaSeleccionSupervisores[[#This Row],[ORDEN]])-1,_xlfn.XMATCH(TablaSupervisores[REFERENCIA],TablaSeleccionSupervisores[#Headers])))</f>
        <v>15823.36</v>
      </c>
      <c r="AC483" cm="1">
        <f t="array" ref="AC483">SUM(INDEX(TablaSeleccionSupervisores[],ROW(TablaSeleccionSupervisores[[#This Row],[ORDEN]])-1,_xlfn.XMATCH(TablaSupervisores[REFERENCIA],TablaSeleccionSupervisores[#Headers])))</f>
        <v>8</v>
      </c>
      <c r="AD483" t="str" cm="1">
        <f t="array" ref="AD483">IF(INDEX(TablaSeleccionSupervisores[],ROW(TablaSeleccionSupervisores[[#This Row],[ORDEN]])-1,_xlfn.XMATCH("ADMITIDO ADSLITE",TablaSeleccionSupervisores[#Headers])+1)=0,"Sí admitido","No admitido")</f>
        <v>No admitido</v>
      </c>
      <c r="AE483">
        <v>2</v>
      </c>
      <c r="AF483">
        <v>0</v>
      </c>
      <c r="AG483">
        <v>0</v>
      </c>
      <c r="AH483">
        <v>6</v>
      </c>
    </row>
    <row r="484" spans="22:34" x14ac:dyDescent="0.25">
      <c r="V484">
        <v>483</v>
      </c>
      <c r="W484" cm="1">
        <f t="array" ref="W484">SUM(TablaSupervisores[DISPOSITIVOS TOTAL]*INDEX(TablaSeleccionSupervisores[],ROW(TablaSeleccionSupervisores[[#This Row],[ORDEN]])-1,_xlfn.XMATCH(TablaSupervisores[REFERENCIA],TablaSeleccionSupervisores[#Headers])))</f>
        <v>174</v>
      </c>
      <c r="X484" cm="1">
        <f t="array" ref="X484">SUM(TablaSupervisores[DISPOSITIVOS BACNET MS/TP JC]*INDEX(TablaSeleccionSupervisores[],ROW(TablaSeleccionSupervisores[[#This Row],[ORDEN]])-1,_xlfn.XMATCH(TablaSupervisores[REFERENCIA],TablaSeleccionSupervisores[#Headers])))</f>
        <v>124</v>
      </c>
      <c r="Y484" cm="1">
        <f t="array" ref="Y484">SUM(TablaSupervisores[DISPOSITIVOS BACNET MS/TP COMPATIBLES]*INDEX(TablaSeleccionSupervisores[],ROW(TablaSeleccionSupervisores[[#This Row],[ORDEN]])-1,_xlfn.XMATCH(TablaSupervisores[REFERENCIA],TablaSeleccionSupervisores[#Headers])))</f>
        <v>88</v>
      </c>
      <c r="Z484" cm="1">
        <f t="array" ref="Z484">SUM(TablaSupervisores[DISPOSITIVOS BACNET IP]*INDEX(TablaSeleccionSupervisores[],ROW(TablaSeleccionSupervisores[[#This Row],[ORDEN]])-1,_xlfn.XMATCH(TablaSupervisores[REFERENCIA],TablaSeleccionSupervisores[#Headers])))</f>
        <v>260</v>
      </c>
      <c r="AA484" cm="1">
        <f t="array" ref="AA484">SUM(TablaSupervisores[OBJETOS]*INDEX(TablaSeleccionSupervisores[],ROW(TablaSeleccionSupervisores[[#This Row],[ORDEN]])-1,_xlfn.XMATCH(TablaSupervisores[REFERENCIA],TablaSeleccionSupervisores[#Headers])))</f>
        <v>17500</v>
      </c>
      <c r="AB484" s="28" cm="1">
        <f t="array" ref="AB484">SUM(TablaSupervisores[COSTE]*INDEX(TablaSeleccionSupervisores[],ROW(TablaSeleccionSupervisores[[#This Row],[ORDEN]])-1,_xlfn.XMATCH(TablaSupervisores[REFERENCIA],TablaSeleccionSupervisores[#Headers])))</f>
        <v>8478.83</v>
      </c>
      <c r="AC484" cm="1">
        <f t="array" ref="AC484">SUM(INDEX(TablaSeleccionSupervisores[],ROW(TablaSeleccionSupervisores[[#This Row],[ORDEN]])-1,_xlfn.XMATCH(TablaSupervisores[REFERENCIA],TablaSeleccionSupervisores[#Headers])))</f>
        <v>7</v>
      </c>
      <c r="AD484" t="str" cm="1">
        <f t="array" ref="AD484">IF(INDEX(TablaSeleccionSupervisores[],ROW(TablaSeleccionSupervisores[[#This Row],[ORDEN]])-1,_xlfn.XMATCH("ADMITIDO ADSLITE",TablaSeleccionSupervisores[#Headers])+1)=0,"Sí admitido","No admitido")</f>
        <v>Sí admitido</v>
      </c>
      <c r="AE484">
        <v>0</v>
      </c>
      <c r="AF484">
        <v>1</v>
      </c>
      <c r="AG484">
        <v>0</v>
      </c>
      <c r="AH484">
        <v>6</v>
      </c>
    </row>
    <row r="485" spans="22:34" x14ac:dyDescent="0.25">
      <c r="V485">
        <v>484</v>
      </c>
      <c r="W485" cm="1">
        <f t="array" ref="W485">SUM(TablaSupervisores[DISPOSITIVOS TOTAL]*INDEX(TablaSeleccionSupervisores[],ROW(TablaSeleccionSupervisores[[#This Row],[ORDEN]])-1,_xlfn.XMATCH(TablaSupervisores[REFERENCIA],TablaSeleccionSupervisores[#Headers])))</f>
        <v>774</v>
      </c>
      <c r="X485" cm="1">
        <f t="array" ref="X485">SUM(TablaSupervisores[DISPOSITIVOS BACNET MS/TP JC]*INDEX(TablaSeleccionSupervisores[],ROW(TablaSeleccionSupervisores[[#This Row],[ORDEN]])-1,_xlfn.XMATCH(TablaSupervisores[REFERENCIA],TablaSeleccionSupervisores[#Headers])))</f>
        <v>324</v>
      </c>
      <c r="Y485" cm="1">
        <f t="array" ref="Y485">SUM(TablaSupervisores[DISPOSITIVOS BACNET MS/TP COMPATIBLES]*INDEX(TablaSeleccionSupervisores[],ROW(TablaSeleccionSupervisores[[#This Row],[ORDEN]])-1,_xlfn.XMATCH(TablaSupervisores[REFERENCIA],TablaSeleccionSupervisores[#Headers])))</f>
        <v>216</v>
      </c>
      <c r="Z485" cm="1">
        <f t="array" ref="Z485">SUM(TablaSupervisores[DISPOSITIVOS BACNET IP]*INDEX(TablaSeleccionSupervisores[],ROW(TablaSeleccionSupervisores[[#This Row],[ORDEN]])-1,_xlfn.XMATCH(TablaSupervisores[REFERENCIA],TablaSeleccionSupervisores[#Headers])))</f>
        <v>660</v>
      </c>
      <c r="AA485" cm="1">
        <f t="array" ref="AA485">SUM(TablaSupervisores[OBJETOS]*INDEX(TablaSeleccionSupervisores[],ROW(TablaSeleccionSupervisores[[#This Row],[ORDEN]])-1,_xlfn.XMATCH(TablaSupervisores[REFERENCIA],TablaSeleccionSupervisores[#Headers])))</f>
        <v>22500</v>
      </c>
      <c r="AB485" s="28" cm="1">
        <f t="array" ref="AB485">SUM(TablaSupervisores[COSTE]*INDEX(TablaSeleccionSupervisores[],ROW(TablaSeleccionSupervisores[[#This Row],[ORDEN]])-1,_xlfn.XMATCH(TablaSupervisores[REFERENCIA],TablaSeleccionSupervisores[#Headers])))</f>
        <v>14145.460000000001</v>
      </c>
      <c r="AC485" cm="1">
        <f t="array" ref="AC485">SUM(INDEX(TablaSeleccionSupervisores[],ROW(TablaSeleccionSupervisores[[#This Row],[ORDEN]])-1,_xlfn.XMATCH(TablaSupervisores[REFERENCIA],TablaSeleccionSupervisores[#Headers])))</f>
        <v>8</v>
      </c>
      <c r="AD485" t="str" cm="1">
        <f t="array" ref="AD485">IF(INDEX(TablaSeleccionSupervisores[],ROW(TablaSeleccionSupervisores[[#This Row],[ORDEN]])-1,_xlfn.XMATCH("ADMITIDO ADSLITE",TablaSeleccionSupervisores[#Headers])+1)=0,"Sí admitido","No admitido")</f>
        <v>No admitido</v>
      </c>
      <c r="AE485">
        <v>1</v>
      </c>
      <c r="AF485">
        <v>1</v>
      </c>
      <c r="AG485">
        <v>0</v>
      </c>
      <c r="AH485">
        <v>6</v>
      </c>
    </row>
    <row r="486" spans="22:34" x14ac:dyDescent="0.25">
      <c r="V486">
        <v>485</v>
      </c>
      <c r="W486" cm="1">
        <f t="array" ref="W486">SUM(TablaSupervisores[DISPOSITIVOS TOTAL]*INDEX(TablaSeleccionSupervisores[],ROW(TablaSeleccionSupervisores[[#This Row],[ORDEN]])-1,_xlfn.XMATCH(TablaSupervisores[REFERENCIA],TablaSeleccionSupervisores[#Headers])))</f>
        <v>324</v>
      </c>
      <c r="X486" cm="1">
        <f t="array" ref="X486">SUM(TablaSupervisores[DISPOSITIVOS BACNET MS/TP JC]*INDEX(TablaSeleccionSupervisores[],ROW(TablaSeleccionSupervisores[[#This Row],[ORDEN]])-1,_xlfn.XMATCH(TablaSupervisores[REFERENCIA],TablaSeleccionSupervisores[#Headers])))</f>
        <v>224</v>
      </c>
      <c r="Y486" cm="1">
        <f t="array" ref="Y486">SUM(TablaSupervisores[DISPOSITIVOS BACNET MS/TP COMPATIBLES]*INDEX(TablaSeleccionSupervisores[],ROW(TablaSeleccionSupervisores[[#This Row],[ORDEN]])-1,_xlfn.XMATCH(TablaSupervisores[REFERENCIA],TablaSeleccionSupervisores[#Headers])))</f>
        <v>152</v>
      </c>
      <c r="Z486" cm="1">
        <f t="array" ref="Z486">SUM(TablaSupervisores[DISPOSITIVOS BACNET IP]*INDEX(TablaSeleccionSupervisores[],ROW(TablaSeleccionSupervisores[[#This Row],[ORDEN]])-1,_xlfn.XMATCH(TablaSupervisores[REFERENCIA],TablaSeleccionSupervisores[#Headers])))</f>
        <v>460</v>
      </c>
      <c r="AA486" cm="1">
        <f t="array" ref="AA486">SUM(TablaSupervisores[OBJETOS]*INDEX(TablaSeleccionSupervisores[],ROW(TablaSeleccionSupervisores[[#This Row],[ORDEN]])-1,_xlfn.XMATCH(TablaSupervisores[REFERENCIA],TablaSeleccionSupervisores[#Headers])))</f>
        <v>20000</v>
      </c>
      <c r="AB486" s="28" cm="1">
        <f t="array" ref="AB486">SUM(TablaSupervisores[COSTE]*INDEX(TablaSeleccionSupervisores[],ROW(TablaSeleccionSupervisores[[#This Row],[ORDEN]])-1,_xlfn.XMATCH(TablaSupervisores[REFERENCIA],TablaSeleccionSupervisores[#Headers])))</f>
        <v>12467.560000000001</v>
      </c>
      <c r="AC486" cm="1">
        <f t="array" ref="AC486">SUM(INDEX(TablaSeleccionSupervisores[],ROW(TablaSeleccionSupervisores[[#This Row],[ORDEN]])-1,_xlfn.XMATCH(TablaSupervisores[REFERENCIA],TablaSeleccionSupervisores[#Headers])))</f>
        <v>8</v>
      </c>
      <c r="AD486" t="str" cm="1">
        <f t="array" ref="AD486">IF(INDEX(TablaSeleccionSupervisores[],ROW(TablaSeleccionSupervisores[[#This Row],[ORDEN]])-1,_xlfn.XMATCH("ADMITIDO ADSLITE",TablaSeleccionSupervisores[#Headers])+1)=0,"Sí admitido","No admitido")</f>
        <v>Sí admitido</v>
      </c>
      <c r="AE486">
        <v>0</v>
      </c>
      <c r="AF486">
        <v>2</v>
      </c>
      <c r="AG486">
        <v>0</v>
      </c>
      <c r="AH486">
        <v>6</v>
      </c>
    </row>
    <row r="487" spans="22:34" x14ac:dyDescent="0.25">
      <c r="V487">
        <v>486</v>
      </c>
      <c r="W487" cm="1">
        <f t="array" ref="W487">SUM(TablaSupervisores[DISPOSITIVOS TOTAL]*INDEX(TablaSeleccionSupervisores[],ROW(TablaSeleccionSupervisores[[#This Row],[ORDEN]])-1,_xlfn.XMATCH(TablaSupervisores[REFERENCIA],TablaSeleccionSupervisores[#Headers])))</f>
        <v>84</v>
      </c>
      <c r="X487" cm="1">
        <f t="array" ref="X487">SUM(TablaSupervisores[DISPOSITIVOS BACNET MS/TP JC]*INDEX(TablaSeleccionSupervisores[],ROW(TablaSeleccionSupervisores[[#This Row],[ORDEN]])-1,_xlfn.XMATCH(TablaSupervisores[REFERENCIA],TablaSeleccionSupervisores[#Headers])))</f>
        <v>74</v>
      </c>
      <c r="Y487" cm="1">
        <f t="array" ref="Y487">SUM(TablaSupervisores[DISPOSITIVOS BACNET MS/TP COMPATIBLES]*INDEX(TablaSeleccionSupervisores[],ROW(TablaSeleccionSupervisores[[#This Row],[ORDEN]])-1,_xlfn.XMATCH(TablaSupervisores[REFERENCIA],TablaSeleccionSupervisores[#Headers])))</f>
        <v>56</v>
      </c>
      <c r="Z487" cm="1">
        <f t="array" ref="Z487">SUM(TablaSupervisores[DISPOSITIVOS BACNET IP]*INDEX(TablaSeleccionSupervisores[],ROW(TablaSeleccionSupervisores[[#This Row],[ORDEN]])-1,_xlfn.XMATCH(TablaSupervisores[REFERENCIA],TablaSeleccionSupervisores[#Headers])))</f>
        <v>160</v>
      </c>
      <c r="AA487" cm="1">
        <f t="array" ref="AA487">SUM(TablaSupervisores[OBJETOS]*INDEX(TablaSeleccionSupervisores[],ROW(TablaSeleccionSupervisores[[#This Row],[ORDEN]])-1,_xlfn.XMATCH(TablaSupervisores[REFERENCIA],TablaSeleccionSupervisores[#Headers])))</f>
        <v>17500</v>
      </c>
      <c r="AB487" s="28" cm="1">
        <f t="array" ref="AB487">SUM(TablaSupervisores[COSTE]*INDEX(TablaSeleccionSupervisores[],ROW(TablaSeleccionSupervisores[[#This Row],[ORDEN]])-1,_xlfn.XMATCH(TablaSupervisores[REFERENCIA],TablaSeleccionSupervisores[#Headers])))</f>
        <v>5913.58</v>
      </c>
      <c r="AC487" cm="1">
        <f t="array" ref="AC487">SUM(INDEX(TablaSeleccionSupervisores[],ROW(TablaSeleccionSupervisores[[#This Row],[ORDEN]])-1,_xlfn.XMATCH(TablaSupervisores[REFERENCIA],TablaSeleccionSupervisores[#Headers])))</f>
        <v>7</v>
      </c>
      <c r="AD487" t="str" cm="1">
        <f t="array" ref="AD487">IF(INDEX(TablaSeleccionSupervisores[],ROW(TablaSeleccionSupervisores[[#This Row],[ORDEN]])-1,_xlfn.XMATCH("ADMITIDO ADSLITE",TablaSeleccionSupervisores[#Headers])+1)=0,"Sí admitido","No admitido")</f>
        <v>Sí admitido</v>
      </c>
      <c r="AE487">
        <v>0</v>
      </c>
      <c r="AF487">
        <v>0</v>
      </c>
      <c r="AG487">
        <v>1</v>
      </c>
      <c r="AH487">
        <v>6</v>
      </c>
    </row>
    <row r="488" spans="22:34" x14ac:dyDescent="0.25">
      <c r="V488">
        <v>487</v>
      </c>
      <c r="W488" cm="1">
        <f t="array" ref="W488">SUM(TablaSupervisores[DISPOSITIVOS TOTAL]*INDEX(TablaSeleccionSupervisores[],ROW(TablaSeleccionSupervisores[[#This Row],[ORDEN]])-1,_xlfn.XMATCH(TablaSupervisores[REFERENCIA],TablaSeleccionSupervisores[#Headers])))</f>
        <v>684</v>
      </c>
      <c r="X488" cm="1">
        <f t="array" ref="X488">SUM(TablaSupervisores[DISPOSITIVOS BACNET MS/TP JC]*INDEX(TablaSeleccionSupervisores[],ROW(TablaSeleccionSupervisores[[#This Row],[ORDEN]])-1,_xlfn.XMATCH(TablaSupervisores[REFERENCIA],TablaSeleccionSupervisores[#Headers])))</f>
        <v>274</v>
      </c>
      <c r="Y488" cm="1">
        <f t="array" ref="Y488">SUM(TablaSupervisores[DISPOSITIVOS BACNET MS/TP COMPATIBLES]*INDEX(TablaSeleccionSupervisores[],ROW(TablaSeleccionSupervisores[[#This Row],[ORDEN]])-1,_xlfn.XMATCH(TablaSupervisores[REFERENCIA],TablaSeleccionSupervisores[#Headers])))</f>
        <v>184</v>
      </c>
      <c r="Z488" cm="1">
        <f t="array" ref="Z488">SUM(TablaSupervisores[DISPOSITIVOS BACNET IP]*INDEX(TablaSeleccionSupervisores[],ROW(TablaSeleccionSupervisores[[#This Row],[ORDEN]])-1,_xlfn.XMATCH(TablaSupervisores[REFERENCIA],TablaSeleccionSupervisores[#Headers])))</f>
        <v>560</v>
      </c>
      <c r="AA488" cm="1">
        <f t="array" ref="AA488">SUM(TablaSupervisores[OBJETOS]*INDEX(TablaSeleccionSupervisores[],ROW(TablaSeleccionSupervisores[[#This Row],[ORDEN]])-1,_xlfn.XMATCH(TablaSupervisores[REFERENCIA],TablaSeleccionSupervisores[#Headers])))</f>
        <v>22500</v>
      </c>
      <c r="AB488" s="28" cm="1">
        <f t="array" ref="AB488">SUM(TablaSupervisores[COSTE]*INDEX(TablaSeleccionSupervisores[],ROW(TablaSeleccionSupervisores[[#This Row],[ORDEN]])-1,_xlfn.XMATCH(TablaSupervisores[REFERENCIA],TablaSeleccionSupervisores[#Headers])))</f>
        <v>11580.210000000001</v>
      </c>
      <c r="AC488" cm="1">
        <f t="array" ref="AC488">SUM(INDEX(TablaSeleccionSupervisores[],ROW(TablaSeleccionSupervisores[[#This Row],[ORDEN]])-1,_xlfn.XMATCH(TablaSupervisores[REFERENCIA],TablaSeleccionSupervisores[#Headers])))</f>
        <v>8</v>
      </c>
      <c r="AD488" t="str" cm="1">
        <f t="array" ref="AD488">IF(INDEX(TablaSeleccionSupervisores[],ROW(TablaSeleccionSupervisores[[#This Row],[ORDEN]])-1,_xlfn.XMATCH("ADMITIDO ADSLITE",TablaSeleccionSupervisores[#Headers])+1)=0,"Sí admitido","No admitido")</f>
        <v>No admitido</v>
      </c>
      <c r="AE488">
        <v>1</v>
      </c>
      <c r="AF488">
        <v>0</v>
      </c>
      <c r="AG488">
        <v>1</v>
      </c>
      <c r="AH488">
        <v>6</v>
      </c>
    </row>
    <row r="489" spans="22:34" x14ac:dyDescent="0.25">
      <c r="V489">
        <v>488</v>
      </c>
      <c r="W489" cm="1">
        <f t="array" ref="W489">SUM(TablaSupervisores[DISPOSITIVOS TOTAL]*INDEX(TablaSeleccionSupervisores[],ROW(TablaSeleccionSupervisores[[#This Row],[ORDEN]])-1,_xlfn.XMATCH(TablaSupervisores[REFERENCIA],TablaSeleccionSupervisores[#Headers])))</f>
        <v>234</v>
      </c>
      <c r="X489" cm="1">
        <f t="array" ref="X489">SUM(TablaSupervisores[DISPOSITIVOS BACNET MS/TP JC]*INDEX(TablaSeleccionSupervisores[],ROW(TablaSeleccionSupervisores[[#This Row],[ORDEN]])-1,_xlfn.XMATCH(TablaSupervisores[REFERENCIA],TablaSeleccionSupervisores[#Headers])))</f>
        <v>174</v>
      </c>
      <c r="Y489" cm="1">
        <f t="array" ref="Y489">SUM(TablaSupervisores[DISPOSITIVOS BACNET MS/TP COMPATIBLES]*INDEX(TablaSeleccionSupervisores[],ROW(TablaSeleccionSupervisores[[#This Row],[ORDEN]])-1,_xlfn.XMATCH(TablaSupervisores[REFERENCIA],TablaSeleccionSupervisores[#Headers])))</f>
        <v>120</v>
      </c>
      <c r="Z489" cm="1">
        <f t="array" ref="Z489">SUM(TablaSupervisores[DISPOSITIVOS BACNET IP]*INDEX(TablaSeleccionSupervisores[],ROW(TablaSeleccionSupervisores[[#This Row],[ORDEN]])-1,_xlfn.XMATCH(TablaSupervisores[REFERENCIA],TablaSeleccionSupervisores[#Headers])))</f>
        <v>360</v>
      </c>
      <c r="AA489" cm="1">
        <f t="array" ref="AA489">SUM(TablaSupervisores[OBJETOS]*INDEX(TablaSeleccionSupervisores[],ROW(TablaSeleccionSupervisores[[#This Row],[ORDEN]])-1,_xlfn.XMATCH(TablaSupervisores[REFERENCIA],TablaSeleccionSupervisores[#Headers])))</f>
        <v>20000</v>
      </c>
      <c r="AB489" s="28" cm="1">
        <f t="array" ref="AB489">SUM(TablaSupervisores[COSTE]*INDEX(TablaSeleccionSupervisores[],ROW(TablaSeleccionSupervisores[[#This Row],[ORDEN]])-1,_xlfn.XMATCH(TablaSupervisores[REFERENCIA],TablaSeleccionSupervisores[#Headers])))</f>
        <v>9902.3100000000013</v>
      </c>
      <c r="AC489" cm="1">
        <f t="array" ref="AC489">SUM(INDEX(TablaSeleccionSupervisores[],ROW(TablaSeleccionSupervisores[[#This Row],[ORDEN]])-1,_xlfn.XMATCH(TablaSupervisores[REFERENCIA],TablaSeleccionSupervisores[#Headers])))</f>
        <v>8</v>
      </c>
      <c r="AD489" t="str" cm="1">
        <f t="array" ref="AD489">IF(INDEX(TablaSeleccionSupervisores[],ROW(TablaSeleccionSupervisores[[#This Row],[ORDEN]])-1,_xlfn.XMATCH("ADMITIDO ADSLITE",TablaSeleccionSupervisores[#Headers])+1)=0,"Sí admitido","No admitido")</f>
        <v>Sí admitido</v>
      </c>
      <c r="AE489">
        <v>0</v>
      </c>
      <c r="AF489">
        <v>1</v>
      </c>
      <c r="AG489">
        <v>1</v>
      </c>
      <c r="AH489">
        <v>6</v>
      </c>
    </row>
    <row r="490" spans="22:34" x14ac:dyDescent="0.25">
      <c r="V490">
        <v>489</v>
      </c>
      <c r="W490" cm="1">
        <f t="array" ref="W490">SUM(TablaSupervisores[DISPOSITIVOS TOTAL]*INDEX(TablaSeleccionSupervisores[],ROW(TablaSeleccionSupervisores[[#This Row],[ORDEN]])-1,_xlfn.XMATCH(TablaSupervisores[REFERENCIA],TablaSeleccionSupervisores[#Headers])))</f>
        <v>144</v>
      </c>
      <c r="X490" cm="1">
        <f t="array" ref="X490">SUM(TablaSupervisores[DISPOSITIVOS BACNET MS/TP JC]*INDEX(TablaSeleccionSupervisores[],ROW(TablaSeleccionSupervisores[[#This Row],[ORDEN]])-1,_xlfn.XMATCH(TablaSupervisores[REFERENCIA],TablaSeleccionSupervisores[#Headers])))</f>
        <v>124</v>
      </c>
      <c r="Y490" cm="1">
        <f t="array" ref="Y490">SUM(TablaSupervisores[DISPOSITIVOS BACNET MS/TP COMPATIBLES]*INDEX(TablaSeleccionSupervisores[],ROW(TablaSeleccionSupervisores[[#This Row],[ORDEN]])-1,_xlfn.XMATCH(TablaSupervisores[REFERENCIA],TablaSeleccionSupervisores[#Headers])))</f>
        <v>88</v>
      </c>
      <c r="Z490" cm="1">
        <f t="array" ref="Z490">SUM(TablaSupervisores[DISPOSITIVOS BACNET IP]*INDEX(TablaSeleccionSupervisores[],ROW(TablaSeleccionSupervisores[[#This Row],[ORDEN]])-1,_xlfn.XMATCH(TablaSupervisores[REFERENCIA],TablaSeleccionSupervisores[#Headers])))</f>
        <v>260</v>
      </c>
      <c r="AA490" cm="1">
        <f t="array" ref="AA490">SUM(TablaSupervisores[OBJETOS]*INDEX(TablaSeleccionSupervisores[],ROW(TablaSeleccionSupervisores[[#This Row],[ORDEN]])-1,_xlfn.XMATCH(TablaSupervisores[REFERENCIA],TablaSeleccionSupervisores[#Headers])))</f>
        <v>20000</v>
      </c>
      <c r="AB490" s="28" cm="1">
        <f t="array" ref="AB490">SUM(TablaSupervisores[COSTE]*INDEX(TablaSeleccionSupervisores[],ROW(TablaSeleccionSupervisores[[#This Row],[ORDEN]])-1,_xlfn.XMATCH(TablaSupervisores[REFERENCIA],TablaSeleccionSupervisores[#Headers])))</f>
        <v>7337.06</v>
      </c>
      <c r="AC490" cm="1">
        <f t="array" ref="AC490">SUM(INDEX(TablaSeleccionSupervisores[],ROW(TablaSeleccionSupervisores[[#This Row],[ORDEN]])-1,_xlfn.XMATCH(TablaSupervisores[REFERENCIA],TablaSeleccionSupervisores[#Headers])))</f>
        <v>8</v>
      </c>
      <c r="AD490" t="str" cm="1">
        <f t="array" ref="AD490">IF(INDEX(TablaSeleccionSupervisores[],ROW(TablaSeleccionSupervisores[[#This Row],[ORDEN]])-1,_xlfn.XMATCH("ADMITIDO ADSLITE",TablaSeleccionSupervisores[#Headers])+1)=0,"Sí admitido","No admitido")</f>
        <v>Sí admitido</v>
      </c>
      <c r="AE490">
        <v>0</v>
      </c>
      <c r="AF490">
        <v>0</v>
      </c>
      <c r="AG490">
        <v>2</v>
      </c>
      <c r="AH490">
        <v>6</v>
      </c>
    </row>
    <row r="491" spans="22:34" x14ac:dyDescent="0.25">
      <c r="V491">
        <v>490</v>
      </c>
      <c r="W491" cm="1">
        <f t="array" ref="W491">SUM(TablaSupervisores[DISPOSITIVOS TOTAL]*INDEX(TablaSeleccionSupervisores[],ROW(TablaSeleccionSupervisores[[#This Row],[ORDEN]])-1,_xlfn.XMATCH(TablaSupervisores[REFERENCIA],TablaSeleccionSupervisores[#Headers])))</f>
        <v>28</v>
      </c>
      <c r="X491" cm="1">
        <f t="array" ref="X491">SUM(TablaSupervisores[DISPOSITIVOS BACNET MS/TP JC]*INDEX(TablaSeleccionSupervisores[],ROW(TablaSeleccionSupervisores[[#This Row],[ORDEN]])-1,_xlfn.XMATCH(TablaSupervisores[REFERENCIA],TablaSeleccionSupervisores[#Headers])))</f>
        <v>28</v>
      </c>
      <c r="Y491" cm="1">
        <f t="array" ref="Y491">SUM(TablaSupervisores[DISPOSITIVOS BACNET MS/TP COMPATIBLES]*INDEX(TablaSeleccionSupervisores[],ROW(TablaSeleccionSupervisores[[#This Row],[ORDEN]])-1,_xlfn.XMATCH(TablaSupervisores[REFERENCIA],TablaSeleccionSupervisores[#Headers])))</f>
        <v>28</v>
      </c>
      <c r="Z491" cm="1">
        <f t="array" ref="Z491">SUM(TablaSupervisores[DISPOSITIVOS BACNET IP]*INDEX(TablaSeleccionSupervisores[],ROW(TablaSeleccionSupervisores[[#This Row],[ORDEN]])-1,_xlfn.XMATCH(TablaSupervisores[REFERENCIA],TablaSeleccionSupervisores[#Headers])))</f>
        <v>70</v>
      </c>
      <c r="AA491" cm="1">
        <f t="array" ref="AA491">SUM(TablaSupervisores[OBJETOS]*INDEX(TablaSeleccionSupervisores[],ROW(TablaSeleccionSupervisores[[#This Row],[ORDEN]])-1,_xlfn.XMATCH(TablaSupervisores[REFERENCIA],TablaSeleccionSupervisores[#Headers])))</f>
        <v>17500</v>
      </c>
      <c r="AB491" s="28" cm="1">
        <f t="array" ref="AB491">SUM(TablaSupervisores[COSTE]*INDEX(TablaSeleccionSupervisores[],ROW(TablaSeleccionSupervisores[[#This Row],[ORDEN]])-1,_xlfn.XMATCH(TablaSupervisores[REFERENCIA],TablaSeleccionSupervisores[#Headers])))</f>
        <v>5238.45</v>
      </c>
      <c r="AC491" cm="1">
        <f t="array" ref="AC491">SUM(INDEX(TablaSeleccionSupervisores[],ROW(TablaSeleccionSupervisores[[#This Row],[ORDEN]])-1,_xlfn.XMATCH(TablaSupervisores[REFERENCIA],TablaSeleccionSupervisores[#Headers])))</f>
        <v>7</v>
      </c>
      <c r="AD491" t="str" cm="1">
        <f t="array" ref="AD491">IF(INDEX(TablaSeleccionSupervisores[],ROW(TablaSeleccionSupervisores[[#This Row],[ORDEN]])-1,_xlfn.XMATCH("ADMITIDO ADSLITE",TablaSeleccionSupervisores[#Headers])+1)=0,"Sí admitido","No admitido")</f>
        <v>Sí admitido</v>
      </c>
      <c r="AE491">
        <v>0</v>
      </c>
      <c r="AF491">
        <v>0</v>
      </c>
      <c r="AG491">
        <v>0</v>
      </c>
      <c r="AH491">
        <v>7</v>
      </c>
    </row>
    <row r="492" spans="22:34" x14ac:dyDescent="0.25">
      <c r="V492">
        <v>491</v>
      </c>
      <c r="W492" cm="1">
        <f t="array" ref="W492">SUM(TablaSupervisores[DISPOSITIVOS TOTAL]*INDEX(TablaSeleccionSupervisores[],ROW(TablaSeleccionSupervisores[[#This Row],[ORDEN]])-1,_xlfn.XMATCH(TablaSupervisores[REFERENCIA],TablaSeleccionSupervisores[#Headers])))</f>
        <v>628</v>
      </c>
      <c r="X492" cm="1">
        <f t="array" ref="X492">SUM(TablaSupervisores[DISPOSITIVOS BACNET MS/TP JC]*INDEX(TablaSeleccionSupervisores[],ROW(TablaSeleccionSupervisores[[#This Row],[ORDEN]])-1,_xlfn.XMATCH(TablaSupervisores[REFERENCIA],TablaSeleccionSupervisores[#Headers])))</f>
        <v>228</v>
      </c>
      <c r="Y492" cm="1">
        <f t="array" ref="Y492">SUM(TablaSupervisores[DISPOSITIVOS BACNET MS/TP COMPATIBLES]*INDEX(TablaSeleccionSupervisores[],ROW(TablaSeleccionSupervisores[[#This Row],[ORDEN]])-1,_xlfn.XMATCH(TablaSupervisores[REFERENCIA],TablaSeleccionSupervisores[#Headers])))</f>
        <v>156</v>
      </c>
      <c r="Z492" cm="1">
        <f t="array" ref="Z492">SUM(TablaSupervisores[DISPOSITIVOS BACNET IP]*INDEX(TablaSeleccionSupervisores[],ROW(TablaSeleccionSupervisores[[#This Row],[ORDEN]])-1,_xlfn.XMATCH(TablaSupervisores[REFERENCIA],TablaSeleccionSupervisores[#Headers])))</f>
        <v>470</v>
      </c>
      <c r="AA492" cm="1">
        <f t="array" ref="AA492">SUM(TablaSupervisores[OBJETOS]*INDEX(TablaSeleccionSupervisores[],ROW(TablaSeleccionSupervisores[[#This Row],[ORDEN]])-1,_xlfn.XMATCH(TablaSupervisores[REFERENCIA],TablaSeleccionSupervisores[#Headers])))</f>
        <v>22500</v>
      </c>
      <c r="AB492" s="28" cm="1">
        <f t="array" ref="AB492">SUM(TablaSupervisores[COSTE]*INDEX(TablaSeleccionSupervisores[],ROW(TablaSeleccionSupervisores[[#This Row],[ORDEN]])-1,_xlfn.XMATCH(TablaSupervisores[REFERENCIA],TablaSeleccionSupervisores[#Headers])))</f>
        <v>10905.08</v>
      </c>
      <c r="AC492" cm="1">
        <f t="array" ref="AC492">SUM(INDEX(TablaSeleccionSupervisores[],ROW(TablaSeleccionSupervisores[[#This Row],[ORDEN]])-1,_xlfn.XMATCH(TablaSupervisores[REFERENCIA],TablaSeleccionSupervisores[#Headers])))</f>
        <v>8</v>
      </c>
      <c r="AD492" t="str" cm="1">
        <f t="array" ref="AD492">IF(INDEX(TablaSeleccionSupervisores[],ROW(TablaSeleccionSupervisores[[#This Row],[ORDEN]])-1,_xlfn.XMATCH("ADMITIDO ADSLITE",TablaSeleccionSupervisores[#Headers])+1)=0,"Sí admitido","No admitido")</f>
        <v>No admitido</v>
      </c>
      <c r="AE492">
        <v>1</v>
      </c>
      <c r="AF492">
        <v>0</v>
      </c>
      <c r="AG492">
        <v>0</v>
      </c>
      <c r="AH492">
        <v>7</v>
      </c>
    </row>
    <row r="493" spans="22:34" x14ac:dyDescent="0.25">
      <c r="V493">
        <v>492</v>
      </c>
      <c r="W493" cm="1">
        <f t="array" ref="W493">SUM(TablaSupervisores[DISPOSITIVOS TOTAL]*INDEX(TablaSeleccionSupervisores[],ROW(TablaSeleccionSupervisores[[#This Row],[ORDEN]])-1,_xlfn.XMATCH(TablaSupervisores[REFERENCIA],TablaSeleccionSupervisores[#Headers])))</f>
        <v>178</v>
      </c>
      <c r="X493" cm="1">
        <f t="array" ref="X493">SUM(TablaSupervisores[DISPOSITIVOS BACNET MS/TP JC]*INDEX(TablaSeleccionSupervisores[],ROW(TablaSeleccionSupervisores[[#This Row],[ORDEN]])-1,_xlfn.XMATCH(TablaSupervisores[REFERENCIA],TablaSeleccionSupervisores[#Headers])))</f>
        <v>128</v>
      </c>
      <c r="Y493" cm="1">
        <f t="array" ref="Y493">SUM(TablaSupervisores[DISPOSITIVOS BACNET MS/TP COMPATIBLES]*INDEX(TablaSeleccionSupervisores[],ROW(TablaSeleccionSupervisores[[#This Row],[ORDEN]])-1,_xlfn.XMATCH(TablaSupervisores[REFERENCIA],TablaSeleccionSupervisores[#Headers])))</f>
        <v>92</v>
      </c>
      <c r="Z493" cm="1">
        <f t="array" ref="Z493">SUM(TablaSupervisores[DISPOSITIVOS BACNET IP]*INDEX(TablaSeleccionSupervisores[],ROW(TablaSeleccionSupervisores[[#This Row],[ORDEN]])-1,_xlfn.XMATCH(TablaSupervisores[REFERENCIA],TablaSeleccionSupervisores[#Headers])))</f>
        <v>270</v>
      </c>
      <c r="AA493" cm="1">
        <f t="array" ref="AA493">SUM(TablaSupervisores[OBJETOS]*INDEX(TablaSeleccionSupervisores[],ROW(TablaSeleccionSupervisores[[#This Row],[ORDEN]])-1,_xlfn.XMATCH(TablaSupervisores[REFERENCIA],TablaSeleccionSupervisores[#Headers])))</f>
        <v>20000</v>
      </c>
      <c r="AB493" s="28" cm="1">
        <f t="array" ref="AB493">SUM(TablaSupervisores[COSTE]*INDEX(TablaSeleccionSupervisores[],ROW(TablaSeleccionSupervisores[[#This Row],[ORDEN]])-1,_xlfn.XMATCH(TablaSupervisores[REFERENCIA],TablaSeleccionSupervisores[#Headers])))</f>
        <v>9227.18</v>
      </c>
      <c r="AC493" cm="1">
        <f t="array" ref="AC493">SUM(INDEX(TablaSeleccionSupervisores[],ROW(TablaSeleccionSupervisores[[#This Row],[ORDEN]])-1,_xlfn.XMATCH(TablaSupervisores[REFERENCIA],TablaSeleccionSupervisores[#Headers])))</f>
        <v>8</v>
      </c>
      <c r="AD493" t="str" cm="1">
        <f t="array" ref="AD493">IF(INDEX(TablaSeleccionSupervisores[],ROW(TablaSeleccionSupervisores[[#This Row],[ORDEN]])-1,_xlfn.XMATCH("ADMITIDO ADSLITE",TablaSeleccionSupervisores[#Headers])+1)=0,"Sí admitido","No admitido")</f>
        <v>Sí admitido</v>
      </c>
      <c r="AE493">
        <v>0</v>
      </c>
      <c r="AF493">
        <v>1</v>
      </c>
      <c r="AG493">
        <v>0</v>
      </c>
      <c r="AH493">
        <v>7</v>
      </c>
    </row>
    <row r="494" spans="22:34" x14ac:dyDescent="0.25">
      <c r="V494">
        <v>493</v>
      </c>
      <c r="W494" cm="1">
        <f t="array" ref="W494">SUM(TablaSupervisores[DISPOSITIVOS TOTAL]*INDEX(TablaSeleccionSupervisores[],ROW(TablaSeleccionSupervisores[[#This Row],[ORDEN]])-1,_xlfn.XMATCH(TablaSupervisores[REFERENCIA],TablaSeleccionSupervisores[#Headers])))</f>
        <v>88</v>
      </c>
      <c r="X494" cm="1">
        <f t="array" ref="X494">SUM(TablaSupervisores[DISPOSITIVOS BACNET MS/TP JC]*INDEX(TablaSeleccionSupervisores[],ROW(TablaSeleccionSupervisores[[#This Row],[ORDEN]])-1,_xlfn.XMATCH(TablaSupervisores[REFERENCIA],TablaSeleccionSupervisores[#Headers])))</f>
        <v>78</v>
      </c>
      <c r="Y494" cm="1">
        <f t="array" ref="Y494">SUM(TablaSupervisores[DISPOSITIVOS BACNET MS/TP COMPATIBLES]*INDEX(TablaSeleccionSupervisores[],ROW(TablaSeleccionSupervisores[[#This Row],[ORDEN]])-1,_xlfn.XMATCH(TablaSupervisores[REFERENCIA],TablaSeleccionSupervisores[#Headers])))</f>
        <v>60</v>
      </c>
      <c r="Z494" cm="1">
        <f t="array" ref="Z494">SUM(TablaSupervisores[DISPOSITIVOS BACNET IP]*INDEX(TablaSeleccionSupervisores[],ROW(TablaSeleccionSupervisores[[#This Row],[ORDEN]])-1,_xlfn.XMATCH(TablaSupervisores[REFERENCIA],TablaSeleccionSupervisores[#Headers])))</f>
        <v>170</v>
      </c>
      <c r="AA494" cm="1">
        <f t="array" ref="AA494">SUM(TablaSupervisores[OBJETOS]*INDEX(TablaSeleccionSupervisores[],ROW(TablaSeleccionSupervisores[[#This Row],[ORDEN]])-1,_xlfn.XMATCH(TablaSupervisores[REFERENCIA],TablaSeleccionSupervisores[#Headers])))</f>
        <v>20000</v>
      </c>
      <c r="AB494" s="28" cm="1">
        <f t="array" ref="AB494">SUM(TablaSupervisores[COSTE]*INDEX(TablaSeleccionSupervisores[],ROW(TablaSeleccionSupervisores[[#This Row],[ORDEN]])-1,_xlfn.XMATCH(TablaSupervisores[REFERENCIA],TablaSeleccionSupervisores[#Headers])))</f>
        <v>6661.93</v>
      </c>
      <c r="AC494" cm="1">
        <f t="array" ref="AC494">SUM(INDEX(TablaSeleccionSupervisores[],ROW(TablaSeleccionSupervisores[[#This Row],[ORDEN]])-1,_xlfn.XMATCH(TablaSupervisores[REFERENCIA],TablaSeleccionSupervisores[#Headers])))</f>
        <v>8</v>
      </c>
      <c r="AD494" t="str" cm="1">
        <f t="array" ref="AD494">IF(INDEX(TablaSeleccionSupervisores[],ROW(TablaSeleccionSupervisores[[#This Row],[ORDEN]])-1,_xlfn.XMATCH("ADMITIDO ADSLITE",TablaSeleccionSupervisores[#Headers])+1)=0,"Sí admitido","No admitido")</f>
        <v>Sí admitido</v>
      </c>
      <c r="AE494">
        <v>0</v>
      </c>
      <c r="AF494">
        <v>0</v>
      </c>
      <c r="AG494">
        <v>1</v>
      </c>
      <c r="AH494">
        <v>7</v>
      </c>
    </row>
    <row r="495" spans="22:34" x14ac:dyDescent="0.25">
      <c r="V495">
        <v>494</v>
      </c>
      <c r="W495" cm="1">
        <f t="array" ref="W495">SUM(TablaSupervisores[DISPOSITIVOS TOTAL]*INDEX(TablaSeleccionSupervisores[],ROW(TablaSeleccionSupervisores[[#This Row],[ORDEN]])-1,_xlfn.XMATCH(TablaSupervisores[REFERENCIA],TablaSeleccionSupervisores[#Headers])))</f>
        <v>32</v>
      </c>
      <c r="X495" cm="1">
        <f t="array" ref="X495">SUM(TablaSupervisores[DISPOSITIVOS BACNET MS/TP JC]*INDEX(TablaSeleccionSupervisores[],ROW(TablaSeleccionSupervisores[[#This Row],[ORDEN]])-1,_xlfn.XMATCH(TablaSupervisores[REFERENCIA],TablaSeleccionSupervisores[#Headers])))</f>
        <v>32</v>
      </c>
      <c r="Y495" cm="1">
        <f t="array" ref="Y495">SUM(TablaSupervisores[DISPOSITIVOS BACNET MS/TP COMPATIBLES]*INDEX(TablaSeleccionSupervisores[],ROW(TablaSeleccionSupervisores[[#This Row],[ORDEN]])-1,_xlfn.XMATCH(TablaSupervisores[REFERENCIA],TablaSeleccionSupervisores[#Headers])))</f>
        <v>32</v>
      </c>
      <c r="Z495" cm="1">
        <f t="array" ref="Z495">SUM(TablaSupervisores[DISPOSITIVOS BACNET IP]*INDEX(TablaSeleccionSupervisores[],ROW(TablaSeleccionSupervisores[[#This Row],[ORDEN]])-1,_xlfn.XMATCH(TablaSupervisores[REFERENCIA],TablaSeleccionSupervisores[#Headers])))</f>
        <v>80</v>
      </c>
      <c r="AA495" cm="1">
        <f t="array" ref="AA495">SUM(TablaSupervisores[OBJETOS]*INDEX(TablaSeleccionSupervisores[],ROW(TablaSeleccionSupervisores[[#This Row],[ORDEN]])-1,_xlfn.XMATCH(TablaSupervisores[REFERENCIA],TablaSeleccionSupervisores[#Headers])))</f>
        <v>20000</v>
      </c>
      <c r="AB495" s="28" cm="1">
        <f t="array" ref="AB495">SUM(TablaSupervisores[COSTE]*INDEX(TablaSeleccionSupervisores[],ROW(TablaSeleccionSupervisores[[#This Row],[ORDEN]])-1,_xlfn.XMATCH(TablaSupervisores[REFERENCIA],TablaSeleccionSupervisores[#Headers])))</f>
        <v>5986.8</v>
      </c>
      <c r="AC495" cm="1">
        <f t="array" ref="AC495">SUM(INDEX(TablaSeleccionSupervisores[],ROW(TablaSeleccionSupervisores[[#This Row],[ORDEN]])-1,_xlfn.XMATCH(TablaSupervisores[REFERENCIA],TablaSeleccionSupervisores[#Headers])))</f>
        <v>8</v>
      </c>
      <c r="AD495" t="str" cm="1">
        <f t="array" ref="AD495">IF(INDEX(TablaSeleccionSupervisores[],ROW(TablaSeleccionSupervisores[[#This Row],[ORDEN]])-1,_xlfn.XMATCH("ADMITIDO ADSLITE",TablaSeleccionSupervisores[#Headers])+1)=0,"Sí admitido","No admitido")</f>
        <v>Sí admitido</v>
      </c>
      <c r="AE495">
        <v>0</v>
      </c>
      <c r="AF495">
        <v>0</v>
      </c>
      <c r="AG495">
        <v>0</v>
      </c>
      <c r="AH495">
        <v>8</v>
      </c>
    </row>
  </sheetData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F41C-1602-4B01-89A5-507DCBB51EFD}">
  <dimension ref="A1:V13"/>
  <sheetViews>
    <sheetView tabSelected="1" workbookViewId="0">
      <selection activeCell="H5" sqref="H5"/>
    </sheetView>
  </sheetViews>
  <sheetFormatPr baseColWidth="10" defaultRowHeight="15" outlineLevelCol="1" x14ac:dyDescent="0.25"/>
  <cols>
    <col min="1" max="1" width="29.5703125" bestFit="1" customWidth="1"/>
    <col min="2" max="2" width="13.140625" customWidth="1"/>
    <col min="3" max="3" width="14.140625" bestFit="1" customWidth="1"/>
    <col min="4" max="4" width="16" customWidth="1"/>
    <col min="5" max="5" width="16.28515625" customWidth="1"/>
    <col min="10" max="10" width="6.140625" customWidth="1"/>
    <col min="11" max="12" width="6.140625" hidden="1" customWidth="1" outlineLevel="1"/>
    <col min="13" max="13" width="6.140625" customWidth="1" collapsed="1"/>
    <col min="14" max="14" width="5.7109375" customWidth="1"/>
    <col min="15" max="16" width="5.7109375" hidden="1" customWidth="1" outlineLevel="1"/>
    <col min="17" max="17" width="5.7109375" customWidth="1" collapsed="1"/>
    <col min="18" max="18" width="5.28515625" customWidth="1"/>
    <col min="19" max="20" width="5.28515625" hidden="1" customWidth="1" outlineLevel="1"/>
    <col min="21" max="21" width="5.28515625" customWidth="1" collapsed="1"/>
  </cols>
  <sheetData>
    <row r="1" spans="1:22" ht="30" x14ac:dyDescent="0.25">
      <c r="A1" t="s">
        <v>135</v>
      </c>
      <c r="B1" s="20" t="s">
        <v>926</v>
      </c>
      <c r="C1" s="20" t="s">
        <v>927</v>
      </c>
      <c r="D1" s="20" t="s">
        <v>928</v>
      </c>
      <c r="E1" s="20" t="s">
        <v>929</v>
      </c>
      <c r="I1" t="s">
        <v>930</v>
      </c>
      <c r="J1" t="s">
        <v>935</v>
      </c>
      <c r="N1" t="s">
        <v>939</v>
      </c>
      <c r="R1" t="s">
        <v>940</v>
      </c>
    </row>
    <row r="2" spans="1:22" x14ac:dyDescent="0.25">
      <c r="A2" t="s">
        <v>914</v>
      </c>
      <c r="B2" s="30">
        <f>TablaReglasDePrecio[[#This Row],[INGENIERIA]]+0.1</f>
        <v>0.70000000000000007</v>
      </c>
      <c r="C2" s="30">
        <f>TablaReglasDePrecio[[#This Row],[CONSTRUCTORA]]+0.05</f>
        <v>0.60000000000000009</v>
      </c>
      <c r="D2" s="30">
        <f>TablaReglasDePrecio[[#This Row],[INSTALADORA]]+0.05</f>
        <v>0.55000000000000004</v>
      </c>
      <c r="E2" s="31">
        <v>0.5</v>
      </c>
      <c r="H2" t="s">
        <v>947</v>
      </c>
      <c r="J2" t="s">
        <v>936</v>
      </c>
      <c r="K2" t="s">
        <v>938</v>
      </c>
      <c r="L2" t="s">
        <v>941</v>
      </c>
      <c r="M2" t="s">
        <v>937</v>
      </c>
      <c r="N2" t="s">
        <v>936</v>
      </c>
      <c r="O2" t="s">
        <v>938</v>
      </c>
      <c r="P2" t="s">
        <v>941</v>
      </c>
      <c r="Q2" t="s">
        <v>937</v>
      </c>
      <c r="R2" t="s">
        <v>936</v>
      </c>
      <c r="S2" t="s">
        <v>938</v>
      </c>
      <c r="T2" t="s">
        <v>941</v>
      </c>
      <c r="U2" t="s">
        <v>937</v>
      </c>
    </row>
    <row r="3" spans="1:22" x14ac:dyDescent="0.25">
      <c r="A3" t="s">
        <v>915</v>
      </c>
      <c r="B3" s="30">
        <f>TablaReglasDePrecio[[#This Row],[INGENIERIA]]+0.1</f>
        <v>0.65</v>
      </c>
      <c r="C3" s="30">
        <f>TablaReglasDePrecio[[#This Row],[CONSTRUCTORA]]+0.05</f>
        <v>0.55000000000000004</v>
      </c>
      <c r="D3" s="30">
        <f>TablaReglasDePrecio[[#This Row],[INSTALADORA]]+0.05</f>
        <v>0.5</v>
      </c>
      <c r="E3" s="30">
        <v>0.45</v>
      </c>
      <c r="I3" t="s">
        <v>931</v>
      </c>
      <c r="J3">
        <f>SUM(J4:J6)</f>
        <v>40</v>
      </c>
      <c r="N3">
        <f t="shared" ref="N3:R3" si="0">SUM(N4:N6)</f>
        <v>10</v>
      </c>
      <c r="R3">
        <f t="shared" si="0"/>
        <v>10</v>
      </c>
      <c r="V3">
        <f>SUM(J3:R3)</f>
        <v>60</v>
      </c>
    </row>
    <row r="4" spans="1:22" x14ac:dyDescent="0.25">
      <c r="A4" t="s">
        <v>916</v>
      </c>
      <c r="B4" s="30">
        <f>TablaReglasDePrecio[[#This Row],[INGENIERIA]]+0.1</f>
        <v>0.70000000000000007</v>
      </c>
      <c r="C4" s="30">
        <f>TablaReglasDePrecio[[#This Row],[CONSTRUCTORA]]+0.05</f>
        <v>0.60000000000000009</v>
      </c>
      <c r="D4" s="30">
        <f>TablaReglasDePrecio[[#This Row],[INSTALADORA]]+0.05</f>
        <v>0.55000000000000004</v>
      </c>
      <c r="E4" s="30">
        <v>0.5</v>
      </c>
      <c r="H4" t="s">
        <v>948</v>
      </c>
      <c r="I4" t="s">
        <v>932</v>
      </c>
      <c r="J4">
        <v>10</v>
      </c>
      <c r="L4" t="s">
        <v>942</v>
      </c>
      <c r="N4">
        <v>2</v>
      </c>
      <c r="P4" t="s">
        <v>945</v>
      </c>
      <c r="R4">
        <v>3</v>
      </c>
    </row>
    <row r="5" spans="1:22" x14ac:dyDescent="0.25">
      <c r="A5" t="s">
        <v>917</v>
      </c>
      <c r="B5" s="30">
        <f>TablaReglasDePrecio[[#This Row],[INGENIERIA]]+0.1</f>
        <v>0.5</v>
      </c>
      <c r="C5" s="30">
        <f>TablaReglasDePrecio[[#This Row],[CONSTRUCTORA]]+0.05</f>
        <v>0.39999999999999997</v>
      </c>
      <c r="D5" s="30">
        <f>TablaReglasDePrecio[[#This Row],[INSTALADORA]]+0.05</f>
        <v>0.35</v>
      </c>
      <c r="E5" s="30">
        <v>0.3</v>
      </c>
      <c r="I5" t="s">
        <v>933</v>
      </c>
      <c r="J5">
        <v>12</v>
      </c>
      <c r="L5" t="s">
        <v>943</v>
      </c>
      <c r="N5">
        <v>3</v>
      </c>
      <c r="P5" t="s">
        <v>945</v>
      </c>
      <c r="R5">
        <v>3</v>
      </c>
    </row>
    <row r="6" spans="1:22" x14ac:dyDescent="0.25">
      <c r="A6" t="s">
        <v>918</v>
      </c>
      <c r="B6" s="30">
        <f>TablaReglasDePrecio[[#This Row],[INGENIERIA]]+0.1</f>
        <v>0.70000000000000007</v>
      </c>
      <c r="C6" s="30">
        <f>TablaReglasDePrecio[[#This Row],[CONSTRUCTORA]]+0.05</f>
        <v>0.60000000000000009</v>
      </c>
      <c r="D6" s="30">
        <f>TablaReglasDePrecio[[#This Row],[INSTALADORA]]+0.05</f>
        <v>0.55000000000000004</v>
      </c>
      <c r="E6" s="30">
        <v>0.5</v>
      </c>
      <c r="I6" t="s">
        <v>934</v>
      </c>
      <c r="J6">
        <v>18</v>
      </c>
      <c r="L6" t="s">
        <v>944</v>
      </c>
      <c r="N6">
        <v>5</v>
      </c>
      <c r="P6" t="s">
        <v>946</v>
      </c>
      <c r="R6">
        <v>4</v>
      </c>
    </row>
    <row r="7" spans="1:22" x14ac:dyDescent="0.25">
      <c r="A7" t="s">
        <v>919</v>
      </c>
      <c r="B7" s="30">
        <f>TablaReglasDePrecio[[#This Row],[INGENIERIA]]+0.1</f>
        <v>0.70000000000000007</v>
      </c>
      <c r="C7" s="30">
        <f>TablaReglasDePrecio[[#This Row],[CONSTRUCTORA]]+0.05</f>
        <v>0.60000000000000009</v>
      </c>
      <c r="D7" s="30">
        <f>TablaReglasDePrecio[[#This Row],[INSTALADORA]]+0.05</f>
        <v>0.55000000000000004</v>
      </c>
      <c r="E7" s="30">
        <v>0.5</v>
      </c>
    </row>
    <row r="8" spans="1:22" x14ac:dyDescent="0.25">
      <c r="A8" t="s">
        <v>920</v>
      </c>
      <c r="B8" s="30">
        <f>TablaReglasDePrecio[[#This Row],[INGENIERIA]]+0.1</f>
        <v>0.5</v>
      </c>
      <c r="C8" s="30">
        <f>TablaReglasDePrecio[[#This Row],[CONSTRUCTORA]]+0.05</f>
        <v>0.39999999999999997</v>
      </c>
      <c r="D8" s="30">
        <f>TablaReglasDePrecio[[#This Row],[INSTALADORA]]+0.05</f>
        <v>0.35</v>
      </c>
      <c r="E8" s="30">
        <v>0.3</v>
      </c>
    </row>
    <row r="9" spans="1:22" x14ac:dyDescent="0.25">
      <c r="A9" t="s">
        <v>921</v>
      </c>
      <c r="B9" s="30">
        <f>TablaReglasDePrecio[[#This Row],[INGENIERIA]]+0.1</f>
        <v>0.54999999999999993</v>
      </c>
      <c r="C9" s="30">
        <f>TablaReglasDePrecio[[#This Row],[CONSTRUCTORA]]+0.05</f>
        <v>0.44999999999999996</v>
      </c>
      <c r="D9" s="30">
        <f>TablaReglasDePrecio[[#This Row],[INSTALADORA]]+0.05</f>
        <v>0.39999999999999997</v>
      </c>
      <c r="E9" s="30">
        <v>0.35</v>
      </c>
    </row>
    <row r="10" spans="1:22" x14ac:dyDescent="0.25">
      <c r="A10" t="s">
        <v>922</v>
      </c>
      <c r="B10" s="30">
        <f>TablaReglasDePrecio[[#This Row],[INGENIERIA]]+0.1</f>
        <v>0.4</v>
      </c>
      <c r="C10" s="30">
        <f>TablaReglasDePrecio[[#This Row],[CONSTRUCTORA]]+0.05</f>
        <v>0.3</v>
      </c>
      <c r="D10" s="30">
        <f>TablaReglasDePrecio[[#This Row],[INSTALADORA]]+0.05</f>
        <v>0.25</v>
      </c>
      <c r="E10" s="30">
        <v>0.2</v>
      </c>
    </row>
    <row r="11" spans="1:22" x14ac:dyDescent="0.25">
      <c r="A11" t="s">
        <v>923</v>
      </c>
      <c r="B11" s="30">
        <f>TablaReglasDePrecio[[#This Row],[INGENIERIA]]+0.1</f>
        <v>0.4</v>
      </c>
      <c r="C11" s="30">
        <f>TablaReglasDePrecio[[#This Row],[CONSTRUCTORA]]+0.05</f>
        <v>0.3</v>
      </c>
      <c r="D11" s="30">
        <f>TablaReglasDePrecio[[#This Row],[INSTALADORA]]+0.05</f>
        <v>0.25</v>
      </c>
      <c r="E11" s="30">
        <v>0.2</v>
      </c>
    </row>
    <row r="12" spans="1:22" x14ac:dyDescent="0.25">
      <c r="A12" t="s">
        <v>924</v>
      </c>
      <c r="B12" s="30">
        <f>TablaReglasDePrecio[[#This Row],[INGENIERIA]]+0.1</f>
        <v>0.4</v>
      </c>
      <c r="C12" s="30">
        <f>TablaReglasDePrecio[[#This Row],[CONSTRUCTORA]]+0.05</f>
        <v>0.3</v>
      </c>
      <c r="D12" s="30">
        <f>TablaReglasDePrecio[[#This Row],[INSTALADORA]]+0.05</f>
        <v>0.25</v>
      </c>
      <c r="E12" s="30">
        <v>0.2</v>
      </c>
    </row>
    <row r="13" spans="1:22" x14ac:dyDescent="0.25">
      <c r="A13" t="s">
        <v>925</v>
      </c>
      <c r="B13" s="30">
        <f>TablaReglasDePrecio[[#This Row],[INGENIERIA]]+0.1</f>
        <v>0.6</v>
      </c>
      <c r="C13" s="30">
        <f>TablaReglasDePrecio[[#This Row],[CONSTRUCTORA]]+0.05</f>
        <v>0.5</v>
      </c>
      <c r="D13" s="30">
        <f>TablaReglasDePrecio[[#This Row],[INSTALADORA]]+0.05</f>
        <v>0.45</v>
      </c>
      <c r="E13" s="30">
        <v>0.4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LEGACI_x00d3_N_TEST xmlns="ce9343c2-e3aa-4b06-8d61-3d7b0549203e">Madrid</DELEGACI_x00d3_N_TEST>
    <Obra xmlns="ce9343c2-e3aa-4b06-8d61-3d7b0549203e">00000000</Obra>
    <Adici_x00f3_n xmlns="ce9343c2-e3aa-4b06-8d61-3d7b0549203e">000</Adici_x00f3_n>
    <Delegaci_x00f3_n xmlns="ce9343c2-e3aa-4b06-8d61-3d7b0549203e" xsi:nil="true"/>
    <lcf76f155ced4ddcb4097134ff3c332f xmlns="ce9343c2-e3aa-4b06-8d61-3d7b0549203e">
      <Terms xmlns="http://schemas.microsoft.com/office/infopath/2007/PartnerControls"/>
    </lcf76f155ced4ddcb4097134ff3c332f>
    <NombredelaObra xmlns="ce9343c2-e3aa-4b06-8d61-3d7b0549203e" xsi:nil="true"/>
    <TaxCatchAll xmlns="e3e2664a-4298-401e-9fa6-8f5325dd29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87512AA4F7245869E8639F72CF847" ma:contentTypeVersion="33" ma:contentTypeDescription="Create a new document." ma:contentTypeScope="" ma:versionID="67efc679a146a14a0b09cb0f1650d5df">
  <xsd:schema xmlns:xsd="http://www.w3.org/2001/XMLSchema" xmlns:xs="http://www.w3.org/2001/XMLSchema" xmlns:p="http://schemas.microsoft.com/office/2006/metadata/properties" xmlns:ns2="ce9343c2-e3aa-4b06-8d61-3d7b0549203e" xmlns:ns3="dfc6bc91-2d55-4755-b2bd-611a6278146b" xmlns:ns4="e3e2664a-4298-401e-9fa6-8f5325dd2938" targetNamespace="http://schemas.microsoft.com/office/2006/metadata/properties" ma:root="true" ma:fieldsID="db96c68f4f0d666063bbcacaac9fbad1" ns2:_="" ns3:_="" ns4:_="">
    <xsd:import namespace="ce9343c2-e3aa-4b06-8d61-3d7b0549203e"/>
    <xsd:import namespace="dfc6bc91-2d55-4755-b2bd-611a6278146b"/>
    <xsd:import namespace="e3e2664a-4298-401e-9fa6-8f5325dd29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Delegaci_x00f3_n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Obra" minOccurs="0"/>
                <xsd:element ref="ns2:Adici_x00f3_n" minOccurs="0"/>
                <xsd:element ref="ns2:DELEGACI_x00d3_N_TEST" minOccurs="0"/>
                <xsd:element ref="ns2:MediaServiceOCR" minOccurs="0"/>
                <xsd:element ref="ns2:NombredelaObra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343c2-e3aa-4b06-8d61-3d7b05492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legaci_x00f3_n" ma:index="12" nillable="true" ma:displayName="Delegación" ma:format="Dropdown" ma:internalName="Delegaci_x00f3_n">
      <xsd:simpleType>
        <xsd:restriction base="dms:Choice">
          <xsd:enumeration value="Madrid"/>
          <xsd:enumeration value="Bilbao"/>
          <xsd:enumeration value="Barcelona"/>
          <xsd:enumeration value="Valencia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Obra" ma:index="17" nillable="true" ma:displayName="Obra" ma:default="00000000" ma:description="Número de obra" ma:format="Dropdown" ma:internalName="Obra">
      <xsd:simpleType>
        <xsd:restriction base="dms:Text">
          <xsd:maxLength value="255"/>
        </xsd:restriction>
      </xsd:simpleType>
    </xsd:element>
    <xsd:element name="Adici_x00f3_n" ma:index="18" nillable="true" ma:displayName="Adición" ma:default="000" ma:description="Número de adición" ma:format="Dropdown" ma:internalName="Adici_x00f3_n">
      <xsd:simpleType>
        <xsd:restriction base="dms:Text">
          <xsd:maxLength value="3"/>
        </xsd:restriction>
      </xsd:simpleType>
    </xsd:element>
    <xsd:element name="DELEGACI_x00d3_N_TEST" ma:index="19" nillable="true" ma:displayName="DELEGACIÓN_TEST" ma:default="Madrid" ma:format="Dropdown" ma:internalName="DELEGACI_x00d3_N_TEST">
      <xsd:simpleType>
        <xsd:restriction base="dms:Text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mbredelaObra" ma:index="21" nillable="true" ma:displayName="Nombre de la Obra" ma:format="Dropdown" ma:internalName="NombredelaObra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f2a00314-ae30-474d-911b-f8e025e1af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6bc91-2d55-4755-b2bd-611a627814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2664a-4298-401e-9fa6-8f5325dd293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89d77ea3-2cdd-4d02-acd3-4981611c2daf}" ma:internalName="TaxCatchAll" ma:showField="CatchAllData" ma:web="dfc6bc91-2d55-4755-b2bd-611a627814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8B1F5C-5F1B-45B1-A54A-7EDE6D6A1C78}">
  <ds:schemaRefs>
    <ds:schemaRef ds:uri="http://schemas.microsoft.com/office/2006/metadata/properties"/>
    <ds:schemaRef ds:uri="http://schemas.microsoft.com/office/infopath/2007/PartnerControls"/>
    <ds:schemaRef ds:uri="ce9343c2-e3aa-4b06-8d61-3d7b0549203e"/>
    <ds:schemaRef ds:uri="e3e2664a-4298-401e-9fa6-8f5325dd2938"/>
  </ds:schemaRefs>
</ds:datastoreItem>
</file>

<file path=customXml/itemProps2.xml><?xml version="1.0" encoding="utf-8"?>
<ds:datastoreItem xmlns:ds="http://schemas.openxmlformats.org/officeDocument/2006/customXml" ds:itemID="{55C1CD05-C1AE-418A-947E-90A09DB895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31F9F5-FE31-437C-BA75-40815C3AD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9343c2-e3aa-4b06-8d61-3d7b0549203e"/>
    <ds:schemaRef ds:uri="dfc6bc91-2d55-4755-b2bd-611a6278146b"/>
    <ds:schemaRef ds:uri="e3e2664a-4298-401e-9fa6-8f5325dd29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Sistemas</vt:lpstr>
      <vt:lpstr>Caracteristicas Materiales</vt:lpstr>
      <vt:lpstr>Controladores</vt:lpstr>
      <vt:lpstr>Metasys</vt:lpstr>
      <vt:lpstr>Reglas de precio</vt:lpstr>
      <vt:lpstr>Metasys!EncabezadosTablaConversores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Agustin Calpe Eres</dc:creator>
  <cp:lastModifiedBy>Jorge Agustin Calpe Eres</cp:lastModifiedBy>
  <dcterms:created xsi:type="dcterms:W3CDTF">2025-06-25T20:12:10Z</dcterms:created>
  <dcterms:modified xsi:type="dcterms:W3CDTF">2026-04-22T11:20:10Z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0x01010048587512AA4F7245869E8639F72CF847</vt:lpwstr>
  </property>
</Properties>
</file>